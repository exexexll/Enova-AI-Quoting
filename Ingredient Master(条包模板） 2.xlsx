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donglyu/Documents/enova science/quote/模版/"/>
    </mc:Choice>
  </mc:AlternateContent>
  <xr:revisionPtr revIDLastSave="0" documentId="13_ncr:1_{8885C039-8A5E-C748-A905-E04521A77D25}" xr6:coauthVersionLast="47" xr6:coauthVersionMax="47" xr10:uidLastSave="{00000000-0000-0000-0000-000000000000}"/>
  <bookViews>
    <workbookView xWindow="0" yWindow="700" windowWidth="27040" windowHeight="15660" xr2:uid="{00000000-000D-0000-FFFF-FFFF00000000}"/>
  </bookViews>
  <sheets>
    <sheet name="Quote 报价模版" sheetId="2" r:id="rId1"/>
    <sheet name="Master" sheetId="3" r:id="rId2"/>
    <sheet name="Enova Data" sheetId="4" r:id="rId3"/>
    <sheet name="专利原料" sheetId="5" r:id="rId4"/>
    <sheet name="UAA US" sheetId="6" r:id="rId5"/>
    <sheet name="Kingdom US" sheetId="7" r:id="rId6"/>
    <sheet name="Runde Glucosamine" sheetId="8" r:id="rId7"/>
    <sheet name="CharlesBowman" sheetId="9" r:id="rId8"/>
    <sheet name="LGB" sheetId="10" r:id="rId9"/>
    <sheet name="Nutravativ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775" i="4" l="1"/>
  <c r="J3774" i="4"/>
  <c r="J3773" i="4"/>
  <c r="J3772" i="4"/>
  <c r="J3771" i="4"/>
  <c r="J3770" i="4"/>
  <c r="J3769" i="4"/>
  <c r="J3768" i="4"/>
  <c r="J3767" i="4"/>
  <c r="J3766" i="4"/>
  <c r="J3765" i="4"/>
  <c r="J3764" i="4"/>
  <c r="J3763" i="4"/>
  <c r="J3762" i="4"/>
  <c r="J3761" i="4"/>
  <c r="J3760" i="4"/>
  <c r="J3759" i="4"/>
  <c r="J3758" i="4"/>
  <c r="J3757" i="4"/>
  <c r="J3756" i="4"/>
  <c r="J3755" i="4"/>
  <c r="J3754" i="4"/>
  <c r="J3753" i="4"/>
  <c r="J3752" i="4"/>
  <c r="J3751" i="4"/>
  <c r="J3750" i="4"/>
  <c r="J3749" i="4"/>
  <c r="J3748" i="4"/>
  <c r="J3747" i="4"/>
  <c r="J3746" i="4"/>
  <c r="J3745" i="4"/>
  <c r="J3744" i="4"/>
  <c r="J3743" i="4"/>
  <c r="J3742" i="4"/>
  <c r="J3741" i="4"/>
  <c r="J3740" i="4"/>
  <c r="J3739" i="4"/>
  <c r="J3738" i="4"/>
  <c r="J3737" i="4"/>
  <c r="J3736" i="4"/>
  <c r="J3735" i="4"/>
  <c r="J3734" i="4"/>
  <c r="J3733" i="4"/>
  <c r="J3732" i="4"/>
  <c r="J3731" i="4"/>
  <c r="J3730" i="4"/>
  <c r="J3729" i="4"/>
  <c r="J3728" i="4"/>
  <c r="J3727" i="4"/>
  <c r="J3726" i="4"/>
  <c r="J3725" i="4"/>
  <c r="J3724" i="4"/>
  <c r="J3723" i="4"/>
  <c r="J3722" i="4"/>
  <c r="J3721" i="4"/>
  <c r="J3720" i="4"/>
  <c r="J3719" i="4"/>
  <c r="J3718" i="4"/>
  <c r="J3717" i="4"/>
  <c r="J3716" i="4"/>
  <c r="J3715" i="4"/>
  <c r="J3714" i="4"/>
  <c r="J3713" i="4"/>
  <c r="J3712" i="4"/>
  <c r="J3711" i="4"/>
  <c r="J3710" i="4"/>
  <c r="J3709" i="4"/>
  <c r="J3708" i="4"/>
  <c r="J3707" i="4"/>
  <c r="J3706" i="4"/>
  <c r="J3705" i="4"/>
  <c r="J3704" i="4"/>
  <c r="J3703" i="4"/>
  <c r="J3702" i="4"/>
  <c r="J3701" i="4"/>
  <c r="J3700" i="4"/>
  <c r="J3699" i="4"/>
  <c r="J3698" i="4"/>
  <c r="J3697" i="4"/>
  <c r="J3696" i="4"/>
  <c r="J3695" i="4"/>
  <c r="J3694" i="4"/>
  <c r="J3693" i="4"/>
  <c r="J3692" i="4"/>
  <c r="J3691" i="4"/>
  <c r="J3690" i="4"/>
  <c r="J3689" i="4"/>
  <c r="J3688" i="4"/>
  <c r="J3687" i="4"/>
  <c r="J3686" i="4"/>
  <c r="J3685" i="4"/>
  <c r="J3684" i="4"/>
  <c r="J3683" i="4"/>
  <c r="J3682" i="4"/>
  <c r="J3681" i="4"/>
  <c r="J3680" i="4"/>
  <c r="J3679" i="4"/>
  <c r="J3678" i="4"/>
  <c r="J3677" i="4"/>
  <c r="J3676" i="4"/>
  <c r="J3675" i="4"/>
  <c r="J3674" i="4"/>
  <c r="J3673" i="4"/>
  <c r="J3672" i="4"/>
  <c r="J3671" i="4"/>
  <c r="J3670" i="4"/>
  <c r="J3669" i="4"/>
  <c r="J3668" i="4"/>
  <c r="J3667" i="4"/>
  <c r="J3666" i="4"/>
  <c r="J3665" i="4"/>
  <c r="J3664" i="4"/>
  <c r="J3663" i="4"/>
  <c r="J3662" i="4"/>
  <c r="J3661" i="4"/>
  <c r="J3660" i="4"/>
  <c r="J3659" i="4"/>
  <c r="J3658" i="4"/>
  <c r="J3657" i="4"/>
  <c r="J3656" i="4"/>
  <c r="J3655" i="4"/>
  <c r="J3654" i="4"/>
  <c r="J3653" i="4"/>
  <c r="J3652" i="4"/>
  <c r="J3651" i="4"/>
  <c r="J3650" i="4"/>
  <c r="J3649" i="4"/>
  <c r="J3648" i="4"/>
  <c r="J3647" i="4"/>
  <c r="J3646" i="4"/>
  <c r="J3645" i="4"/>
  <c r="J3644" i="4"/>
  <c r="J3643" i="4"/>
  <c r="J3642" i="4"/>
  <c r="J3641" i="4"/>
  <c r="J3640" i="4"/>
  <c r="J3639" i="4"/>
  <c r="J3638" i="4"/>
  <c r="J3637" i="4"/>
  <c r="J3636" i="4"/>
  <c r="J3635" i="4"/>
  <c r="J3634" i="4"/>
  <c r="J3633" i="4"/>
  <c r="J3632" i="4"/>
  <c r="J3631" i="4"/>
  <c r="J3630" i="4"/>
  <c r="J3629" i="4"/>
  <c r="J3628" i="4"/>
  <c r="J3627" i="4"/>
  <c r="J3626" i="4"/>
  <c r="J3625" i="4"/>
  <c r="J3624" i="4"/>
  <c r="J3623" i="4"/>
  <c r="J3622" i="4"/>
  <c r="J3621" i="4"/>
  <c r="J3620" i="4"/>
  <c r="J3619" i="4"/>
  <c r="J3618" i="4"/>
  <c r="J3617" i="4"/>
  <c r="J3616" i="4"/>
  <c r="J3615" i="4"/>
  <c r="J3614" i="4"/>
  <c r="J3613" i="4"/>
  <c r="J3612" i="4"/>
  <c r="J3611" i="4"/>
  <c r="J3610" i="4"/>
  <c r="J3609" i="4"/>
  <c r="J3608" i="4"/>
  <c r="J3607" i="4"/>
  <c r="J3606" i="4"/>
  <c r="J3605" i="4"/>
  <c r="J3604" i="4"/>
  <c r="J3603" i="4"/>
  <c r="J3602" i="4"/>
  <c r="J3601" i="4"/>
  <c r="J3600" i="4"/>
  <c r="J3599" i="4"/>
  <c r="J3598" i="4"/>
  <c r="J3597" i="4"/>
  <c r="J3596" i="4"/>
  <c r="J3595" i="4"/>
  <c r="J3594" i="4"/>
  <c r="J3593" i="4"/>
  <c r="J3592" i="4"/>
  <c r="J3591" i="4"/>
  <c r="J3590" i="4"/>
  <c r="J3589" i="4"/>
  <c r="J3588" i="4"/>
  <c r="J3587" i="4"/>
  <c r="J3586" i="4"/>
  <c r="J3585" i="4"/>
  <c r="J3584" i="4"/>
  <c r="J3583" i="4"/>
  <c r="J3582" i="4"/>
  <c r="J3581" i="4"/>
  <c r="J3580" i="4"/>
  <c r="J3579" i="4"/>
  <c r="J3578" i="4"/>
  <c r="J3577" i="4"/>
  <c r="J3576" i="4"/>
  <c r="J3575" i="4"/>
  <c r="J3574" i="4"/>
  <c r="J3573" i="4"/>
  <c r="J3572" i="4"/>
  <c r="J3571" i="4"/>
  <c r="J3570" i="4"/>
  <c r="J3569" i="4"/>
  <c r="J3568" i="4"/>
  <c r="J3567" i="4"/>
  <c r="J3566" i="4"/>
  <c r="J3565" i="4"/>
  <c r="J3564" i="4"/>
  <c r="J3563" i="4"/>
  <c r="J3562" i="4"/>
  <c r="J3561" i="4"/>
  <c r="J3560" i="4"/>
  <c r="J3559" i="4"/>
  <c r="J3558" i="4"/>
  <c r="J3557" i="4"/>
  <c r="J3556" i="4"/>
  <c r="J3555" i="4"/>
  <c r="J3554" i="4"/>
  <c r="J3553" i="4"/>
  <c r="J3552" i="4"/>
  <c r="J3551" i="4"/>
  <c r="J3550" i="4"/>
  <c r="J3549" i="4"/>
  <c r="J3548" i="4"/>
  <c r="J3547" i="4"/>
  <c r="J3546" i="4"/>
  <c r="J3545" i="4"/>
  <c r="J3544" i="4"/>
  <c r="J3543" i="4"/>
  <c r="J3542" i="4"/>
  <c r="J3541" i="4"/>
  <c r="J3540" i="4"/>
  <c r="J3539" i="4"/>
  <c r="J3538" i="4"/>
  <c r="J3537" i="4"/>
  <c r="J3536" i="4"/>
  <c r="J3535" i="4"/>
  <c r="J3534" i="4"/>
  <c r="J3533" i="4"/>
  <c r="J3532" i="4"/>
  <c r="J3531" i="4"/>
  <c r="J3530" i="4"/>
  <c r="J3529" i="4"/>
  <c r="J3528" i="4"/>
  <c r="J3527" i="4"/>
  <c r="J3526" i="4"/>
  <c r="J3525" i="4"/>
  <c r="J3524" i="4"/>
  <c r="J3523" i="4"/>
  <c r="J3522" i="4"/>
  <c r="J3521" i="4"/>
  <c r="J3520" i="4"/>
  <c r="J3519" i="4"/>
  <c r="J3518" i="4"/>
  <c r="J3517" i="4"/>
  <c r="J3516" i="4"/>
  <c r="J3515" i="4"/>
  <c r="J3514" i="4"/>
  <c r="J3513" i="4"/>
  <c r="J3512" i="4"/>
  <c r="J3511" i="4"/>
  <c r="J3510" i="4"/>
  <c r="J3509" i="4"/>
  <c r="J3508" i="4"/>
  <c r="J3507" i="4"/>
  <c r="J3506" i="4"/>
  <c r="J3505" i="4"/>
  <c r="J3504" i="4"/>
  <c r="J3503" i="4"/>
  <c r="J3502" i="4"/>
  <c r="J3501" i="4"/>
  <c r="J3500" i="4"/>
  <c r="J3499" i="4"/>
  <c r="J3498" i="4"/>
  <c r="J3497" i="4"/>
  <c r="J3496" i="4"/>
  <c r="J3495" i="4"/>
  <c r="J3494" i="4"/>
  <c r="J3493" i="4"/>
  <c r="J3492" i="4"/>
  <c r="J3491" i="4"/>
  <c r="J3490" i="4"/>
  <c r="J3489" i="4"/>
  <c r="J3488" i="4"/>
  <c r="J3487" i="4"/>
  <c r="J3486" i="4"/>
  <c r="J3485" i="4"/>
  <c r="J3484" i="4"/>
  <c r="J3483" i="4"/>
  <c r="J3482" i="4"/>
  <c r="J3481" i="4"/>
  <c r="J3480" i="4"/>
  <c r="J3479" i="4"/>
  <c r="J3478" i="4"/>
  <c r="J3477" i="4"/>
  <c r="J3476" i="4"/>
  <c r="J3475" i="4"/>
  <c r="J3474" i="4"/>
  <c r="J3473" i="4"/>
  <c r="J3472" i="4"/>
  <c r="J3471" i="4"/>
  <c r="J3470" i="4"/>
  <c r="J3469" i="4"/>
  <c r="J3468" i="4"/>
  <c r="J3467" i="4"/>
  <c r="J3466" i="4"/>
  <c r="J3465" i="4"/>
  <c r="J3464" i="4"/>
  <c r="J3463" i="4"/>
  <c r="J3462" i="4"/>
  <c r="J3461" i="4"/>
  <c r="J3460" i="4"/>
  <c r="J3459" i="4"/>
  <c r="J3458" i="4"/>
  <c r="J3457" i="4"/>
  <c r="J3456" i="4"/>
  <c r="J3455" i="4"/>
  <c r="J3454" i="4"/>
  <c r="J3453" i="4"/>
  <c r="J3452" i="4"/>
  <c r="J3451" i="4"/>
  <c r="J3450" i="4"/>
  <c r="J3449" i="4"/>
  <c r="J3448" i="4"/>
  <c r="J3447" i="4"/>
  <c r="J3446" i="4"/>
  <c r="J3445" i="4"/>
  <c r="J3444" i="4"/>
  <c r="J3443" i="4"/>
  <c r="J3442" i="4"/>
  <c r="J3441" i="4"/>
  <c r="J3440" i="4"/>
  <c r="J3439" i="4"/>
  <c r="J3438" i="4"/>
  <c r="J3437" i="4"/>
  <c r="J3436" i="4"/>
  <c r="J3435" i="4"/>
  <c r="J3434" i="4"/>
  <c r="J3433" i="4"/>
  <c r="J3432" i="4"/>
  <c r="J3431" i="4"/>
  <c r="J3430" i="4"/>
  <c r="J3429" i="4"/>
  <c r="J3428" i="4"/>
  <c r="J3427" i="4"/>
  <c r="J3426" i="4"/>
  <c r="J3425" i="4"/>
  <c r="J3424" i="4"/>
  <c r="J3423" i="4"/>
  <c r="J3422" i="4"/>
  <c r="J3421" i="4"/>
  <c r="J3420" i="4"/>
  <c r="J3419" i="4"/>
  <c r="J3418" i="4"/>
  <c r="J3417" i="4"/>
  <c r="J3416" i="4"/>
  <c r="J3415" i="4"/>
  <c r="J3414" i="4"/>
  <c r="J3413" i="4"/>
  <c r="J3412" i="4"/>
  <c r="J3411" i="4"/>
  <c r="J3410" i="4"/>
  <c r="J3409" i="4"/>
  <c r="J3408" i="4"/>
  <c r="J3407" i="4"/>
  <c r="J3406" i="4"/>
  <c r="J3405" i="4"/>
  <c r="J3404" i="4"/>
  <c r="J3403" i="4"/>
  <c r="J3402" i="4"/>
  <c r="J3401" i="4"/>
  <c r="J3400" i="4"/>
  <c r="J3399" i="4"/>
  <c r="J3398" i="4"/>
  <c r="J3397" i="4"/>
  <c r="J3396" i="4"/>
  <c r="J3395" i="4"/>
  <c r="J3394" i="4"/>
  <c r="J3393" i="4"/>
  <c r="J3392" i="4"/>
  <c r="J3391" i="4"/>
  <c r="J3390" i="4"/>
  <c r="J3389" i="4"/>
  <c r="J3388" i="4"/>
  <c r="J3387" i="4"/>
  <c r="J3386" i="4"/>
  <c r="J3385" i="4"/>
  <c r="J3384" i="4"/>
  <c r="J3383" i="4"/>
  <c r="J3382" i="4"/>
  <c r="J3381" i="4"/>
  <c r="J3380" i="4"/>
  <c r="J3379" i="4"/>
  <c r="J3378" i="4"/>
  <c r="J3377" i="4"/>
  <c r="J3376" i="4"/>
  <c r="J3375" i="4"/>
  <c r="J3374" i="4"/>
  <c r="J3373" i="4"/>
  <c r="J3372" i="4"/>
  <c r="J3371" i="4"/>
  <c r="J3370" i="4"/>
  <c r="J3369" i="4"/>
  <c r="J3368" i="4"/>
  <c r="J3367" i="4"/>
  <c r="J3366" i="4"/>
  <c r="J3365" i="4"/>
  <c r="J3364" i="4"/>
  <c r="J3363" i="4"/>
  <c r="J3362" i="4"/>
  <c r="J3361" i="4"/>
  <c r="J3360" i="4"/>
  <c r="J3359" i="4"/>
  <c r="J3358" i="4"/>
  <c r="J3357" i="4"/>
  <c r="J3356" i="4"/>
  <c r="J3355" i="4"/>
  <c r="J3354" i="4"/>
  <c r="J3353" i="4"/>
  <c r="J3352" i="4"/>
  <c r="J3351" i="4"/>
  <c r="J3350" i="4"/>
  <c r="J3349" i="4"/>
  <c r="J3348" i="4"/>
  <c r="J3347" i="4"/>
  <c r="J3346" i="4"/>
  <c r="J3345" i="4"/>
  <c r="J3344" i="4"/>
  <c r="J3343" i="4"/>
  <c r="J3342" i="4"/>
  <c r="J3341" i="4"/>
  <c r="J3340" i="4"/>
  <c r="J3339" i="4"/>
  <c r="J3338" i="4"/>
  <c r="J3337" i="4"/>
  <c r="J3336" i="4"/>
  <c r="J3335" i="4"/>
  <c r="J3334" i="4"/>
  <c r="J3333" i="4"/>
  <c r="J3332" i="4"/>
  <c r="J3331" i="4"/>
  <c r="J3330" i="4"/>
  <c r="J3329" i="4"/>
  <c r="J3328" i="4"/>
  <c r="J3327" i="4"/>
  <c r="J3326" i="4"/>
  <c r="J3325" i="4"/>
  <c r="J3324" i="4"/>
  <c r="J3323" i="4"/>
  <c r="J3322" i="4"/>
  <c r="J3321" i="4"/>
  <c r="J3320" i="4"/>
  <c r="J3319" i="4"/>
  <c r="J3318" i="4"/>
  <c r="J3317" i="4"/>
  <c r="J3316" i="4"/>
  <c r="J3315" i="4"/>
  <c r="J3314" i="4"/>
  <c r="J3313" i="4"/>
  <c r="J3312" i="4"/>
  <c r="J3311" i="4"/>
  <c r="J3310" i="4"/>
  <c r="J3309" i="4"/>
  <c r="J3308" i="4"/>
  <c r="J3307" i="4"/>
  <c r="J3306" i="4"/>
  <c r="J3305" i="4"/>
  <c r="J3304" i="4"/>
  <c r="J3303" i="4"/>
  <c r="J3302" i="4"/>
  <c r="J3301" i="4"/>
  <c r="J3300" i="4"/>
  <c r="J3299" i="4"/>
  <c r="J3298" i="4"/>
  <c r="J3297" i="4"/>
  <c r="J3296" i="4"/>
  <c r="J3295" i="4"/>
  <c r="J3294" i="4"/>
  <c r="J3293" i="4"/>
  <c r="J3292" i="4"/>
  <c r="J3291" i="4"/>
  <c r="J3290" i="4"/>
  <c r="J3289" i="4"/>
  <c r="J3288" i="4"/>
  <c r="J3287" i="4"/>
  <c r="J3286" i="4"/>
  <c r="J3285" i="4"/>
  <c r="J3284" i="4"/>
  <c r="J3283" i="4"/>
  <c r="J3282" i="4"/>
  <c r="J3281" i="4"/>
  <c r="J3280" i="4"/>
  <c r="J3279" i="4"/>
  <c r="J3278" i="4"/>
  <c r="J3277" i="4"/>
  <c r="J3276" i="4"/>
  <c r="J3275" i="4"/>
  <c r="J3274" i="4"/>
  <c r="J3273" i="4"/>
  <c r="J3272" i="4"/>
  <c r="J3271" i="4"/>
  <c r="J3270" i="4"/>
  <c r="J3269" i="4"/>
  <c r="J3268" i="4"/>
  <c r="J3267" i="4"/>
  <c r="J3266" i="4"/>
  <c r="J3265" i="4"/>
  <c r="J3264" i="4"/>
  <c r="J3263" i="4"/>
  <c r="J3262" i="4"/>
  <c r="J3261" i="4"/>
  <c r="J3260" i="4"/>
  <c r="J3259" i="4"/>
  <c r="J3258" i="4"/>
  <c r="J3257" i="4"/>
  <c r="J3256" i="4"/>
  <c r="J3255" i="4"/>
  <c r="J3254" i="4"/>
  <c r="J3253" i="4"/>
  <c r="J3252" i="4"/>
  <c r="J3251" i="4"/>
  <c r="J3250" i="4"/>
  <c r="J3249" i="4"/>
  <c r="J3248" i="4"/>
  <c r="J3247" i="4"/>
  <c r="J3246" i="4"/>
  <c r="J3245" i="4"/>
  <c r="J3244" i="4"/>
  <c r="J3243" i="4"/>
  <c r="J3242" i="4"/>
  <c r="J3241" i="4"/>
  <c r="J3240" i="4"/>
  <c r="J3239" i="4"/>
  <c r="J3238" i="4"/>
  <c r="J3237" i="4"/>
  <c r="J3236" i="4"/>
  <c r="J3235" i="4"/>
  <c r="J3234" i="4"/>
  <c r="J3233" i="4"/>
  <c r="J3232" i="4"/>
  <c r="J3231" i="4"/>
  <c r="J3230" i="4"/>
  <c r="J3229" i="4"/>
  <c r="J3228" i="4"/>
  <c r="J3227" i="4"/>
  <c r="J3226" i="4"/>
  <c r="J3225" i="4"/>
  <c r="J3224" i="4"/>
  <c r="J3223" i="4"/>
  <c r="J3222" i="4"/>
  <c r="J3221" i="4"/>
  <c r="J3220" i="4"/>
  <c r="J3219" i="4"/>
  <c r="J3218" i="4"/>
  <c r="J3217" i="4"/>
  <c r="J3216" i="4"/>
  <c r="J3215" i="4"/>
  <c r="J3214" i="4"/>
  <c r="J3213" i="4"/>
  <c r="J3212" i="4"/>
  <c r="J3211" i="4"/>
  <c r="J3210" i="4"/>
  <c r="J3209" i="4"/>
  <c r="J3208" i="4"/>
  <c r="J3207" i="4"/>
  <c r="J3206" i="4"/>
  <c r="J3205" i="4"/>
  <c r="J3204" i="4"/>
  <c r="J3203" i="4"/>
  <c r="J3202" i="4"/>
  <c r="J3201" i="4"/>
  <c r="J3200" i="4"/>
  <c r="J3199" i="4"/>
  <c r="J3198" i="4"/>
  <c r="J3197" i="4"/>
  <c r="J3196" i="4"/>
  <c r="J3195" i="4"/>
  <c r="J3194" i="4"/>
  <c r="J3193" i="4"/>
  <c r="J3192" i="4"/>
  <c r="J3191" i="4"/>
  <c r="J3190" i="4"/>
  <c r="J3189" i="4"/>
  <c r="J3188" i="4"/>
  <c r="J3187" i="4"/>
  <c r="J3186" i="4"/>
  <c r="J3185" i="4"/>
  <c r="J3184" i="4"/>
  <c r="J3183" i="4"/>
  <c r="J3182" i="4"/>
  <c r="J3181" i="4"/>
  <c r="J3180" i="4"/>
  <c r="J3179" i="4"/>
  <c r="J3178" i="4"/>
  <c r="J3177" i="4"/>
  <c r="J3176" i="4"/>
  <c r="J3175" i="4"/>
  <c r="J3174" i="4"/>
  <c r="J3173" i="4"/>
  <c r="J3172" i="4"/>
  <c r="J3171" i="4"/>
  <c r="J3170" i="4"/>
  <c r="J3169" i="4"/>
  <c r="J3168" i="4"/>
  <c r="J3167" i="4"/>
  <c r="J3166" i="4"/>
  <c r="J3165" i="4"/>
  <c r="J3164" i="4"/>
  <c r="J3163" i="4"/>
  <c r="J3162" i="4"/>
  <c r="J3161" i="4"/>
  <c r="J3160" i="4"/>
  <c r="J3159" i="4"/>
  <c r="J3158" i="4"/>
  <c r="J3157" i="4"/>
  <c r="J3156" i="4"/>
  <c r="J3155" i="4"/>
  <c r="J3154" i="4"/>
  <c r="J3153" i="4"/>
  <c r="J3152" i="4"/>
  <c r="J3151" i="4"/>
  <c r="J3150" i="4"/>
  <c r="J3149" i="4"/>
  <c r="J3148" i="4"/>
  <c r="J3147" i="4"/>
  <c r="J3146" i="4"/>
  <c r="J3145" i="4"/>
  <c r="J3144" i="4"/>
  <c r="J3143" i="4"/>
  <c r="J3142" i="4"/>
  <c r="J3141" i="4"/>
  <c r="J3140" i="4"/>
  <c r="J3139" i="4"/>
  <c r="J3138" i="4"/>
  <c r="J3137" i="4"/>
  <c r="J3136" i="4"/>
  <c r="J3135" i="4"/>
  <c r="J3134" i="4"/>
  <c r="J3133" i="4"/>
  <c r="J3132" i="4"/>
  <c r="J3131" i="4"/>
  <c r="J3130" i="4"/>
  <c r="J3129" i="4"/>
  <c r="J3128" i="4"/>
  <c r="J3127" i="4"/>
  <c r="J3126" i="4"/>
  <c r="J3125" i="4"/>
  <c r="J3124" i="4"/>
  <c r="J3123" i="4"/>
  <c r="J3122" i="4"/>
  <c r="J3121" i="4"/>
  <c r="J3120" i="4"/>
  <c r="J3119" i="4"/>
  <c r="J3118" i="4"/>
  <c r="J3117" i="4"/>
  <c r="J3116" i="4"/>
  <c r="J3115" i="4"/>
  <c r="J3114" i="4"/>
  <c r="J3113" i="4"/>
  <c r="J3112" i="4"/>
  <c r="J3111" i="4"/>
  <c r="J3110" i="4"/>
  <c r="J3109" i="4"/>
  <c r="J3108" i="4"/>
  <c r="J3107" i="4"/>
  <c r="J3106" i="4"/>
  <c r="J3105" i="4"/>
  <c r="J3104" i="4"/>
  <c r="J3103" i="4"/>
  <c r="J3102" i="4"/>
  <c r="J3101" i="4"/>
  <c r="J3100" i="4"/>
  <c r="J3099" i="4"/>
  <c r="J3098" i="4"/>
  <c r="J3097" i="4"/>
  <c r="J3096" i="4"/>
  <c r="J3095" i="4"/>
  <c r="J3094" i="4"/>
  <c r="J3093" i="4"/>
  <c r="J3092" i="4"/>
  <c r="J3091" i="4"/>
  <c r="J3090" i="4"/>
  <c r="J3089" i="4"/>
  <c r="J3088" i="4"/>
  <c r="J3087" i="4"/>
  <c r="J3086" i="4"/>
  <c r="J3085" i="4"/>
  <c r="J3084" i="4"/>
  <c r="J3083" i="4"/>
  <c r="J3082" i="4"/>
  <c r="J3081" i="4"/>
  <c r="J3080" i="4"/>
  <c r="J3079" i="4"/>
  <c r="J3078" i="4"/>
  <c r="J3077" i="4"/>
  <c r="J3076" i="4"/>
  <c r="J3075" i="4"/>
  <c r="J3074" i="4"/>
  <c r="J3073" i="4"/>
  <c r="J3072" i="4"/>
  <c r="J3071" i="4"/>
  <c r="J3070" i="4"/>
  <c r="J3069" i="4"/>
  <c r="J3068" i="4"/>
  <c r="J3067" i="4"/>
  <c r="J3066" i="4"/>
  <c r="J3065" i="4"/>
  <c r="J3064" i="4"/>
  <c r="J3063" i="4"/>
  <c r="J3062" i="4"/>
  <c r="J3061" i="4"/>
  <c r="J3060" i="4"/>
  <c r="J3059" i="4"/>
  <c r="J3058" i="4"/>
  <c r="J3057" i="4"/>
  <c r="J3056" i="4"/>
  <c r="J3055" i="4"/>
  <c r="J3054" i="4"/>
  <c r="J3053" i="4"/>
  <c r="J3052" i="4"/>
  <c r="J3051" i="4"/>
  <c r="J3050" i="4"/>
  <c r="J3049" i="4"/>
  <c r="J3048" i="4"/>
  <c r="J3047" i="4"/>
  <c r="J3046" i="4"/>
  <c r="J3045" i="4"/>
  <c r="J3044" i="4"/>
  <c r="J3043" i="4"/>
  <c r="J3042" i="4"/>
  <c r="J3041" i="4"/>
  <c r="J3040" i="4"/>
  <c r="J3039" i="4"/>
  <c r="J3038" i="4"/>
  <c r="J3037" i="4"/>
  <c r="J3036" i="4"/>
  <c r="J3035" i="4"/>
  <c r="J3034" i="4"/>
  <c r="J3033" i="4"/>
  <c r="J3032" i="4"/>
  <c r="J3031" i="4"/>
  <c r="J3030" i="4"/>
  <c r="J3029" i="4"/>
  <c r="J3028" i="4"/>
  <c r="J3027" i="4"/>
  <c r="J3026" i="4"/>
  <c r="J3025" i="4"/>
  <c r="J3024" i="4"/>
  <c r="J3023" i="4"/>
  <c r="J3022" i="4"/>
  <c r="J3021" i="4"/>
  <c r="J3020" i="4"/>
  <c r="J3019" i="4"/>
  <c r="J3018" i="4"/>
  <c r="J3017" i="4"/>
  <c r="J3016" i="4"/>
  <c r="J3015" i="4"/>
  <c r="J3014" i="4"/>
  <c r="J3013" i="4"/>
  <c r="J3012" i="4"/>
  <c r="J3011" i="4"/>
  <c r="J3010" i="4"/>
  <c r="J3009" i="4"/>
  <c r="J3008" i="4"/>
  <c r="J3007" i="4"/>
  <c r="J3006" i="4"/>
  <c r="J3005" i="4"/>
  <c r="J3004" i="4"/>
  <c r="J3003" i="4"/>
  <c r="J3002" i="4"/>
  <c r="J3001" i="4"/>
  <c r="J3000" i="4"/>
  <c r="J2999" i="4"/>
  <c r="J2998" i="4"/>
  <c r="J2997" i="4"/>
  <c r="J2996" i="4"/>
  <c r="J2995" i="4"/>
  <c r="J2994" i="4"/>
  <c r="J2993" i="4"/>
  <c r="J2992" i="4"/>
  <c r="J2991" i="4"/>
  <c r="J2990" i="4"/>
  <c r="J2989" i="4"/>
  <c r="J2988" i="4"/>
  <c r="J2987" i="4"/>
  <c r="J2986" i="4"/>
  <c r="J2985" i="4"/>
  <c r="J2984" i="4"/>
  <c r="J2983" i="4"/>
  <c r="J2982" i="4"/>
  <c r="J2981" i="4"/>
  <c r="J2980" i="4"/>
  <c r="J2979" i="4"/>
  <c r="J2978" i="4"/>
  <c r="J2977" i="4"/>
  <c r="J2976" i="4"/>
  <c r="J2975" i="4"/>
  <c r="J2974" i="4"/>
  <c r="J2973" i="4"/>
  <c r="J2972" i="4"/>
  <c r="J2971" i="4"/>
  <c r="J2970" i="4"/>
  <c r="J2969" i="4"/>
  <c r="J2968" i="4"/>
  <c r="J2967" i="4"/>
  <c r="J2966" i="4"/>
  <c r="J2965" i="4"/>
  <c r="J2964" i="4"/>
  <c r="J2963" i="4"/>
  <c r="J2962" i="4"/>
  <c r="J2961" i="4"/>
  <c r="J2960" i="4"/>
  <c r="J2959" i="4"/>
  <c r="J2958" i="4"/>
  <c r="J2957" i="4"/>
  <c r="J2956" i="4"/>
  <c r="J2955" i="4"/>
  <c r="J2954" i="4"/>
  <c r="J2953" i="4"/>
  <c r="J2952" i="4"/>
  <c r="J2951" i="4"/>
  <c r="J2950" i="4"/>
  <c r="J2949" i="4"/>
  <c r="J2948" i="4"/>
  <c r="J2947" i="4"/>
  <c r="J2946" i="4"/>
  <c r="J2945" i="4"/>
  <c r="J2944" i="4"/>
  <c r="J2943" i="4"/>
  <c r="J2942" i="4"/>
  <c r="J2941" i="4"/>
  <c r="J2940" i="4"/>
  <c r="J2939" i="4"/>
  <c r="J2938" i="4"/>
  <c r="J2937" i="4"/>
  <c r="J2936" i="4"/>
  <c r="J2935" i="4"/>
  <c r="J2934" i="4"/>
  <c r="J2933" i="4"/>
  <c r="J2932" i="4"/>
  <c r="J2931" i="4"/>
  <c r="J2930" i="4"/>
  <c r="J2929" i="4"/>
  <c r="J2928" i="4"/>
  <c r="J2927" i="4"/>
  <c r="J2926" i="4"/>
  <c r="J2925" i="4"/>
  <c r="J2924" i="4"/>
  <c r="J2923" i="4"/>
  <c r="J2922" i="4"/>
  <c r="J2921" i="4"/>
  <c r="J2920" i="4"/>
  <c r="J2919" i="4"/>
  <c r="J2918" i="4"/>
  <c r="J2917" i="4"/>
  <c r="J2916" i="4"/>
  <c r="J2915" i="4"/>
  <c r="J2914" i="4"/>
  <c r="J2913" i="4"/>
  <c r="J2912" i="4"/>
  <c r="J2911" i="4"/>
  <c r="J2910" i="4"/>
  <c r="J2909" i="4"/>
  <c r="J2908" i="4"/>
  <c r="J2907" i="4"/>
  <c r="J2906" i="4"/>
  <c r="J2905" i="4"/>
  <c r="J2904" i="4"/>
  <c r="J2903" i="4"/>
  <c r="J2902" i="4"/>
  <c r="J2901" i="4"/>
  <c r="J2900" i="4"/>
  <c r="J2899" i="4"/>
  <c r="J2898" i="4"/>
  <c r="J2897" i="4"/>
  <c r="J2896" i="4"/>
  <c r="J2895" i="4"/>
  <c r="J2894" i="4"/>
  <c r="J2893" i="4"/>
  <c r="J2892" i="4"/>
  <c r="J2891" i="4"/>
  <c r="J2890" i="4"/>
  <c r="J2889" i="4"/>
  <c r="J2888" i="4"/>
  <c r="J2887" i="4"/>
  <c r="J2886" i="4"/>
  <c r="J2885" i="4"/>
  <c r="J2884" i="4"/>
  <c r="J2883" i="4"/>
  <c r="J2882" i="4"/>
  <c r="J2881" i="4"/>
  <c r="J2880" i="4"/>
  <c r="J2879" i="4"/>
  <c r="J2878" i="4"/>
  <c r="J2877" i="4"/>
  <c r="J2876" i="4"/>
  <c r="J2875" i="4"/>
  <c r="J2874" i="4"/>
  <c r="J2873" i="4"/>
  <c r="J2872" i="4"/>
  <c r="J2871" i="4"/>
  <c r="J2870" i="4"/>
  <c r="J2869" i="4"/>
  <c r="J2868" i="4"/>
  <c r="J2867" i="4"/>
  <c r="J2866" i="4"/>
  <c r="J2865" i="4"/>
  <c r="J2864" i="4"/>
  <c r="J2863" i="4"/>
  <c r="J2862" i="4"/>
  <c r="J2861" i="4"/>
  <c r="J2860" i="4"/>
  <c r="J2859" i="4"/>
  <c r="J2858" i="4"/>
  <c r="J2857" i="4"/>
  <c r="J2856" i="4"/>
  <c r="J2855" i="4"/>
  <c r="J2854" i="4"/>
  <c r="J2853" i="4"/>
  <c r="J2852" i="4"/>
  <c r="J2851" i="4"/>
  <c r="J2850" i="4"/>
  <c r="J2849" i="4"/>
  <c r="J2848" i="4"/>
  <c r="J2847" i="4"/>
  <c r="J2846" i="4"/>
  <c r="J2845" i="4"/>
  <c r="J2844" i="4"/>
  <c r="J2843" i="4"/>
  <c r="J2842" i="4"/>
  <c r="J2841" i="4"/>
  <c r="J2840" i="4"/>
  <c r="J2839" i="4"/>
  <c r="J2838" i="4"/>
  <c r="J2837" i="4"/>
  <c r="J2836" i="4"/>
  <c r="J2835" i="4"/>
  <c r="J2834" i="4"/>
  <c r="J2833" i="4"/>
  <c r="J2832" i="4"/>
  <c r="J2831" i="4"/>
  <c r="J2830" i="4"/>
  <c r="J2829" i="4"/>
  <c r="J2828" i="4"/>
  <c r="J2827" i="4"/>
  <c r="J2826" i="4"/>
  <c r="J2825" i="4"/>
  <c r="J2824" i="4"/>
  <c r="J2823" i="4"/>
  <c r="J2822" i="4"/>
  <c r="J2821" i="4"/>
  <c r="J2820" i="4"/>
  <c r="J2819" i="4"/>
  <c r="J2818" i="4"/>
  <c r="J2817" i="4"/>
  <c r="J2816" i="4"/>
  <c r="J2815" i="4"/>
  <c r="J2814" i="4"/>
  <c r="J2813" i="4"/>
  <c r="J2812" i="4"/>
  <c r="J2811" i="4"/>
  <c r="J2810" i="4"/>
  <c r="J2809" i="4"/>
  <c r="J2808" i="4"/>
  <c r="J2807" i="4"/>
  <c r="J2806" i="4"/>
  <c r="J2805" i="4"/>
  <c r="J2804" i="4"/>
  <c r="J2803" i="4"/>
  <c r="J2802" i="4"/>
  <c r="J2801" i="4"/>
  <c r="J2800" i="4"/>
  <c r="J2799" i="4"/>
  <c r="J2798" i="4"/>
  <c r="J2797" i="4"/>
  <c r="J2796" i="4"/>
  <c r="J2795" i="4"/>
  <c r="J2794" i="4"/>
  <c r="J2793" i="4"/>
  <c r="J2792" i="4"/>
  <c r="J2791" i="4"/>
  <c r="J2790" i="4"/>
  <c r="J2789" i="4"/>
  <c r="J2788" i="4"/>
  <c r="J2787" i="4"/>
  <c r="J2786" i="4"/>
  <c r="J2785" i="4"/>
  <c r="J2784" i="4"/>
  <c r="J2783" i="4"/>
  <c r="J2782" i="4"/>
  <c r="J2781" i="4"/>
  <c r="J2780" i="4"/>
  <c r="J2779" i="4"/>
  <c r="J2778" i="4"/>
  <c r="J2777" i="4"/>
  <c r="J2776" i="4"/>
  <c r="J2775" i="4"/>
  <c r="J2774" i="4"/>
  <c r="J2773" i="4"/>
  <c r="J2772" i="4"/>
  <c r="J2771" i="4"/>
  <c r="J2770" i="4"/>
  <c r="J2769" i="4"/>
  <c r="J2768" i="4"/>
  <c r="J2767" i="4"/>
  <c r="J2766" i="4"/>
  <c r="J2765" i="4"/>
  <c r="J2764" i="4"/>
  <c r="J2763" i="4"/>
  <c r="J2762" i="4"/>
  <c r="J2761" i="4"/>
  <c r="J2760" i="4"/>
  <c r="J2759" i="4"/>
  <c r="J2758" i="4"/>
  <c r="J2757" i="4"/>
  <c r="J2756" i="4"/>
  <c r="J2755" i="4"/>
  <c r="J2754" i="4"/>
  <c r="J2753" i="4"/>
  <c r="J2752" i="4"/>
  <c r="J2751" i="4"/>
  <c r="J2750" i="4"/>
  <c r="J2749" i="4"/>
  <c r="J2748" i="4"/>
  <c r="J2747" i="4"/>
  <c r="J2746" i="4"/>
  <c r="J2745" i="4"/>
  <c r="J2744" i="4"/>
  <c r="J2743" i="4"/>
  <c r="J2742" i="4"/>
  <c r="J2741" i="4"/>
  <c r="J2740" i="4"/>
  <c r="J2739" i="4"/>
  <c r="J2738" i="4"/>
  <c r="J2737" i="4"/>
  <c r="J2736" i="4"/>
  <c r="J2735" i="4"/>
  <c r="J2734" i="4"/>
  <c r="J2733" i="4"/>
  <c r="J2732" i="4"/>
  <c r="J2731" i="4"/>
  <c r="J2730" i="4"/>
  <c r="J2729" i="4"/>
  <c r="J2728" i="4"/>
  <c r="J2727" i="4"/>
  <c r="J2726" i="4"/>
  <c r="J2725" i="4"/>
  <c r="J2724" i="4"/>
  <c r="J2723" i="4"/>
  <c r="J2722" i="4"/>
  <c r="J2721" i="4"/>
  <c r="J2720" i="4"/>
  <c r="J2719" i="4"/>
  <c r="J2718" i="4"/>
  <c r="J2717" i="4"/>
  <c r="J2716" i="4"/>
  <c r="J2715" i="4"/>
  <c r="J2714" i="4"/>
  <c r="J2713" i="4"/>
  <c r="J2712" i="4"/>
  <c r="J2711" i="4"/>
  <c r="J2710" i="4"/>
  <c r="J2709" i="4"/>
  <c r="J2708" i="4"/>
  <c r="J2707" i="4"/>
  <c r="J2706" i="4"/>
  <c r="J2705" i="4"/>
  <c r="J2704" i="4"/>
  <c r="J2703" i="4"/>
  <c r="J2702" i="4"/>
  <c r="J2701" i="4"/>
  <c r="J2700" i="4"/>
  <c r="J2699" i="4"/>
  <c r="J2698" i="4"/>
  <c r="J2697" i="4"/>
  <c r="J2696" i="4"/>
  <c r="J2695" i="4"/>
  <c r="J2694" i="4"/>
  <c r="J2693" i="4"/>
  <c r="J2692" i="4"/>
  <c r="J2691" i="4"/>
  <c r="J2690" i="4"/>
  <c r="J2689" i="4"/>
  <c r="J2688" i="4"/>
  <c r="J2687" i="4"/>
  <c r="J2686" i="4"/>
  <c r="J2685" i="4"/>
  <c r="J2684" i="4"/>
  <c r="J2683" i="4"/>
  <c r="J2682" i="4"/>
  <c r="J2681" i="4"/>
  <c r="J2680" i="4"/>
  <c r="J2679" i="4"/>
  <c r="J2678" i="4"/>
  <c r="J2677" i="4"/>
  <c r="J2676" i="4"/>
  <c r="J2675" i="4"/>
  <c r="J2674" i="4"/>
  <c r="J2673" i="4"/>
  <c r="J2672" i="4"/>
  <c r="J2671" i="4"/>
  <c r="J2670" i="4"/>
  <c r="J2669" i="4"/>
  <c r="J2668" i="4"/>
  <c r="J2667" i="4"/>
  <c r="J2666" i="4"/>
  <c r="J2665" i="4"/>
  <c r="J2664" i="4"/>
  <c r="J2663" i="4"/>
  <c r="J2662" i="4"/>
  <c r="J2661" i="4"/>
  <c r="J2660" i="4"/>
  <c r="J2659" i="4"/>
  <c r="J2658" i="4"/>
  <c r="J2657" i="4"/>
  <c r="J2656" i="4"/>
  <c r="J2655" i="4"/>
  <c r="J2654" i="4"/>
  <c r="J2653" i="4"/>
  <c r="J2652" i="4"/>
  <c r="J2651" i="4"/>
  <c r="J2650" i="4"/>
  <c r="J2649" i="4"/>
  <c r="J2648" i="4"/>
  <c r="J2647" i="4"/>
  <c r="J2646" i="4"/>
  <c r="J2645" i="4"/>
  <c r="J2644" i="4"/>
  <c r="J2643" i="4"/>
  <c r="J2642" i="4"/>
  <c r="J2641" i="4"/>
  <c r="J2640" i="4"/>
  <c r="J2639" i="4"/>
  <c r="J2638" i="4"/>
  <c r="J2637" i="4"/>
  <c r="J2636" i="4"/>
  <c r="J2635" i="4"/>
  <c r="J2634" i="4"/>
  <c r="J2633" i="4"/>
  <c r="J2632" i="4"/>
  <c r="J2631" i="4"/>
  <c r="J2630" i="4"/>
  <c r="J2629" i="4"/>
  <c r="J2628" i="4"/>
  <c r="J2627" i="4"/>
  <c r="J2626" i="4"/>
  <c r="J2625" i="4"/>
  <c r="J2624" i="4"/>
  <c r="J2623" i="4"/>
  <c r="J2622" i="4"/>
  <c r="J2621" i="4"/>
  <c r="J2620" i="4"/>
  <c r="J2619" i="4"/>
  <c r="J2618" i="4"/>
  <c r="J2617" i="4"/>
  <c r="J2616" i="4"/>
  <c r="J2615" i="4"/>
  <c r="J2614" i="4"/>
  <c r="J2613" i="4"/>
  <c r="J2612" i="4"/>
  <c r="J2611" i="4"/>
  <c r="J2610" i="4"/>
  <c r="J2609" i="4"/>
  <c r="J2608" i="4"/>
  <c r="J2607" i="4"/>
  <c r="J2606" i="4"/>
  <c r="J2605" i="4"/>
  <c r="J2604" i="4"/>
  <c r="J2603" i="4"/>
  <c r="J2602" i="4"/>
  <c r="J2601" i="4"/>
  <c r="J2600" i="4"/>
  <c r="J2599" i="4"/>
  <c r="J2598" i="4"/>
  <c r="J2597" i="4"/>
  <c r="J2596" i="4"/>
  <c r="J2595" i="4"/>
  <c r="J2594" i="4"/>
  <c r="J2593" i="4"/>
  <c r="J2592" i="4"/>
  <c r="J2591" i="4"/>
  <c r="J2590" i="4"/>
  <c r="J2589" i="4"/>
  <c r="J2588" i="4"/>
  <c r="J2587" i="4"/>
  <c r="J2586" i="4"/>
  <c r="J2585" i="4"/>
  <c r="J2584" i="4"/>
  <c r="J2583" i="4"/>
  <c r="J2582" i="4"/>
  <c r="J2581" i="4"/>
  <c r="J2580" i="4"/>
  <c r="J2579" i="4"/>
  <c r="J2578" i="4"/>
  <c r="J2577" i="4"/>
  <c r="J2576" i="4"/>
  <c r="J2575" i="4"/>
  <c r="J2574" i="4"/>
  <c r="J2573" i="4"/>
  <c r="J2572" i="4"/>
  <c r="J2571" i="4"/>
  <c r="J2570" i="4"/>
  <c r="J2569" i="4"/>
  <c r="J2568" i="4"/>
  <c r="J2567" i="4"/>
  <c r="J2566" i="4"/>
  <c r="J2565" i="4"/>
  <c r="J2564" i="4"/>
  <c r="J2563" i="4"/>
  <c r="J2562" i="4"/>
  <c r="J2561" i="4"/>
  <c r="J2560" i="4"/>
  <c r="J2559" i="4"/>
  <c r="J2558" i="4"/>
  <c r="J2557" i="4"/>
  <c r="J2556" i="4"/>
  <c r="J2555" i="4"/>
  <c r="J2554" i="4"/>
  <c r="J2553" i="4"/>
  <c r="J2552" i="4"/>
  <c r="J2551" i="4"/>
  <c r="J2550" i="4"/>
  <c r="J2549" i="4"/>
  <c r="J2548" i="4"/>
  <c r="J2547" i="4"/>
  <c r="J2546" i="4"/>
  <c r="J2545" i="4"/>
  <c r="J2544" i="4"/>
  <c r="J2543" i="4"/>
  <c r="J2542" i="4"/>
  <c r="J2541" i="4"/>
  <c r="J2540" i="4"/>
  <c r="J2539" i="4"/>
  <c r="J2538" i="4"/>
  <c r="J2537" i="4"/>
  <c r="J2536" i="4"/>
  <c r="J2535" i="4"/>
  <c r="J2534" i="4"/>
  <c r="J2533" i="4"/>
  <c r="J2532" i="4"/>
  <c r="J2531" i="4"/>
  <c r="J2530" i="4"/>
  <c r="J2529" i="4"/>
  <c r="J2528" i="4"/>
  <c r="J2527" i="4"/>
  <c r="J2526" i="4"/>
  <c r="J2525" i="4"/>
  <c r="J2524" i="4"/>
  <c r="J2523" i="4"/>
  <c r="J2522" i="4"/>
  <c r="J2521" i="4"/>
  <c r="J2520" i="4"/>
  <c r="J2519" i="4"/>
  <c r="J2518" i="4"/>
  <c r="J2517" i="4"/>
  <c r="J2516" i="4"/>
  <c r="J2515" i="4"/>
  <c r="J2514" i="4"/>
  <c r="J2513" i="4"/>
  <c r="J2512" i="4"/>
  <c r="J2511" i="4"/>
  <c r="J2510" i="4"/>
  <c r="J2509" i="4"/>
  <c r="J2508" i="4"/>
  <c r="J2507" i="4"/>
  <c r="J2506" i="4"/>
  <c r="J2505" i="4"/>
  <c r="J2504" i="4"/>
  <c r="J2503" i="4"/>
  <c r="J2502" i="4"/>
  <c r="J2501" i="4"/>
  <c r="J2500" i="4"/>
  <c r="J2499" i="4"/>
  <c r="J2498" i="4"/>
  <c r="J2497" i="4"/>
  <c r="J2496" i="4"/>
  <c r="J2495" i="4"/>
  <c r="J2494" i="4"/>
  <c r="J2493" i="4"/>
  <c r="J2492" i="4"/>
  <c r="J2491" i="4"/>
  <c r="J2490" i="4"/>
  <c r="J2489" i="4"/>
  <c r="J2488" i="4"/>
  <c r="J2487" i="4"/>
  <c r="J2486" i="4"/>
  <c r="J2485" i="4"/>
  <c r="J2484" i="4"/>
  <c r="J2483" i="4"/>
  <c r="J2482" i="4"/>
  <c r="J2481" i="4"/>
  <c r="J2480" i="4"/>
  <c r="J2479" i="4"/>
  <c r="J2478" i="4"/>
  <c r="J2477" i="4"/>
  <c r="J2476" i="4"/>
  <c r="J2475" i="4"/>
  <c r="J2474" i="4"/>
  <c r="J2473" i="4"/>
  <c r="J2472" i="4"/>
  <c r="J2471" i="4"/>
  <c r="J2470" i="4"/>
  <c r="J2469" i="4"/>
  <c r="J2468" i="4"/>
  <c r="J2467" i="4"/>
  <c r="J2466" i="4"/>
  <c r="J2465" i="4"/>
  <c r="J2464" i="4"/>
  <c r="J2463" i="4"/>
  <c r="J2462" i="4"/>
  <c r="J2461" i="4"/>
  <c r="J2460" i="4"/>
  <c r="J2459" i="4"/>
  <c r="J2458" i="4"/>
  <c r="J2457" i="4"/>
  <c r="J2456" i="4"/>
  <c r="J2455" i="4"/>
  <c r="J2454" i="4"/>
  <c r="J2453" i="4"/>
  <c r="J2452" i="4"/>
  <c r="J2451" i="4"/>
  <c r="J2450" i="4"/>
  <c r="J2449" i="4"/>
  <c r="J2448" i="4"/>
  <c r="J2447" i="4"/>
  <c r="J2446" i="4"/>
  <c r="J2445" i="4"/>
  <c r="J2444" i="4"/>
  <c r="J2443" i="4"/>
  <c r="J2442" i="4"/>
  <c r="J2441" i="4"/>
  <c r="J2440" i="4"/>
  <c r="J2439" i="4"/>
  <c r="J2438" i="4"/>
  <c r="J2437" i="4"/>
  <c r="J2436" i="4"/>
  <c r="J2435" i="4"/>
  <c r="J2434" i="4"/>
  <c r="J2433" i="4"/>
  <c r="J2432" i="4"/>
  <c r="J2431" i="4"/>
  <c r="J2430" i="4"/>
  <c r="J2429" i="4"/>
  <c r="J2428" i="4"/>
  <c r="J2427" i="4"/>
  <c r="J2426" i="4"/>
  <c r="J2425" i="4"/>
  <c r="J2424" i="4"/>
  <c r="J2423" i="4"/>
  <c r="J2422" i="4"/>
  <c r="J2421" i="4"/>
  <c r="J2420" i="4"/>
  <c r="J2419" i="4"/>
  <c r="J2418" i="4"/>
  <c r="J2417" i="4"/>
  <c r="J2416" i="4"/>
  <c r="J2415" i="4"/>
  <c r="J2414" i="4"/>
  <c r="J2413" i="4"/>
  <c r="J2412" i="4"/>
  <c r="J2411" i="4"/>
  <c r="J2410" i="4"/>
  <c r="J2409" i="4"/>
  <c r="J2408" i="4"/>
  <c r="J2407" i="4"/>
  <c r="J2406" i="4"/>
  <c r="J2405" i="4"/>
  <c r="J2404" i="4"/>
  <c r="J2403" i="4"/>
  <c r="J2402" i="4"/>
  <c r="J2401" i="4"/>
  <c r="J2400" i="4"/>
  <c r="J2399" i="4"/>
  <c r="J2398" i="4"/>
  <c r="J2397" i="4"/>
  <c r="J2396" i="4"/>
  <c r="J2395" i="4"/>
  <c r="J2394" i="4"/>
  <c r="J2393" i="4"/>
  <c r="J2392" i="4"/>
  <c r="J2391" i="4"/>
  <c r="J2390" i="4"/>
  <c r="J2389" i="4"/>
  <c r="J2388" i="4"/>
  <c r="J2387" i="4"/>
  <c r="J2386" i="4"/>
  <c r="J2385" i="4"/>
  <c r="J2384" i="4"/>
  <c r="J2383" i="4"/>
  <c r="J2382" i="4"/>
  <c r="J2381" i="4"/>
  <c r="J2380" i="4"/>
  <c r="J2379" i="4"/>
  <c r="J2378" i="4"/>
  <c r="J2377" i="4"/>
  <c r="J2376" i="4"/>
  <c r="J2375" i="4"/>
  <c r="J2374" i="4"/>
  <c r="J2373" i="4"/>
  <c r="J2372" i="4"/>
  <c r="J2371" i="4"/>
  <c r="J2370" i="4"/>
  <c r="J2369" i="4"/>
  <c r="J2368" i="4"/>
  <c r="J2367" i="4"/>
  <c r="J2366" i="4"/>
  <c r="J2365" i="4"/>
  <c r="J2364" i="4"/>
  <c r="J2363" i="4"/>
  <c r="J2362" i="4"/>
  <c r="J2361" i="4"/>
  <c r="J2360" i="4"/>
  <c r="J2359" i="4"/>
  <c r="J2358" i="4"/>
  <c r="J2357" i="4"/>
  <c r="J2356" i="4"/>
  <c r="J2355" i="4"/>
  <c r="J2354" i="4"/>
  <c r="J2353" i="4"/>
  <c r="J2352" i="4"/>
  <c r="J2351" i="4"/>
  <c r="J2350" i="4"/>
  <c r="J2349" i="4"/>
  <c r="J2348" i="4"/>
  <c r="J2347" i="4"/>
  <c r="J2346" i="4"/>
  <c r="J2345" i="4"/>
  <c r="J2344" i="4"/>
  <c r="J2343" i="4"/>
  <c r="J2342" i="4"/>
  <c r="J2341" i="4"/>
  <c r="J2340" i="4"/>
  <c r="J2339" i="4"/>
  <c r="J2338" i="4"/>
  <c r="J2337" i="4"/>
  <c r="J2336" i="4"/>
  <c r="J2335" i="4"/>
  <c r="J2334" i="4"/>
  <c r="J2333" i="4"/>
  <c r="J2332" i="4"/>
  <c r="J2331" i="4"/>
  <c r="J2330" i="4"/>
  <c r="J2329" i="4"/>
  <c r="J2328" i="4"/>
  <c r="J2327" i="4"/>
  <c r="J2326" i="4"/>
  <c r="J2325" i="4"/>
  <c r="J2324" i="4"/>
  <c r="J2323" i="4"/>
  <c r="J2322" i="4"/>
  <c r="J2321" i="4"/>
  <c r="J2320" i="4"/>
  <c r="J2319" i="4"/>
  <c r="J2318" i="4"/>
  <c r="J2317" i="4"/>
  <c r="J2316" i="4"/>
  <c r="J2315" i="4"/>
  <c r="J2314" i="4"/>
  <c r="J2313" i="4"/>
  <c r="J2312" i="4"/>
  <c r="J2311" i="4"/>
  <c r="J2310" i="4"/>
  <c r="J2309" i="4"/>
  <c r="J2308" i="4"/>
  <c r="J2307" i="4"/>
  <c r="J2306" i="4"/>
  <c r="J2305" i="4"/>
  <c r="J2304" i="4"/>
  <c r="J2303" i="4"/>
  <c r="J2302" i="4"/>
  <c r="J2301" i="4"/>
  <c r="J2300" i="4"/>
  <c r="J2299" i="4"/>
  <c r="J2298" i="4"/>
  <c r="J2297" i="4"/>
  <c r="J2296" i="4"/>
  <c r="J2295" i="4"/>
  <c r="J2294" i="4"/>
  <c r="J2293" i="4"/>
  <c r="J2292" i="4"/>
  <c r="J2291" i="4"/>
  <c r="J2290" i="4"/>
  <c r="J2289" i="4"/>
  <c r="J2288" i="4"/>
  <c r="J2287" i="4"/>
  <c r="J2286" i="4"/>
  <c r="J2285" i="4"/>
  <c r="J2284" i="4"/>
  <c r="J2283" i="4"/>
  <c r="J2282" i="4"/>
  <c r="J2281" i="4"/>
  <c r="J2280" i="4"/>
  <c r="J2279" i="4"/>
  <c r="J2278" i="4"/>
  <c r="J2277" i="4"/>
  <c r="J2276" i="4"/>
  <c r="J2275" i="4"/>
  <c r="J2274" i="4"/>
  <c r="J2273" i="4"/>
  <c r="J2272" i="4"/>
  <c r="J2271" i="4"/>
  <c r="J2270" i="4"/>
  <c r="J2269" i="4"/>
  <c r="J2268" i="4"/>
  <c r="J2267" i="4"/>
  <c r="J2266" i="4"/>
  <c r="J2265" i="4"/>
  <c r="J2264" i="4"/>
  <c r="J2263" i="4"/>
  <c r="J2262" i="4"/>
  <c r="J2261" i="4"/>
  <c r="J2260" i="4"/>
  <c r="J2259" i="4"/>
  <c r="J2258" i="4"/>
  <c r="J2257" i="4"/>
  <c r="J2256" i="4"/>
  <c r="J2255" i="4"/>
  <c r="J2254" i="4"/>
  <c r="J2253" i="4"/>
  <c r="J2252" i="4"/>
  <c r="J2251" i="4"/>
  <c r="J2250" i="4"/>
  <c r="J2249" i="4"/>
  <c r="J2248" i="4"/>
  <c r="J2247" i="4"/>
  <c r="J2246" i="4"/>
  <c r="J2245" i="4"/>
  <c r="J2244" i="4"/>
  <c r="J2243" i="4"/>
  <c r="J2242" i="4"/>
  <c r="J2241" i="4"/>
  <c r="J2240" i="4"/>
  <c r="J2239" i="4"/>
  <c r="J2238" i="4"/>
  <c r="J2237" i="4"/>
  <c r="J2236" i="4"/>
  <c r="J2235" i="4"/>
  <c r="J2234" i="4"/>
  <c r="J2233" i="4"/>
  <c r="J2232" i="4"/>
  <c r="J2231" i="4"/>
  <c r="J2230" i="4"/>
  <c r="J2229" i="4"/>
  <c r="J2228" i="4"/>
  <c r="J2227" i="4"/>
  <c r="J2226" i="4"/>
  <c r="J2225" i="4"/>
  <c r="J2224" i="4"/>
  <c r="J2223" i="4"/>
  <c r="J2222" i="4"/>
  <c r="J2221" i="4"/>
  <c r="J2220" i="4"/>
  <c r="J2219" i="4"/>
  <c r="J2218" i="4"/>
  <c r="J2217" i="4"/>
  <c r="J2216" i="4"/>
  <c r="J2215" i="4"/>
  <c r="J2214" i="4"/>
  <c r="J2213" i="4"/>
  <c r="J2212" i="4"/>
  <c r="J2211" i="4"/>
  <c r="J2210" i="4"/>
  <c r="J2209" i="4"/>
  <c r="J2208" i="4"/>
  <c r="J2207" i="4"/>
  <c r="J2206" i="4"/>
  <c r="J2205" i="4"/>
  <c r="J2204" i="4"/>
  <c r="J2203" i="4"/>
  <c r="J2202" i="4"/>
  <c r="J2201" i="4"/>
  <c r="J2200" i="4"/>
  <c r="J2199" i="4"/>
  <c r="J2198" i="4"/>
  <c r="J2197" i="4"/>
  <c r="J2196" i="4"/>
  <c r="J2195" i="4"/>
  <c r="J2194" i="4"/>
  <c r="J2193" i="4"/>
  <c r="J2192" i="4"/>
  <c r="J2191" i="4"/>
  <c r="J2190" i="4"/>
  <c r="J2189" i="4"/>
  <c r="J2188" i="4"/>
  <c r="J2187" i="4"/>
  <c r="J2186" i="4"/>
  <c r="J2185" i="4"/>
  <c r="J2184" i="4"/>
  <c r="J2183" i="4"/>
  <c r="J2182" i="4"/>
  <c r="J2181" i="4"/>
  <c r="J2180" i="4"/>
  <c r="J2179" i="4"/>
  <c r="J2178" i="4"/>
  <c r="J2177" i="4"/>
  <c r="J2176" i="4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8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N24" i="2"/>
  <c r="M24" i="2"/>
  <c r="M23" i="2"/>
  <c r="M22" i="2"/>
  <c r="M20" i="2"/>
  <c r="K20" i="2"/>
  <c r="M19" i="2"/>
  <c r="M18" i="2"/>
  <c r="M17" i="2"/>
  <c r="M16" i="2"/>
  <c r="K16" i="2"/>
  <c r="M15" i="2"/>
  <c r="M14" i="2"/>
  <c r="M12" i="2"/>
  <c r="L12" i="2"/>
  <c r="E12" i="2"/>
  <c r="H11" i="2"/>
  <c r="F11" i="2"/>
  <c r="G11" i="2" s="1"/>
  <c r="N10" i="2"/>
  <c r="H9" i="2"/>
  <c r="F9" i="2"/>
  <c r="G9" i="2" s="1"/>
  <c r="H8" i="2"/>
  <c r="G8" i="2"/>
  <c r="I8" i="2" s="1"/>
  <c r="N8" i="2" s="1"/>
  <c r="F8" i="2"/>
  <c r="H7" i="2"/>
  <c r="F7" i="2"/>
  <c r="G7" i="2" s="1"/>
  <c r="K6" i="2"/>
  <c r="L6" i="2" s="1"/>
  <c r="M6" i="2" s="1"/>
  <c r="I6" i="2"/>
  <c r="N6" i="2" s="1"/>
  <c r="H6" i="2"/>
  <c r="G6" i="2"/>
  <c r="F6" i="2"/>
  <c r="H5" i="2"/>
  <c r="F5" i="2"/>
  <c r="G5" i="2" s="1"/>
  <c r="H4" i="2"/>
  <c r="F4" i="2"/>
  <c r="G4" i="2" s="1"/>
  <c r="H3" i="2"/>
  <c r="F3" i="2"/>
  <c r="G3" i="2" s="1"/>
  <c r="H2" i="2"/>
  <c r="F2" i="2"/>
  <c r="F12" i="2" s="1"/>
  <c r="K3" i="2" l="1"/>
  <c r="L3" i="2" s="1"/>
  <c r="M3" i="2" s="1"/>
  <c r="I3" i="2"/>
  <c r="N3" i="2" s="1"/>
  <c r="K5" i="2"/>
  <c r="L5" i="2" s="1"/>
  <c r="M5" i="2" s="1"/>
  <c r="I5" i="2"/>
  <c r="N5" i="2" s="1"/>
  <c r="I11" i="2"/>
  <c r="N11" i="2" s="1"/>
  <c r="K11" i="2"/>
  <c r="L11" i="2" s="1"/>
  <c r="M11" i="2" s="1"/>
  <c r="K7" i="2"/>
  <c r="L7" i="2" s="1"/>
  <c r="M7" i="2" s="1"/>
  <c r="I7" i="2"/>
  <c r="N7" i="2" s="1"/>
  <c r="K4" i="2"/>
  <c r="L4" i="2" s="1"/>
  <c r="M4" i="2" s="1"/>
  <c r="I4" i="2"/>
  <c r="N4" i="2" s="1"/>
  <c r="K9" i="2"/>
  <c r="L9" i="2" s="1"/>
  <c r="M9" i="2" s="1"/>
  <c r="I9" i="2"/>
  <c r="N9" i="2" s="1"/>
  <c r="K8" i="2"/>
  <c r="L8" i="2" s="1"/>
  <c r="M8" i="2" s="1"/>
  <c r="G2" i="2"/>
  <c r="G12" i="2" l="1"/>
  <c r="K2" i="2"/>
  <c r="I2" i="2"/>
  <c r="N2" i="2" s="1"/>
  <c r="N25" i="2" s="1"/>
  <c r="L2" i="2" l="1"/>
  <c r="K25" i="2"/>
  <c r="K27" i="2" s="1"/>
  <c r="M2" i="2" l="1"/>
  <c r="M25" i="2" s="1"/>
  <c r="L21" i="2"/>
  <c r="L25" i="2"/>
</calcChain>
</file>

<file path=xl/sharedStrings.xml><?xml version="1.0" encoding="utf-8"?>
<sst xmlns="http://schemas.openxmlformats.org/spreadsheetml/2006/main" count="26108" uniqueCount="9346">
  <si>
    <r>
      <t xml:space="preserve"> TEL:0953-2691037  
  </t>
    </r>
    <r>
      <rPr>
        <u/>
        <sz val="9.75"/>
        <color theme="10"/>
        <rFont val="Calibri"/>
        <family val="2"/>
      </rPr>
      <t>Email:service@huaji-bio.com</t>
    </r>
  </si>
  <si>
    <r>
      <t xml:space="preserve">+1 (646)391-6877
</t>
    </r>
    <r>
      <rPr>
        <u/>
        <sz val="9.75"/>
        <color theme="10"/>
        <rFont val="Calibri"/>
        <family val="2"/>
      </rPr>
      <t>ales@collagenation.com</t>
    </r>
  </si>
  <si>
    <r>
      <t>浓缩</t>
    </r>
    <r>
      <rPr>
        <sz val="13.5"/>
        <color rgb="FF000000"/>
        <rFont val="Calibri"/>
        <family val="2"/>
      </rPr>
      <t>(规格：65白利糖度）Concentrate (65° Brix)</t>
    </r>
  </si>
  <si>
    <r>
      <rPr>
        <sz val="9"/>
        <color rgb="FF000000"/>
        <rFont val="Calibri"/>
        <family val="2"/>
      </rPr>
      <t>Agaricus Blazei Mushroom Powder</t>
    </r>
  </si>
  <si>
    <r>
      <rPr>
        <sz val="9"/>
        <color rgb="FF000000"/>
        <rFont val="Calibri"/>
        <family val="2"/>
      </rPr>
      <t>TX</t>
    </r>
  </si>
  <si>
    <r>
      <rPr>
        <sz val="9"/>
        <color rgb="FF000000"/>
        <rFont val="Calibri"/>
        <family val="2"/>
      </rPr>
      <t>In Stock</t>
    </r>
  </si>
  <si>
    <r>
      <rPr>
        <sz val="9"/>
        <color rgb="FF000000"/>
        <rFont val="Calibri"/>
        <family val="2"/>
      </rPr>
      <t>Calcium Citrate DC 97 Granular</t>
    </r>
  </si>
  <si>
    <r>
      <rPr>
        <sz val="9"/>
        <color rgb="FF000000"/>
        <rFont val="Calibri"/>
        <family val="2"/>
      </rPr>
      <t>Horny Goat Weed Icariins 20% HPLC</t>
    </r>
  </si>
  <si>
    <r>
      <rPr>
        <sz val="9"/>
        <color rgb="FF000000"/>
        <rFont val="Calibri"/>
        <family val="2"/>
      </rPr>
      <t>Magnesium sulphate</t>
    </r>
  </si>
  <si>
    <r>
      <rPr>
        <sz val="9"/>
        <color rgb="FF000000"/>
        <rFont val="Calibri"/>
        <family val="2"/>
      </rPr>
      <t>Prune Extract 4:1</t>
    </r>
  </si>
  <si>
    <r>
      <rPr>
        <sz val="9"/>
        <color rgb="FF000000"/>
        <rFont val="Calibri"/>
        <family val="2"/>
      </rPr>
      <t>Ecdysterone powder 98% UV</t>
    </r>
  </si>
  <si>
    <r>
      <rPr>
        <sz val="9"/>
        <color rgb="FF000000"/>
        <rFont val="Calibri"/>
        <family val="2"/>
      </rPr>
      <t>Organic Dill Seed Extract (Anethum graveolens) 4:1</t>
    </r>
  </si>
  <si>
    <r>
      <rPr>
        <sz val="9"/>
        <color rgb="FF000000"/>
        <rFont val="Calibri"/>
        <family val="2"/>
      </rPr>
      <t>Tart Cherry 10:1</t>
    </r>
  </si>
  <si>
    <r>
      <rPr>
        <sz val="9"/>
        <color rgb="FF000000"/>
        <rFont val="Calibri"/>
        <family val="2"/>
      </rPr>
      <t>African Mango Seeds Extract 10:1 TLC</t>
    </r>
  </si>
  <si>
    <r>
      <rPr>
        <sz val="9"/>
        <color rgb="FF000000"/>
        <rFont val="Calibri"/>
        <family val="2"/>
      </rPr>
      <t>Calcium Chloride Dihydrate</t>
    </r>
  </si>
  <si>
    <r>
      <rPr>
        <sz val="9"/>
        <color rgb="FF000000"/>
        <rFont val="Calibri"/>
        <family val="2"/>
      </rPr>
      <t>Horny Goat Weed Extract(std. min. 5% Icariins)</t>
    </r>
  </si>
  <si>
    <r>
      <rPr>
        <sz val="9"/>
        <color rgb="FF000000"/>
        <rFont val="Calibri"/>
        <family val="2"/>
      </rPr>
      <t>Malabar Nut Extract 10:1 TLC</t>
    </r>
  </si>
  <si>
    <r>
      <rPr>
        <sz val="9"/>
        <color rgb="FF000000"/>
        <rFont val="Calibri"/>
        <family val="2"/>
      </rPr>
      <t>Pumpkin Seed Protein 70%</t>
    </r>
  </si>
  <si>
    <r>
      <rPr>
        <sz val="9"/>
        <color rgb="FF000000"/>
        <rFont val="Calibri"/>
        <family val="2"/>
      </rPr>
      <t>Ecdysterone Ajuja Turkestanica extract 90%</t>
    </r>
  </si>
  <si>
    <r>
      <rPr>
        <sz val="9"/>
        <color rgb="FF000000"/>
        <rFont val="Calibri"/>
        <family val="2"/>
      </rPr>
      <t>Organic Decaf Green Tea Extract</t>
    </r>
  </si>
  <si>
    <r>
      <rPr>
        <sz val="9"/>
        <color rgb="FF000000"/>
        <rFont val="Calibri"/>
        <family val="2"/>
      </rPr>
      <t>Tapioca Starch</t>
    </r>
  </si>
  <si>
    <r>
      <rPr>
        <sz val="9"/>
        <color rgb="FF000000"/>
        <rFont val="Calibri"/>
        <family val="2"/>
      </rPr>
      <t>African Mango Seed Extract 5:1</t>
    </r>
  </si>
  <si>
    <r>
      <rPr>
        <sz val="9"/>
        <color rgb="FF000000"/>
        <rFont val="Calibri"/>
        <family val="2"/>
      </rPr>
      <t>Calcium Caseinate</t>
    </r>
  </si>
  <si>
    <r>
      <rPr>
        <sz val="9"/>
        <color rgb="FF000000"/>
        <rFont val="Calibri"/>
        <family val="2"/>
      </rPr>
      <t>Horny Goat Weed Extract(std. min. 40% Icariin)(30:1)(leaf )</t>
    </r>
  </si>
  <si>
    <r>
      <rPr>
        <sz val="9"/>
        <color rgb="FF000000"/>
        <rFont val="Calibri"/>
        <family val="2"/>
      </rPr>
      <t>MAITAKE MUSHROOM grifola frondosa 10%</t>
    </r>
  </si>
  <si>
    <r>
      <rPr>
        <sz val="9"/>
        <color rgb="FF000000"/>
        <rFont val="Calibri"/>
        <family val="2"/>
      </rPr>
      <t>Pumpkin seed oil</t>
    </r>
  </si>
  <si>
    <r>
      <rPr>
        <sz val="9"/>
        <color rgb="FF000000"/>
        <rFont val="Calibri"/>
        <family val="2"/>
      </rPr>
      <t>Dulse Leaf powder</t>
    </r>
  </si>
  <si>
    <r>
      <rPr>
        <sz val="9"/>
        <color rgb="FF000000"/>
        <rFont val="Calibri"/>
        <family val="2"/>
      </rPr>
      <t>Maitake Mushroom extract 30% Polysaccharides by UV</t>
    </r>
  </si>
  <si>
    <r>
      <rPr>
        <sz val="9"/>
        <color rgb="FF000000"/>
        <rFont val="Calibri"/>
        <family val="2"/>
      </rPr>
      <t>Organic Dandelion Root Extract 10:1</t>
    </r>
  </si>
  <si>
    <r>
      <rPr>
        <sz val="9"/>
        <color rgb="FF000000"/>
        <rFont val="Calibri"/>
        <family val="2"/>
      </rPr>
      <t>Tangerine Aged Peel Powder</t>
    </r>
  </si>
  <si>
    <r>
      <rPr>
        <sz val="9"/>
        <color rgb="FF000000"/>
        <rFont val="Calibri"/>
        <family val="2"/>
      </rPr>
      <t>Achyranthes Aspera Extract 8:1</t>
    </r>
  </si>
  <si>
    <r>
      <rPr>
        <sz val="9"/>
        <color rgb="FF000000"/>
        <rFont val="Calibri"/>
        <family val="2"/>
      </rPr>
      <t>Calcium Threonate 30%</t>
    </r>
  </si>
  <si>
    <r>
      <rPr>
        <sz val="9"/>
        <color rgb="FF000000"/>
        <rFont val="Calibri"/>
        <family val="2"/>
      </rPr>
      <t>Hovenia Dulcis Berry powder</t>
    </r>
  </si>
  <si>
    <r>
      <rPr>
        <sz val="9"/>
        <color rgb="FF000000"/>
        <rFont val="Calibri"/>
        <family val="2"/>
      </rPr>
      <t>Puerariae Root Extract 10:1 TLC (Kudzu Root Extract 10:1 TLC)</t>
    </r>
  </si>
  <si>
    <r>
      <rPr>
        <sz val="9"/>
        <color rgb="FF000000"/>
        <rFont val="Calibri"/>
        <family val="2"/>
      </rPr>
      <t>Yohimbe(std.min.8% yohimbine hydrochloride)(bark)</t>
    </r>
  </si>
  <si>
    <r>
      <rPr>
        <sz val="9"/>
        <color rgb="FF000000"/>
        <rFont val="Calibri"/>
        <family val="2"/>
      </rPr>
      <t>Drynaria Fortunei Extract 4:1 TLC</t>
    </r>
  </si>
  <si>
    <r>
      <rPr>
        <sz val="9"/>
        <color rgb="FF000000"/>
        <rFont val="Calibri"/>
        <family val="2"/>
      </rPr>
      <t>Magnolia Officinalis Bark Extract 4:1 TLC</t>
    </r>
  </si>
  <si>
    <r>
      <rPr>
        <sz val="9"/>
        <color rgb="FF000000"/>
        <rFont val="Calibri"/>
        <family val="2"/>
      </rPr>
      <t>Organic GF Oatmilk Powder</t>
    </r>
  </si>
  <si>
    <r>
      <rPr>
        <sz val="9"/>
        <color rgb="FF000000"/>
        <rFont val="Calibri"/>
        <family val="2"/>
      </rPr>
      <t>Theacrine</t>
    </r>
  </si>
  <si>
    <r>
      <rPr>
        <sz val="9"/>
        <color rgb="FF000000"/>
        <rFont val="Calibri"/>
        <family val="2"/>
      </rPr>
      <t>Aloe Vera (Aloe barbadensis) 200:1 Gel Spray Dried powder</t>
    </r>
  </si>
  <si>
    <r>
      <rPr>
        <sz val="9"/>
        <color rgb="FF000000"/>
        <rFont val="Calibri"/>
        <family val="2"/>
      </rPr>
      <t>Calcium Silicate</t>
    </r>
  </si>
  <si>
    <r>
      <rPr>
        <sz val="9"/>
        <color rgb="FF000000"/>
        <rFont val="Calibri"/>
        <family val="2"/>
      </rPr>
      <t>Horsetail Herb Powder</t>
    </r>
  </si>
  <si>
    <r>
      <rPr>
        <sz val="9"/>
        <color rgb="FF000000"/>
        <rFont val="Calibri"/>
        <family val="2"/>
      </rPr>
      <t>Pueraria mirifica extract 4:1</t>
    </r>
  </si>
  <si>
    <r>
      <rPr>
        <sz val="9"/>
        <color rgb="FF000000"/>
        <rFont val="Calibri"/>
        <family val="2"/>
      </rPr>
      <t>Yohimbe extract (std. min. 90% yohimbine HCl )(bark)</t>
    </r>
  </si>
  <si>
    <r>
      <rPr>
        <sz val="9"/>
        <color rgb="FF000000"/>
        <rFont val="Calibri"/>
        <family val="2"/>
      </rPr>
      <t>Eclipta Prostrata Extract 4:1</t>
    </r>
  </si>
  <si>
    <r>
      <rPr>
        <sz val="9"/>
        <color rgb="FF000000"/>
        <rFont val="Calibri"/>
        <family val="2"/>
      </rPr>
      <t>Mandarin orange (Citrus reticulata) powder</t>
    </r>
  </si>
  <si>
    <r>
      <rPr>
        <sz val="9"/>
        <color rgb="FF000000"/>
        <rFont val="Calibri"/>
        <family val="2"/>
      </rPr>
      <t>Organic Flax Seed Powder</t>
    </r>
  </si>
  <si>
    <r>
      <rPr>
        <sz val="9"/>
        <color rgb="FF000000"/>
        <rFont val="Calibri"/>
        <family val="2"/>
      </rPr>
      <t>Thaumatin 99% (sweet degree 10000)</t>
    </r>
  </si>
  <si>
    <r>
      <rPr>
        <sz val="9"/>
        <color rgb="FF000000"/>
        <rFont val="Calibri"/>
        <family val="2"/>
      </rPr>
      <t>Alfalfa Extract 10:1 TLC</t>
    </r>
  </si>
  <si>
    <r>
      <rPr>
        <sz val="9"/>
        <color rgb="FF000000"/>
        <rFont val="Calibri"/>
        <family val="2"/>
      </rPr>
      <t>Calcium Laurate Powder</t>
    </r>
  </si>
  <si>
    <r>
      <rPr>
        <sz val="9"/>
        <color rgb="FF000000"/>
        <rFont val="Calibri"/>
        <family val="2"/>
      </rPr>
      <t>Horsetail Extract 10:1 TLC</t>
    </r>
  </si>
  <si>
    <r>
      <rPr>
        <sz val="9"/>
        <color rgb="FF000000"/>
        <rFont val="Calibri"/>
        <family val="2"/>
      </rPr>
      <t>Pyridoxine Alpha-Ketoglutarate (NLT 52% Pyridoxine)</t>
    </r>
  </si>
  <si>
    <r>
      <rPr>
        <sz val="9"/>
        <color rgb="FF000000"/>
        <rFont val="Calibri"/>
        <family val="2"/>
      </rPr>
      <t>Yohimbe (std min.2% Yohimbine hydrochloride)(bark)</t>
    </r>
  </si>
  <si>
    <r>
      <rPr>
        <sz val="9"/>
        <color rgb="FF000000"/>
        <rFont val="Calibri"/>
        <family val="2"/>
      </rPr>
      <t>Echinacea Purpurea Extract 4:1</t>
    </r>
  </si>
  <si>
    <r>
      <rPr>
        <sz val="9"/>
        <color rgb="FF000000"/>
        <rFont val="Calibri"/>
        <family val="2"/>
      </rPr>
      <t>Maltodextrin M-500</t>
    </r>
  </si>
  <si>
    <r>
      <rPr>
        <sz val="9"/>
        <color rgb="FF000000"/>
        <rFont val="Calibri"/>
        <family val="2"/>
      </rPr>
      <t>Organic Fennel Powder</t>
    </r>
  </si>
  <si>
    <r>
      <rPr>
        <sz val="9"/>
        <color rgb="FF000000"/>
        <rFont val="Calibri"/>
        <family val="2"/>
      </rPr>
      <t>Terminalia arjuna Bark Extract 30% Tannin</t>
    </r>
  </si>
  <si>
    <r>
      <rPr>
        <sz val="9"/>
        <color rgb="FF000000"/>
        <rFont val="Calibri"/>
        <family val="2"/>
      </rPr>
      <t>Akkermansia Muciniphila 50B</t>
    </r>
  </si>
  <si>
    <r>
      <rPr>
        <sz val="9"/>
        <color rgb="FF000000"/>
        <rFont val="Calibri"/>
        <family val="2"/>
      </rPr>
      <t>Calcium Gluconate</t>
    </r>
  </si>
  <si>
    <r>
      <rPr>
        <sz val="9"/>
        <color rgb="FF000000"/>
        <rFont val="Calibri"/>
        <family val="2"/>
      </rPr>
      <t>Horse Chestnut Powder</t>
    </r>
  </si>
  <si>
    <r>
      <rPr>
        <sz val="9"/>
        <color rgb="FF000000"/>
        <rFont val="Calibri"/>
        <family val="2"/>
      </rPr>
      <t>Pygeum Extract 10:1 TLC</t>
    </r>
  </si>
  <si>
    <r>
      <rPr>
        <sz val="9"/>
        <color rgb="FF000000"/>
        <rFont val="Calibri"/>
        <family val="2"/>
      </rPr>
      <t>Yerba Mate Extract 8% Caffeine</t>
    </r>
  </si>
  <si>
    <r>
      <rPr>
        <sz val="9"/>
        <color rgb="FF000000"/>
        <rFont val="Calibri"/>
        <family val="2"/>
      </rPr>
      <t>Echinacea Purpurea Extract 10:1</t>
    </r>
  </si>
  <si>
    <r>
      <rPr>
        <sz val="9"/>
        <color rgb="FF000000"/>
        <rFont val="Calibri"/>
        <family val="2"/>
      </rPr>
      <t>Maltodextrin M (IS provided)</t>
    </r>
  </si>
  <si>
    <r>
      <rPr>
        <sz val="9"/>
        <color rgb="FF000000"/>
        <rFont val="Calibri"/>
        <family val="2"/>
      </rPr>
      <t>Organic Echinacea Purperea Root Powder</t>
    </r>
  </si>
  <si>
    <r>
      <rPr>
        <sz val="9"/>
        <color rgb="FF000000"/>
        <rFont val="Calibri"/>
        <family val="2"/>
      </rPr>
      <t>Taurine (anti-caking)</t>
    </r>
  </si>
  <si>
    <r>
      <rPr>
        <sz val="9"/>
        <color rgb="FF000000"/>
        <rFont val="Calibri"/>
        <family val="2"/>
      </rPr>
      <t>Agmatine Sulfate</t>
    </r>
  </si>
  <si>
    <r>
      <rPr>
        <sz val="9"/>
        <color rgb="FF000000"/>
        <rFont val="Calibri"/>
        <family val="2"/>
      </rPr>
      <t>Cane Sugar</t>
    </r>
  </si>
  <si>
    <r>
      <rPr>
        <sz val="9"/>
        <color rgb="FF000000"/>
        <rFont val="Calibri"/>
        <family val="2"/>
      </rPr>
      <t>Hydrangea Root Extract 4:1 TLC</t>
    </r>
  </si>
  <si>
    <r>
      <rPr>
        <sz val="9"/>
        <color rgb="FF000000"/>
        <rFont val="Calibri"/>
        <family val="2"/>
      </rPr>
      <t>Pygeum Bark Ext. 4:1</t>
    </r>
  </si>
  <si>
    <r>
      <rPr>
        <sz val="9"/>
        <color rgb="FF000000"/>
        <rFont val="Calibri"/>
        <family val="2"/>
      </rPr>
      <t>Zeaxanthin 5% Beadlet</t>
    </r>
  </si>
  <si>
    <r>
      <rPr>
        <sz val="9"/>
        <color rgb="FF000000"/>
        <rFont val="Calibri"/>
        <family val="2"/>
      </rPr>
      <t>Camu Camu Extract 4:1</t>
    </r>
  </si>
  <si>
    <r>
      <rPr>
        <sz val="9"/>
        <color rgb="FF000000"/>
        <rFont val="Calibri"/>
        <family val="2"/>
      </rPr>
      <t>Echinacea Angustifolia Powder</t>
    </r>
  </si>
  <si>
    <r>
      <rPr>
        <sz val="9"/>
        <color rgb="FF000000"/>
        <rFont val="Calibri"/>
        <family val="2"/>
      </rPr>
      <t>Maltodextrin DE16-20</t>
    </r>
  </si>
  <si>
    <r>
      <rPr>
        <sz val="9"/>
        <color rgb="FF000000"/>
        <rFont val="Calibri"/>
        <family val="2"/>
      </rPr>
      <t>Organic Green Tea Extract</t>
    </r>
  </si>
  <si>
    <r>
      <rPr>
        <sz val="9"/>
        <color rgb="FF000000"/>
        <rFont val="Calibri"/>
        <family val="2"/>
      </rPr>
      <t>Wheat germ extract spermidine 2%</t>
    </r>
  </si>
  <si>
    <r>
      <rPr>
        <sz val="9"/>
        <color rgb="FF000000"/>
        <rFont val="Calibri"/>
        <family val="2"/>
      </rPr>
      <t>Alpha Lipoic Acid (ALA) Powder</t>
    </r>
  </si>
  <si>
    <r>
      <rPr>
        <sz val="9"/>
        <color rgb="FF000000"/>
        <rFont val="Calibri"/>
        <family val="2"/>
      </rPr>
      <t>Hyaluronic Acid</t>
    </r>
  </si>
  <si>
    <r>
      <rPr>
        <sz val="9"/>
        <color rgb="FF000000"/>
        <rFont val="Calibri"/>
        <family val="2"/>
      </rPr>
      <t>Pumpkin Seeds Powder</t>
    </r>
  </si>
  <si>
    <r>
      <rPr>
        <sz val="9"/>
        <color rgb="FF000000"/>
        <rFont val="Calibri"/>
        <family val="2"/>
      </rPr>
      <t>Zeaxanthin 20%</t>
    </r>
  </si>
  <si>
    <r>
      <rPr>
        <sz val="9"/>
        <color rgb="FF000000"/>
        <rFont val="Calibri"/>
        <family val="2"/>
      </rPr>
      <t>Callicarpa Macrophylia(Beautyberry) 4:1</t>
    </r>
  </si>
  <si>
    <r>
      <rPr>
        <sz val="9"/>
        <color rgb="FF000000"/>
        <rFont val="Calibri"/>
        <family val="2"/>
      </rPr>
      <t>Epicatechin 40%</t>
    </r>
  </si>
  <si>
    <r>
      <rPr>
        <sz val="9"/>
        <color rgb="FF000000"/>
        <rFont val="Calibri"/>
        <family val="2"/>
      </rPr>
      <t>Mango Extract Mangiferin 95%</t>
    </r>
  </si>
  <si>
    <r>
      <rPr>
        <sz val="9"/>
        <color rgb="FF000000"/>
        <rFont val="Calibri"/>
        <family val="2"/>
      </rPr>
      <t>Organic Grapefruit Seed Powder</t>
    </r>
  </si>
  <si>
    <r>
      <rPr>
        <sz val="9"/>
        <color rgb="FF000000"/>
        <rFont val="Calibri"/>
        <family val="2"/>
      </rPr>
      <t>Watermelon premix</t>
    </r>
  </si>
  <si>
    <r>
      <rPr>
        <sz val="9"/>
        <color rgb="FF000000"/>
        <rFont val="Calibri"/>
        <family val="2"/>
      </rPr>
      <t>Alpha Ketoglutarate Acid</t>
    </r>
  </si>
  <si>
    <r>
      <rPr>
        <sz val="9"/>
        <color rgb="FF000000"/>
        <rFont val="Calibri"/>
        <family val="2"/>
      </rPr>
      <t>Huperzia Serrata Extract (std.min.1%) (Synthetic)</t>
    </r>
  </si>
  <si>
    <r>
      <rPr>
        <sz val="9"/>
        <color rgb="FF000000"/>
        <rFont val="Calibri"/>
        <family val="2"/>
      </rPr>
      <t>Shitake Mushroom Extract 10:1 TLC</t>
    </r>
  </si>
  <si>
    <r>
      <rPr>
        <sz val="9"/>
        <color rgb="FF000000"/>
        <rFont val="Calibri"/>
        <family val="2"/>
      </rPr>
      <t>Zeaxanthin 10% Powder</t>
    </r>
  </si>
  <si>
    <r>
      <rPr>
        <sz val="9"/>
        <color rgb="FF000000"/>
        <rFont val="Calibri"/>
        <family val="2"/>
      </rPr>
      <t>Calendula Flower Powder</t>
    </r>
  </si>
  <si>
    <r>
      <rPr>
        <sz val="9"/>
        <color rgb="FF000000"/>
        <rFont val="Calibri"/>
        <family val="2"/>
      </rPr>
      <t>Elderberry fruit extract 7% anthocyanins</t>
    </r>
  </si>
  <si>
    <r>
      <rPr>
        <sz val="9"/>
        <color rgb="FF000000"/>
        <rFont val="Calibri"/>
        <family val="2"/>
      </rPr>
      <t>Mangiferin 95%</t>
    </r>
  </si>
  <si>
    <r>
      <rPr>
        <sz val="9"/>
        <color rgb="FF000000"/>
        <rFont val="Calibri"/>
        <family val="2"/>
      </rPr>
      <t>Organic Goji Berry Powder</t>
    </r>
  </si>
  <si>
    <r>
      <rPr>
        <sz val="9"/>
        <color rgb="FF000000"/>
        <rFont val="Calibri"/>
        <family val="2"/>
      </rPr>
      <t>Watermelon (Citrullus lanatus) Fruit 4:1 PE</t>
    </r>
  </si>
  <si>
    <r>
      <rPr>
        <sz val="9"/>
        <color rgb="FF000000"/>
        <rFont val="Calibri"/>
        <family val="2"/>
      </rPr>
      <t>Aloe Vera Powder (Leaf)</t>
    </r>
  </si>
  <si>
    <r>
      <rPr>
        <sz val="9"/>
        <color rgb="FF000000"/>
        <rFont val="Calibri"/>
        <family val="2"/>
      </rPr>
      <t>Huperzia Serrata Extract (std.min.1% Huperzine A)</t>
    </r>
  </si>
  <si>
    <r>
      <rPr>
        <sz val="9"/>
        <color rgb="FF000000"/>
        <rFont val="Calibri"/>
        <family val="2"/>
      </rPr>
      <t>Shilajit PE 30:1</t>
    </r>
  </si>
  <si>
    <r>
      <rPr>
        <sz val="9"/>
        <color rgb="FF000000"/>
        <rFont val="Calibri"/>
        <family val="2"/>
      </rPr>
      <t>Yucca Extract 10:1 TLC</t>
    </r>
  </si>
  <si>
    <r>
      <rPr>
        <sz val="9"/>
        <color rgb="FF000000"/>
        <rFont val="Calibri"/>
        <family val="2"/>
      </rPr>
      <t>Capsicum extract 120000SHU</t>
    </r>
  </si>
  <si>
    <r>
      <rPr>
        <sz val="9"/>
        <color rgb="FF000000"/>
        <rFont val="Calibri"/>
        <family val="2"/>
      </rPr>
      <t>Elderberry Fruit Extract 14% Anthocyanidin UV</t>
    </r>
  </si>
  <si>
    <r>
      <rPr>
        <sz val="9"/>
        <color rgb="FF000000"/>
        <rFont val="Calibri"/>
        <family val="2"/>
      </rPr>
      <t>Manganese Picolinate15%</t>
    </r>
  </si>
  <si>
    <r>
      <rPr>
        <sz val="9"/>
        <color rgb="FF000000"/>
        <rFont val="Calibri"/>
        <family val="2"/>
      </rPr>
      <t>Organic Ginkgo Biloba Extract 24% Flavonoids</t>
    </r>
  </si>
  <si>
    <r>
      <rPr>
        <sz val="9"/>
        <color rgb="FF000000"/>
        <rFont val="Calibri"/>
        <family val="2"/>
      </rPr>
      <t>WaterCress Extract 10:1</t>
    </r>
  </si>
  <si>
    <r>
      <rPr>
        <sz val="9"/>
        <color rgb="FF000000"/>
        <rFont val="Calibri"/>
        <family val="2"/>
      </rPr>
      <t>Aloe Vera Extract 4:1 TLC</t>
    </r>
  </si>
  <si>
    <r>
      <rPr>
        <sz val="9"/>
        <color rgb="FF000000"/>
        <rFont val="Calibri"/>
        <family val="2"/>
      </rPr>
      <t>Hydrolyzed Marine collagen (Wild Caught)</t>
    </r>
  </si>
  <si>
    <r>
      <rPr>
        <sz val="9"/>
        <color rgb="FF000000"/>
        <rFont val="Calibri"/>
        <family val="2"/>
      </rPr>
      <t>Shilajit PE 10:1 (100% water) ISA</t>
    </r>
  </si>
  <si>
    <r>
      <rPr>
        <sz val="9"/>
        <color rgb="FF000000"/>
        <rFont val="Calibri"/>
        <family val="2"/>
      </rPr>
      <t>Zinc (zinc oxide)</t>
    </r>
  </si>
  <si>
    <r>
      <rPr>
        <sz val="9"/>
        <color rgb="FF000000"/>
        <rFont val="Calibri"/>
        <family val="2"/>
      </rPr>
      <t>Capsaicin Extract 10:1</t>
    </r>
  </si>
  <si>
    <r>
      <rPr>
        <sz val="9"/>
        <color rgb="FF000000"/>
        <rFont val="Calibri"/>
        <family val="2"/>
      </rPr>
      <t>Elderberry extract 4:1</t>
    </r>
  </si>
  <si>
    <r>
      <rPr>
        <sz val="9"/>
        <color rgb="FF000000"/>
        <rFont val="Calibri"/>
        <family val="2"/>
      </rPr>
      <t>Manganese Citrate</t>
    </r>
  </si>
  <si>
    <r>
      <rPr>
        <sz val="9"/>
        <color rgb="FF000000"/>
        <rFont val="Calibri"/>
        <family val="2"/>
      </rPr>
      <t>Passion Flower Ext 4:1</t>
    </r>
  </si>
  <si>
    <r>
      <rPr>
        <sz val="9"/>
        <color rgb="FF000000"/>
        <rFont val="Calibri"/>
        <family val="2"/>
      </rPr>
      <t>White Kidney Bean 20:1</t>
    </r>
  </si>
  <si>
    <r>
      <rPr>
        <sz val="9"/>
        <color rgb="FF000000"/>
        <rFont val="Calibri"/>
        <family val="2"/>
      </rPr>
      <t>American Ginseng Root Powder</t>
    </r>
  </si>
  <si>
    <r>
      <rPr>
        <sz val="9"/>
        <color rgb="FF000000"/>
        <rFont val="Calibri"/>
        <family val="2"/>
      </rPr>
      <t>Hydrolyzed Fish Collagen Peptide 2000DA</t>
    </r>
  </si>
  <si>
    <r>
      <rPr>
        <sz val="9"/>
        <color rgb="FF000000"/>
        <rFont val="Calibri"/>
        <family val="2"/>
      </rPr>
      <t>Shilajit P.E. Powder 50% Fulvic Acid</t>
    </r>
  </si>
  <si>
    <r>
      <rPr>
        <sz val="9"/>
        <color rgb="FF000000"/>
        <rFont val="Calibri"/>
        <family val="2"/>
      </rPr>
      <t>Zinc (as zinc gluconate, 12% Zn, Pb&lt;1ppm)(Granular)</t>
    </r>
  </si>
  <si>
    <r>
      <rPr>
        <sz val="9"/>
        <color rgb="FF000000"/>
        <rFont val="Calibri"/>
        <family val="2"/>
      </rPr>
      <t>Caprylic Acid</t>
    </r>
  </si>
  <si>
    <r>
      <rPr>
        <sz val="9"/>
        <color rgb="FF000000"/>
        <rFont val="Calibri"/>
        <family val="2"/>
      </rPr>
      <t>Eucommia Ulmoides Extract 4:1 TLC (Bark)</t>
    </r>
  </si>
  <si>
    <r>
      <rPr>
        <sz val="9"/>
        <color rgb="FF000000"/>
        <rFont val="Calibri"/>
        <family val="2"/>
      </rPr>
      <t>Okra Extract</t>
    </r>
  </si>
  <si>
    <r>
      <rPr>
        <sz val="9"/>
        <color rgb="FF000000"/>
        <rFont val="Calibri"/>
        <family val="2"/>
      </rPr>
      <t>Parsley Leaf Extract 10:1</t>
    </r>
  </si>
  <si>
    <r>
      <rPr>
        <sz val="9"/>
        <color rgb="FF000000"/>
        <rFont val="Calibri"/>
        <family val="2"/>
      </rPr>
      <t>White Button Mushroom Extract (10:1)</t>
    </r>
  </si>
  <si>
    <r>
      <rPr>
        <sz val="9"/>
        <color rgb="FF000000"/>
        <rFont val="Calibri"/>
        <family val="2"/>
      </rPr>
      <t>American Ginseng Extract Total Ginsenosides 3% UV (Root)</t>
    </r>
  </si>
  <si>
    <r>
      <rPr>
        <sz val="9"/>
        <color rgb="FF000000"/>
        <rFont val="Calibri"/>
        <family val="2"/>
      </rPr>
      <t>Hydrolyzed Chicken Collagen Type II</t>
    </r>
  </si>
  <si>
    <r>
      <rPr>
        <sz val="9"/>
        <color rgb="FF000000"/>
        <rFont val="Calibri"/>
        <family val="2"/>
      </rPr>
      <t>Papaya Fruit Powder</t>
    </r>
  </si>
  <si>
    <r>
      <rPr>
        <sz val="9"/>
        <color rgb="FF000000"/>
        <rFont val="Calibri"/>
        <family val="2"/>
      </rPr>
      <t>Sida Acuta root and Stem Extract 10:1</t>
    </r>
  </si>
  <si>
    <r>
      <rPr>
        <sz val="9"/>
        <color rgb="FF000000"/>
        <rFont val="Calibri"/>
        <family val="2"/>
      </rPr>
      <t>Zinc (as zinc gluconate, 12% Zn)</t>
    </r>
  </si>
  <si>
    <r>
      <rPr>
        <sz val="9"/>
        <color rgb="FF000000"/>
        <rFont val="Calibri"/>
        <family val="2"/>
      </rPr>
      <t>Cantaloupe (Cucumis melo) Fruit Pwd</t>
    </r>
  </si>
  <si>
    <r>
      <rPr>
        <sz val="9"/>
        <color rgb="FF000000"/>
        <rFont val="Calibri"/>
        <family val="2"/>
      </rPr>
      <t>Erythritol</t>
    </r>
  </si>
  <si>
    <r>
      <rPr>
        <sz val="9"/>
        <color rgb="FF000000"/>
        <rFont val="Calibri"/>
        <family val="2"/>
      </rPr>
      <t>Octacosanol 95%</t>
    </r>
  </si>
  <si>
    <r>
      <rPr>
        <sz val="9"/>
        <color rgb="FF000000"/>
        <rFont val="Calibri"/>
        <family val="2"/>
      </rPr>
      <t>Whey Protein Isolate 90% (Instant)</t>
    </r>
  </si>
  <si>
    <r>
      <rPr>
        <sz val="9"/>
        <color rgb="FF000000"/>
        <rFont val="Calibri"/>
        <family val="2"/>
      </rPr>
      <t>American Ginseng Extract 3% HPLC</t>
    </r>
  </si>
  <si>
    <r>
      <rPr>
        <sz val="9"/>
        <color rgb="FF000000"/>
        <rFont val="Calibri"/>
        <family val="2"/>
      </rPr>
      <t>Hydrolyzed Bovine Collagen Type I&amp;III (Beverage grade)</t>
    </r>
  </si>
  <si>
    <r>
      <rPr>
        <sz val="9"/>
        <color rgb="FF000000"/>
        <rFont val="Calibri"/>
        <family val="2"/>
      </rPr>
      <t>Papaya Extract 4:1</t>
    </r>
  </si>
  <si>
    <r>
      <rPr>
        <sz val="9"/>
        <color rgb="FF000000"/>
        <rFont val="Calibri"/>
        <family val="2"/>
      </rPr>
      <t>Siberian Ginseng Extract Eleutheroside B+E 0.8% HPLC</t>
    </r>
  </si>
  <si>
    <r>
      <rPr>
        <sz val="9"/>
        <color rgb="FF000000"/>
        <rFont val="Calibri"/>
        <family val="2"/>
      </rPr>
      <t>Zinc (as Zinc Citrate Dihydrate)</t>
    </r>
  </si>
  <si>
    <r>
      <rPr>
        <sz val="9"/>
        <color rgb="FF000000"/>
        <rFont val="Calibri"/>
        <family val="2"/>
      </rPr>
      <t>Cardamom Seed Powder</t>
    </r>
  </si>
  <si>
    <r>
      <rPr>
        <sz val="9"/>
        <color rgb="FF000000"/>
        <rFont val="Calibri"/>
        <family val="2"/>
      </rPr>
      <t>Epimedium Extract Icariin 98%</t>
    </r>
  </si>
  <si>
    <r>
      <rPr>
        <sz val="9"/>
        <color rgb="FF000000"/>
        <rFont val="Calibri"/>
        <family val="2"/>
      </rPr>
      <t>Oat Straw Extract 4:1</t>
    </r>
  </si>
  <si>
    <r>
      <rPr>
        <sz val="9"/>
        <color rgb="FF000000"/>
        <rFont val="Calibri"/>
        <family val="2"/>
      </rPr>
      <t>Whey Protein Concentrate 80% (Instant)</t>
    </r>
  </si>
  <si>
    <r>
      <rPr>
        <sz val="9"/>
        <color rgb="FF000000"/>
        <rFont val="Calibri"/>
        <family val="2"/>
      </rPr>
      <t>Alpinia Galanga Extract 5:1</t>
    </r>
  </si>
  <si>
    <r>
      <rPr>
        <sz val="9"/>
        <color rgb="FF000000"/>
        <rFont val="Calibri"/>
        <family val="2"/>
      </rPr>
      <t>L-Tyrosine (Hydrolyzed)</t>
    </r>
  </si>
  <si>
    <r>
      <rPr>
        <sz val="9"/>
        <color rgb="FF000000"/>
        <rFont val="Calibri"/>
        <family val="2"/>
      </rPr>
      <t>Pea Fiber</t>
    </r>
  </si>
  <si>
    <r>
      <rPr>
        <sz val="9"/>
        <color rgb="FF000000"/>
        <rFont val="Calibri"/>
        <family val="2"/>
      </rPr>
      <t>Shudh Shilajit Mushroom(Asphaltum punjabianum)Stone Extract 20:1</t>
    </r>
  </si>
  <si>
    <r>
      <rPr>
        <sz val="9"/>
        <color rgb="FF000000"/>
        <rFont val="Calibri"/>
        <family val="2"/>
      </rPr>
      <t>Zinc Picolinate (20% Zn)</t>
    </r>
  </si>
  <si>
    <r>
      <rPr>
        <sz val="9"/>
        <color rgb="FF000000"/>
        <rFont val="Calibri"/>
        <family val="2"/>
      </rPr>
      <t>Carbomer 940 Synthalen CH</t>
    </r>
  </si>
  <si>
    <r>
      <rPr>
        <sz val="9"/>
        <color rgb="FF000000"/>
        <rFont val="Calibri"/>
        <family val="2"/>
      </rPr>
      <t>Epimedium Extract Flavones 10% UV</t>
    </r>
  </si>
  <si>
    <r>
      <rPr>
        <sz val="9"/>
        <color rgb="FF000000"/>
        <rFont val="Calibri"/>
        <family val="2"/>
      </rPr>
      <t>Oat Straw 10:1 (AVENA SATIVA)</t>
    </r>
  </si>
  <si>
    <r>
      <rPr>
        <sz val="9"/>
        <color rgb="FF000000"/>
        <rFont val="Calibri"/>
        <family val="2"/>
      </rPr>
      <t>White Peony Extract 4:1 TLC</t>
    </r>
  </si>
  <si>
    <r>
      <rPr>
        <sz val="9"/>
        <color rgb="FF000000"/>
        <rFont val="Calibri"/>
        <family val="2"/>
      </rPr>
      <t>Anacyclus Pyrethrum ext 4:1</t>
    </r>
  </si>
  <si>
    <r>
      <rPr>
        <sz val="9"/>
        <color rgb="FF000000"/>
        <rFont val="Calibri"/>
        <family val="2"/>
      </rPr>
      <t>L-Tryptophan (Granular)</t>
    </r>
  </si>
  <si>
    <r>
      <rPr>
        <sz val="9"/>
        <color rgb="FF000000"/>
        <rFont val="Calibri"/>
        <family val="2"/>
      </rPr>
      <t>Passionfruit Extract 10:1(Passiflora Incarnata)</t>
    </r>
  </si>
  <si>
    <r>
      <rPr>
        <sz val="9"/>
        <color rgb="FF000000"/>
        <rFont val="Calibri"/>
        <family val="2"/>
      </rPr>
      <t>Shitake Mushroom Extract Polysaccharide 30% UV</t>
    </r>
  </si>
  <si>
    <r>
      <rPr>
        <sz val="9"/>
        <color rgb="FF000000"/>
        <rFont val="Calibri"/>
        <family val="2"/>
      </rPr>
      <t>Zinc Monomethionine</t>
    </r>
  </si>
  <si>
    <r>
      <rPr>
        <sz val="9"/>
        <color rgb="FF000000"/>
        <rFont val="Calibri"/>
        <family val="2"/>
      </rPr>
      <t>Caraway Powder</t>
    </r>
  </si>
  <si>
    <r>
      <rPr>
        <sz val="9"/>
        <color rgb="FF000000"/>
        <rFont val="Calibri"/>
        <family val="2"/>
      </rPr>
      <t>Graviola leaf powder</t>
    </r>
  </si>
  <si>
    <r>
      <rPr>
        <sz val="9"/>
        <color rgb="FF000000"/>
        <rFont val="Calibri"/>
        <family val="2"/>
      </rPr>
      <t>Olive Leaf Extract 4:1</t>
    </r>
  </si>
  <si>
    <r>
      <rPr>
        <sz val="9"/>
        <color rgb="FF000000"/>
        <rFont val="Calibri"/>
        <family val="2"/>
      </rPr>
      <t>White Paeony Root Extract (standardized for 10% Paeoniflorin)</t>
    </r>
  </si>
  <si>
    <r>
      <rPr>
        <sz val="9"/>
        <color rgb="FF000000"/>
        <rFont val="Calibri"/>
        <family val="2"/>
      </rPr>
      <t>Amylase 2000 DU/g</t>
    </r>
  </si>
  <si>
    <r>
      <rPr>
        <sz val="9"/>
        <color rgb="FF000000"/>
        <rFont val="Calibri"/>
        <family val="2"/>
      </rPr>
      <t>L-Threonine</t>
    </r>
  </si>
  <si>
    <r>
      <rPr>
        <sz val="9"/>
        <color rgb="FF000000"/>
        <rFont val="Calibri"/>
        <family val="2"/>
      </rPr>
      <t>Passion Fruit Extract 4:1</t>
    </r>
  </si>
  <si>
    <r>
      <rPr>
        <sz val="9"/>
        <color rgb="FF000000"/>
        <rFont val="Calibri"/>
        <family val="2"/>
      </rPr>
      <t>Slippery Elm Bark Powder</t>
    </r>
  </si>
  <si>
    <r>
      <rPr>
        <sz val="9"/>
        <color rgb="FF000000"/>
        <rFont val="Calibri"/>
        <family val="2"/>
      </rPr>
      <t>Zinc Glycinate (Zn 30.11%)</t>
    </r>
  </si>
  <si>
    <r>
      <rPr>
        <sz val="9"/>
        <color rgb="FF000000"/>
        <rFont val="Calibri"/>
        <family val="2"/>
      </rPr>
      <t>Caralluma Fimbriata 10:1</t>
    </r>
  </si>
  <si>
    <r>
      <rPr>
        <sz val="9"/>
        <color rgb="FF000000"/>
        <rFont val="Calibri"/>
        <family val="2"/>
      </rPr>
      <t>Graviola Fruit Extract 10:1</t>
    </r>
  </si>
  <si>
    <r>
      <rPr>
        <sz val="9"/>
        <color rgb="FF000000"/>
        <rFont val="Calibri"/>
        <family val="2"/>
      </rPr>
      <t>Olive Leaf Extract (std. min. 40% Oleuropein)</t>
    </r>
  </si>
  <si>
    <r>
      <rPr>
        <sz val="9"/>
        <color rgb="FF000000"/>
        <rFont val="Calibri"/>
        <family val="2"/>
      </rPr>
      <t>White Mulberry leaf Powder</t>
    </r>
  </si>
  <si>
    <r>
      <rPr>
        <sz val="9"/>
        <color rgb="FF000000"/>
        <rFont val="Calibri"/>
        <family val="2"/>
      </rPr>
      <t>Ammonium Succinate</t>
    </r>
  </si>
  <si>
    <r>
      <rPr>
        <sz val="9"/>
        <color rgb="FF000000"/>
        <rFont val="Calibri"/>
        <family val="2"/>
      </rPr>
      <t>GRAPEFRUIT SEED P.E. 50% TOTAL BIOFLAVONOIDS AS NARINGIN</t>
    </r>
  </si>
  <si>
    <r>
      <rPr>
        <sz val="9"/>
        <color rgb="FF000000"/>
        <rFont val="Calibri"/>
        <family val="2"/>
      </rPr>
      <t>L-Theanine (Bulk Density 0.286 - 0.316)</t>
    </r>
  </si>
  <si>
    <r>
      <rPr>
        <sz val="9"/>
        <color rgb="FF000000"/>
        <rFont val="Calibri"/>
        <family val="2"/>
      </rPr>
      <t>Passion Flower Extract 5 % Flavones UV</t>
    </r>
  </si>
  <si>
    <r>
      <rPr>
        <sz val="9"/>
        <color rgb="FF000000"/>
        <rFont val="Calibri"/>
        <family val="2"/>
      </rPr>
      <t>Slippery Elm Bark PE 10:1</t>
    </r>
  </si>
  <si>
    <r>
      <rPr>
        <sz val="9"/>
        <color rgb="FF000000"/>
        <rFont val="Calibri"/>
        <family val="2"/>
      </rPr>
      <t>Zinc Bisglycinate 30%</t>
    </r>
  </si>
  <si>
    <r>
      <rPr>
        <sz val="9"/>
        <color rgb="FF000000"/>
        <rFont val="Calibri"/>
        <family val="2"/>
      </rPr>
      <t>Cordyceps 30% polysacchrides UV</t>
    </r>
  </si>
  <si>
    <r>
      <rPr>
        <sz val="9"/>
        <color rgb="FF000000"/>
        <rFont val="Calibri"/>
        <family val="2"/>
      </rPr>
      <t>White Kidney Bean Extract 4:1</t>
    </r>
  </si>
  <si>
    <r>
      <rPr>
        <sz val="9"/>
        <color rgb="FF000000"/>
        <rFont val="Calibri"/>
        <family val="2"/>
      </rPr>
      <t>Amla Extract 40% Tannins</t>
    </r>
  </si>
  <si>
    <r>
      <rPr>
        <sz val="9"/>
        <color rgb="FF000000"/>
        <rFont val="Calibri"/>
        <family val="2"/>
      </rPr>
      <t>Grapefruit Seed Extract 4:1</t>
    </r>
  </si>
  <si>
    <r>
      <rPr>
        <sz val="9"/>
        <color rgb="FF000000"/>
        <rFont val="Calibri"/>
        <family val="2"/>
      </rPr>
      <t>Lactobacillus plantarum Lp90 400B CFU/g</t>
    </r>
  </si>
  <si>
    <r>
      <rPr>
        <sz val="9"/>
        <color rgb="FF000000"/>
        <rFont val="Calibri"/>
        <family val="2"/>
      </rPr>
      <t>Peppermint Leaf Extract 4:1</t>
    </r>
  </si>
  <si>
    <r>
      <rPr>
        <sz val="9"/>
        <color rgb="FF000000"/>
        <rFont val="Calibri"/>
        <family val="2"/>
      </rPr>
      <t>Skullcap Extract 10:1 TLC (Baicalin Extract)</t>
    </r>
  </si>
  <si>
    <r>
      <rPr>
        <sz val="9"/>
        <color rgb="FF000000"/>
        <rFont val="Calibri"/>
        <family val="2"/>
      </rPr>
      <t>Colostrum Powder</t>
    </r>
  </si>
  <si>
    <r>
      <rPr>
        <sz val="9"/>
        <color rgb="FF000000"/>
        <rFont val="Calibri"/>
        <family val="2"/>
      </rPr>
      <t>Oleoylethanolamide 85%</t>
    </r>
  </si>
  <si>
    <r>
      <rPr>
        <sz val="9"/>
        <color rgb="FF000000"/>
        <rFont val="Calibri"/>
        <family val="2"/>
      </rPr>
      <t>Wild Jujube Extract 4:1 TLC</t>
    </r>
  </si>
  <si>
    <r>
      <rPr>
        <sz val="9"/>
        <color rgb="FF000000"/>
        <rFont val="Calibri"/>
        <family val="2"/>
      </rPr>
      <t>Black Radish Root 4:1 extra</t>
    </r>
  </si>
  <si>
    <r>
      <rPr>
        <sz val="9"/>
        <color rgb="FF000000"/>
        <rFont val="Calibri"/>
        <family val="2"/>
      </rPr>
      <t>Green Onion powder</t>
    </r>
  </si>
  <si>
    <r>
      <rPr>
        <sz val="9"/>
        <color rgb="FF000000"/>
        <rFont val="Calibri"/>
        <family val="2"/>
      </rPr>
      <t>Lactease 10000 ALU/g</t>
    </r>
  </si>
  <si>
    <r>
      <rPr>
        <sz val="9"/>
        <color rgb="FF000000"/>
        <rFont val="Calibri"/>
        <family val="2"/>
      </rPr>
      <t>Pedalium Murex extract</t>
    </r>
  </si>
  <si>
    <r>
      <rPr>
        <sz val="9"/>
        <color rgb="FF000000"/>
        <rFont val="Calibri"/>
        <family val="2"/>
      </rPr>
      <t>silkworm extract 10:1</t>
    </r>
  </si>
  <si>
    <r>
      <rPr>
        <sz val="9"/>
        <color rgb="FF000000"/>
        <rFont val="Calibri"/>
        <family val="2"/>
      </rPr>
      <t>Collagen Peptides</t>
    </r>
  </si>
  <si>
    <r>
      <rPr>
        <sz val="9"/>
        <color rgb="FF000000"/>
        <rFont val="Calibri"/>
        <family val="2"/>
      </rPr>
      <t>Oregano Leaf Extract 10:1</t>
    </r>
  </si>
  <si>
    <r>
      <rPr>
        <sz val="9"/>
        <color rgb="FF000000"/>
        <rFont val="Calibri"/>
        <family val="2"/>
      </rPr>
      <t>Wild Blueberry (Vaccinium angustifolium) Fruit Powder 1.5% Anthocyanins</t>
    </r>
  </si>
  <si>
    <r>
      <rPr>
        <sz val="9"/>
        <color rgb="FF000000"/>
        <rFont val="Calibri"/>
        <family val="2"/>
      </rPr>
      <t>Black Pepper Powder 80Mesh TLC</t>
    </r>
  </si>
  <si>
    <r>
      <rPr>
        <sz val="9"/>
        <color rgb="FF000000"/>
        <rFont val="Calibri"/>
        <family val="2"/>
      </rPr>
      <t>Green Lentil Flour</t>
    </r>
  </si>
  <si>
    <r>
      <rPr>
        <sz val="9"/>
        <color rgb="FF000000"/>
        <rFont val="Calibri"/>
        <family val="2"/>
      </rPr>
      <t>Lactase</t>
    </r>
  </si>
  <si>
    <r>
      <rPr>
        <sz val="9"/>
        <color rgb="FF000000"/>
        <rFont val="Calibri"/>
        <family val="2"/>
      </rPr>
      <t>Peach Powder</t>
    </r>
  </si>
  <si>
    <r>
      <rPr>
        <sz val="9"/>
        <color rgb="FF000000"/>
        <rFont val="Calibri"/>
        <family val="2"/>
      </rPr>
      <t>Sodium Chloride (Purified Sea Salt)</t>
    </r>
  </si>
  <si>
    <r>
      <rPr>
        <sz val="9"/>
        <color rgb="FF000000"/>
        <rFont val="Calibri"/>
        <family val="2"/>
      </rPr>
      <t>Coleus Forskohlii Root Powder</t>
    </r>
  </si>
  <si>
    <r>
      <rPr>
        <sz val="9"/>
        <color rgb="FF000000"/>
        <rFont val="Calibri"/>
        <family val="2"/>
      </rPr>
      <t>Orange Peel Powder</t>
    </r>
  </si>
  <si>
    <r>
      <rPr>
        <sz val="9"/>
        <color rgb="FF000000"/>
        <rFont val="Calibri"/>
        <family val="2"/>
      </rPr>
      <t>White willow bark (std. min.25% salicin)</t>
    </r>
  </si>
  <si>
    <r>
      <rPr>
        <sz val="9"/>
        <color rgb="FF000000"/>
        <rFont val="Calibri"/>
        <family val="2"/>
      </rPr>
      <t>Black Pepper Extract 4:1</t>
    </r>
  </si>
  <si>
    <r>
      <rPr>
        <sz val="9"/>
        <color rgb="FF000000"/>
        <rFont val="Calibri"/>
        <family val="2"/>
      </rPr>
      <t>Green Coffee Bean Extract Powder (NLT50% Chlorogenic Acid, NMT 2% Caffeine)</t>
    </r>
  </si>
  <si>
    <r>
      <rPr>
        <sz val="9"/>
        <color rgb="FF000000"/>
        <rFont val="Calibri"/>
        <family val="2"/>
      </rPr>
      <t>L-Tyrosine Granular</t>
    </r>
  </si>
  <si>
    <r>
      <rPr>
        <sz val="9"/>
        <color rgb="FF000000"/>
        <rFont val="Calibri"/>
        <family val="2"/>
      </rPr>
      <t>PEA-Palmitoylethanolamide 99%(Non Ultra-Micronized)</t>
    </r>
  </si>
  <si>
    <r>
      <rPr>
        <sz val="9"/>
        <color rgb="FF000000"/>
        <rFont val="Calibri"/>
        <family val="2"/>
      </rPr>
      <t>Sodium Beta-Hydroxybutyrate (BHB)</t>
    </r>
  </si>
  <si>
    <r>
      <rPr>
        <sz val="9"/>
        <color rgb="FF000000"/>
        <rFont val="Calibri"/>
        <family val="2"/>
      </rPr>
      <t>Zizyphus jujuba (Wild Jujube Seed Extract 2% Total Saponins)</t>
    </r>
  </si>
  <si>
    <r>
      <rPr>
        <sz val="9"/>
        <color rgb="FF000000"/>
        <rFont val="Calibri"/>
        <family val="2"/>
      </rPr>
      <t>Cramp Bark�Extract 4:1</t>
    </r>
  </si>
  <si>
    <r>
      <rPr>
        <sz val="9"/>
        <color rgb="FF000000"/>
        <rFont val="Calibri"/>
        <family val="2"/>
      </rPr>
      <t>Oolong Tea Extract ( Min.30% Polyphenols)(leaf)</t>
    </r>
  </si>
  <si>
    <r>
      <rPr>
        <sz val="9"/>
        <color rgb="FF000000"/>
        <rFont val="Calibri"/>
        <family val="2"/>
      </rPr>
      <t>Sodium Benzoate Granular</t>
    </r>
  </si>
  <si>
    <r>
      <rPr>
        <sz val="9"/>
        <color rgb="FF000000"/>
        <rFont val="Calibri"/>
        <family val="2"/>
      </rPr>
      <t>White Tea Leaf 10:1 PE(80% PP, 30 EGCG,NMT 14%Caffeine;10%eth,90-100% H2O)</t>
    </r>
  </si>
  <si>
    <r>
      <rPr>
        <sz val="9"/>
        <color rgb="FF000000"/>
        <rFont val="Calibri"/>
        <family val="2"/>
      </rPr>
      <t>Black Haw Powder</t>
    </r>
  </si>
  <si>
    <r>
      <rPr>
        <sz val="9"/>
        <color rgb="FF000000"/>
        <rFont val="Calibri"/>
        <family val="2"/>
      </rPr>
      <t>Green Coffee Bean Extract Powder (NLT 50% Chlorogenic Acid) Arabica</t>
    </r>
  </si>
  <si>
    <r>
      <rPr>
        <sz val="9"/>
        <color rgb="FF000000"/>
        <rFont val="Calibri"/>
        <family val="2"/>
      </rPr>
      <t>Lemon Balm Extract 5% Rosmarinic Acid</t>
    </r>
  </si>
  <si>
    <r>
      <rPr>
        <sz val="9"/>
        <color rgb="FF000000"/>
        <rFont val="Calibri"/>
        <family val="2"/>
      </rPr>
      <t>Phellinus linteus extract 30%</t>
    </r>
  </si>
  <si>
    <r>
      <rPr>
        <sz val="9"/>
        <color rgb="FF000000"/>
        <rFont val="Calibri"/>
        <family val="2"/>
      </rPr>
      <t>Corydalis Extract 4:1 TLC</t>
    </r>
  </si>
  <si>
    <r>
      <rPr>
        <sz val="9"/>
        <color rgb="FF000000"/>
        <rFont val="Calibri"/>
        <family val="2"/>
      </rPr>
      <t>Omega 3(EPA &amp; DHA) Vegan</t>
    </r>
  </si>
  <si>
    <r>
      <rPr>
        <sz val="9"/>
        <color rgb="FF000000"/>
        <rFont val="Calibri"/>
        <family val="2"/>
      </rPr>
      <t>Sodium Ascorbate</t>
    </r>
  </si>
  <si>
    <r>
      <rPr>
        <sz val="9"/>
        <color rgb="FF000000"/>
        <rFont val="Calibri"/>
        <family val="2"/>
      </rPr>
      <t>Wild Yam Root Powder</t>
    </r>
  </si>
  <si>
    <r>
      <rPr>
        <sz val="9"/>
        <color rgb="FF000000"/>
        <rFont val="Calibri"/>
        <family val="2"/>
      </rPr>
      <t>Blackberry (Rubus Fruticosus) Juice Pwd</t>
    </r>
  </si>
  <si>
    <r>
      <rPr>
        <sz val="9"/>
        <color rgb="FF000000"/>
        <rFont val="Calibri"/>
        <family val="2"/>
      </rPr>
      <t>Green Tea Extract (min.45% EGCG, min. 98% Polyphenols)(leaf)</t>
    </r>
  </si>
  <si>
    <r>
      <rPr>
        <sz val="9"/>
        <color rgb="FF000000"/>
        <rFont val="Calibri"/>
        <family val="2"/>
      </rPr>
      <t>Lemon Balm Extract 10:1</t>
    </r>
  </si>
  <si>
    <r>
      <rPr>
        <sz val="9"/>
        <color rgb="FF000000"/>
        <rFont val="Calibri"/>
        <family val="2"/>
      </rPr>
      <t>Perilla Seed Extract 4:1 TLC</t>
    </r>
  </si>
  <si>
    <r>
      <rPr>
        <sz val="9"/>
        <color rgb="FF000000"/>
        <rFont val="Calibri"/>
        <family val="2"/>
      </rPr>
      <t>Cordyceps Sinensis Extract Polysaccharide 4:1</t>
    </r>
  </si>
  <si>
    <r>
      <rPr>
        <sz val="9"/>
        <color rgb="FF000000"/>
        <rFont val="Calibri"/>
        <family val="2"/>
      </rPr>
      <t>Organic Acerola Cherry Extract 25% ( Vitamin C)</t>
    </r>
  </si>
  <si>
    <r>
      <rPr>
        <sz val="9"/>
        <color rgb="FF000000"/>
        <rFont val="Calibri"/>
        <family val="2"/>
      </rPr>
      <t>Sodium Stearyl Fumarate</t>
    </r>
  </si>
  <si>
    <r>
      <rPr>
        <sz val="9"/>
        <color rgb="FF000000"/>
        <rFont val="Calibri"/>
        <family val="2"/>
      </rPr>
      <t>Wild Yam Extract 20% Diosgenin HPLC</t>
    </r>
  </si>
  <si>
    <r>
      <rPr>
        <sz val="9"/>
        <color rgb="FF000000"/>
        <rFont val="Calibri"/>
        <family val="2"/>
      </rPr>
      <t>Black Walnut Hull Extract 4:1</t>
    </r>
  </si>
  <si>
    <r>
      <rPr>
        <sz val="9"/>
        <color rgb="FF000000"/>
        <rFont val="Calibri"/>
        <family val="2"/>
      </rPr>
      <t>Green Tea Extract (min.20% EGCG, min. 60% Polyphenols)(leaf)</t>
    </r>
  </si>
  <si>
    <r>
      <rPr>
        <sz val="9"/>
        <color rgb="FF000000"/>
        <rFont val="Calibri"/>
        <family val="2"/>
      </rPr>
      <t>Lavender Extract 4:1 TLC</t>
    </r>
  </si>
  <si>
    <r>
      <rPr>
        <sz val="9"/>
        <color rgb="FF000000"/>
        <rFont val="Calibri"/>
        <family val="2"/>
      </rPr>
      <t>Perilla Leaf Extract 4:1</t>
    </r>
  </si>
  <si>
    <r>
      <rPr>
        <sz val="9"/>
        <color rgb="FF000000"/>
        <rFont val="Calibri"/>
        <family val="2"/>
      </rPr>
      <t>Cordyceps Militaris Extract 8:1</t>
    </r>
  </si>
  <si>
    <r>
      <rPr>
        <sz val="9"/>
        <color rgb="FF000000"/>
        <rFont val="Calibri"/>
        <family val="2"/>
      </rPr>
      <t>Organic Acai Berry Juice Powder (Freeze Dry)</t>
    </r>
  </si>
  <si>
    <r>
      <rPr>
        <sz val="9"/>
        <color rgb="FF000000"/>
        <rFont val="Calibri"/>
        <family val="2"/>
      </rPr>
      <t>Sodium Hyaluronate (100% 80 mesh)</t>
    </r>
  </si>
  <si>
    <r>
      <rPr>
        <sz val="9"/>
        <color rgb="FF000000"/>
        <rFont val="Calibri"/>
        <family val="2"/>
      </rPr>
      <t>Wild Yam Extract 10:1 TLC (Off White To White)</t>
    </r>
  </si>
  <si>
    <r>
      <rPr>
        <sz val="9"/>
        <color rgb="FF000000"/>
        <rFont val="Calibri"/>
        <family val="2"/>
      </rPr>
      <t>Black tea Extract 4:1</t>
    </r>
  </si>
  <si>
    <r>
      <rPr>
        <sz val="9"/>
        <color rgb="FF000000"/>
        <rFont val="Calibri"/>
        <family val="2"/>
      </rPr>
      <t>Green Tea Extract (min. 15% Polyphenols)(leaf)</t>
    </r>
  </si>
  <si>
    <r>
      <rPr>
        <sz val="9"/>
        <color rgb="FF000000"/>
        <rFont val="Calibri"/>
        <family val="2"/>
      </rPr>
      <t>Larch Arabinogalactan Powder</t>
    </r>
  </si>
  <si>
    <r>
      <rPr>
        <sz val="9"/>
        <color rgb="FF000000"/>
        <rFont val="Calibri"/>
        <family val="2"/>
      </rPr>
      <t>PEPSIN 1:10000</t>
    </r>
  </si>
  <si>
    <r>
      <rPr>
        <sz val="9"/>
        <color rgb="FF000000"/>
        <rFont val="Calibri"/>
        <family val="2"/>
      </rPr>
      <t>Creatine AKG (1:1)</t>
    </r>
  </si>
  <si>
    <r>
      <rPr>
        <sz val="9"/>
        <color rgb="FF000000"/>
        <rFont val="Calibri"/>
        <family val="2"/>
      </rPr>
      <t>Organic acai berry 5:1</t>
    </r>
  </si>
  <si>
    <r>
      <rPr>
        <sz val="9"/>
        <color rgb="FF000000"/>
        <rFont val="Calibri"/>
        <family val="2"/>
      </rPr>
      <t>Sodium Gluconate Powder</t>
    </r>
  </si>
  <si>
    <r>
      <rPr>
        <sz val="9"/>
        <color rgb="FF000000"/>
        <rFont val="Calibri"/>
        <family val="2"/>
      </rPr>
      <t>Wild Oyster Meat Powder</t>
    </r>
  </si>
  <si>
    <r>
      <rPr>
        <sz val="9"/>
        <color rgb="FF000000"/>
        <rFont val="Calibri"/>
        <family val="2"/>
      </rPr>
      <t>Black Tea Extract 10:1 TLC</t>
    </r>
  </si>
  <si>
    <r>
      <rPr>
        <sz val="9"/>
        <color rgb="FF000000"/>
        <rFont val="Calibri"/>
        <family val="2"/>
      </rPr>
      <t>Green Tea Extract (50% Caffeine)</t>
    </r>
  </si>
  <si>
    <r>
      <rPr>
        <sz val="9"/>
        <color rgb="FF000000"/>
        <rFont val="Calibri"/>
        <family val="2"/>
      </rPr>
      <t>Liguisticum willichiaextract 5:1</t>
    </r>
  </si>
  <si>
    <r>
      <rPr>
        <sz val="9"/>
        <color rgb="FF000000"/>
        <rFont val="Calibri"/>
        <family val="2"/>
      </rPr>
      <t>Phosphatidylserine 20% Powder (Sunflower seeds)</t>
    </r>
  </si>
  <si>
    <r>
      <rPr>
        <sz val="9"/>
        <color rgb="FF000000"/>
        <rFont val="Calibri"/>
        <family val="2"/>
      </rPr>
      <t>Cranberry Fruit Extract Proanthocyanidins 5%</t>
    </r>
  </si>
  <si>
    <r>
      <rPr>
        <sz val="9"/>
        <color rgb="FF000000"/>
        <rFont val="Calibri"/>
        <family val="2"/>
      </rPr>
      <t>Licorice Extract Glycyrrhizin Acid 7% HPLC&amp;#65288;26% Gravimeter&amp;#65289;</t>
    </r>
  </si>
  <si>
    <r>
      <rPr>
        <sz val="9"/>
        <color rgb="FF000000"/>
        <rFont val="Calibri"/>
        <family val="2"/>
      </rPr>
      <t>Oregano Leaf Powder</t>
    </r>
  </si>
  <si>
    <r>
      <rPr>
        <sz val="9"/>
        <color rgb="FF000000"/>
        <rFont val="Calibri"/>
        <family val="2"/>
      </rPr>
      <t>Sodium copper chlorophyllin (synthetic)</t>
    </r>
  </si>
  <si>
    <r>
      <rPr>
        <sz val="9"/>
        <color rgb="FF000000"/>
        <rFont val="Calibri"/>
        <family val="2"/>
      </rPr>
      <t>Wormwood Powder</t>
    </r>
  </si>
  <si>
    <r>
      <rPr>
        <sz val="9"/>
        <color rgb="FF000000"/>
        <rFont val="Calibri"/>
        <family val="2"/>
      </rPr>
      <t>Blood Orange Extract 5:1 TLC (Red Orange Extract)</t>
    </r>
  </si>
  <si>
    <r>
      <rPr>
        <sz val="9"/>
        <color rgb="FF000000"/>
        <rFont val="Calibri"/>
        <family val="2"/>
      </rPr>
      <t>Green Tea Extract 95%(EGCG)</t>
    </r>
  </si>
  <si>
    <r>
      <rPr>
        <sz val="9"/>
        <color rgb="FF000000"/>
        <rFont val="Calibri"/>
        <family val="2"/>
      </rPr>
      <t>Phosphatidylserine 20% Granule (Sunflower seeds)</t>
    </r>
  </si>
  <si>
    <r>
      <rPr>
        <sz val="9"/>
        <color rgb="FF000000"/>
        <rFont val="Calibri"/>
        <family val="2"/>
      </rPr>
      <t>Cranberry extract 12:1 30% organic acid</t>
    </r>
  </si>
  <si>
    <r>
      <rPr>
        <sz val="9"/>
        <color rgb="FF000000"/>
        <rFont val="Calibri"/>
        <family val="2"/>
      </rPr>
      <t>Licorice Extract 10:1 TLC (Mulethi Root Extract)</t>
    </r>
  </si>
  <si>
    <r>
      <rPr>
        <sz val="9"/>
        <color rgb="FF000000"/>
        <rFont val="Calibri"/>
        <family val="2"/>
      </rPr>
      <t>Organic Anise</t>
    </r>
  </si>
  <si>
    <r>
      <rPr>
        <sz val="9"/>
        <color rgb="FF000000"/>
        <rFont val="Calibri"/>
        <family val="2"/>
      </rPr>
      <t>Sour Cherry (Fruit) Powder</t>
    </r>
  </si>
  <si>
    <r>
      <rPr>
        <sz val="9"/>
        <color rgb="FF000000"/>
        <rFont val="Calibri"/>
        <family val="2"/>
      </rPr>
      <t>Wood Betony Powder</t>
    </r>
  </si>
  <si>
    <r>
      <rPr>
        <sz val="9"/>
        <color rgb="FF000000"/>
        <rFont val="Calibri"/>
        <family val="2"/>
      </rPr>
      <t>Blessed Thistle Herb Powder</t>
    </r>
  </si>
  <si>
    <r>
      <rPr>
        <sz val="9"/>
        <color rgb="FF000000"/>
        <rFont val="Calibri"/>
        <family val="2"/>
      </rPr>
      <t>Green tea extract 4:1</t>
    </r>
  </si>
  <si>
    <r>
      <rPr>
        <sz val="9"/>
        <color rgb="FF000000"/>
        <rFont val="Calibri"/>
        <family val="2"/>
      </rPr>
      <t>Phosphatidyl Choline 40%</t>
    </r>
  </si>
  <si>
    <r>
      <rPr>
        <sz val="9"/>
        <color rgb="FF000000"/>
        <rFont val="Calibri"/>
        <family val="2"/>
      </rPr>
      <t>Cranberry Concentrate Granular Powder</t>
    </r>
  </si>
  <si>
    <r>
      <rPr>
        <sz val="9"/>
        <color rgb="FF000000"/>
        <rFont val="Calibri"/>
        <family val="2"/>
      </rPr>
      <t>Lemon Bioflavonoid Extract Bioflavonoid 35%</t>
    </r>
  </si>
  <si>
    <r>
      <rPr>
        <sz val="9"/>
        <color rgb="FF000000"/>
        <rFont val="Calibri"/>
        <family val="2"/>
      </rPr>
      <t>Organic Amla (fruit)Powder</t>
    </r>
  </si>
  <si>
    <r>
      <rPr>
        <sz val="9"/>
        <color rgb="FF000000"/>
        <rFont val="Calibri"/>
        <family val="2"/>
      </rPr>
      <t>Sophora Japonica Extract Quercetin Dihydrate (95%) HPLC</t>
    </r>
  </si>
  <si>
    <r>
      <rPr>
        <sz val="9"/>
        <color rgb="FF000000"/>
        <rFont val="Calibri"/>
        <family val="2"/>
      </rPr>
      <t>Witch Hazel Powder</t>
    </r>
  </si>
  <si>
    <r>
      <rPr>
        <sz val="9"/>
        <color rgb="FF000000"/>
        <rFont val="Calibri"/>
        <family val="2"/>
      </rPr>
      <t>Bladderwrack Powder</t>
    </r>
  </si>
  <si>
    <r>
      <rPr>
        <sz val="9"/>
        <color rgb="FF000000"/>
        <rFont val="Calibri"/>
        <family val="2"/>
      </rPr>
      <t>Green Tea Extract (min.60% EGCG, min. 98% Polyphenols)(leaf)</t>
    </r>
  </si>
  <si>
    <r>
      <rPr>
        <sz val="9"/>
        <color rgb="FF000000"/>
        <rFont val="Calibri"/>
        <family val="2"/>
      </rPr>
      <t>Phellodendron Extract 10:1 TLC</t>
    </r>
  </si>
  <si>
    <r>
      <rPr>
        <sz val="9"/>
        <color rgb="FF000000"/>
        <rFont val="Calibri"/>
        <family val="2"/>
      </rPr>
      <t>Creatine Monohydrate (40 Mesh)</t>
    </r>
  </si>
  <si>
    <r>
      <rPr>
        <sz val="9"/>
        <color rgb="FF000000"/>
        <rFont val="Calibri"/>
        <family val="2"/>
      </rPr>
      <t>Lipase 1,500 FIP</t>
    </r>
  </si>
  <si>
    <r>
      <rPr>
        <sz val="9"/>
        <color rgb="FF000000"/>
        <rFont val="Calibri"/>
        <family val="2"/>
      </rPr>
      <t>Organic Aloe Vera Powder (Leaf)</t>
    </r>
  </si>
  <si>
    <r>
      <rPr>
        <sz val="9"/>
        <color rgb="FF000000"/>
        <rFont val="Calibri"/>
        <family val="2"/>
      </rPr>
      <t>Sophora Japonica Extract Anhydrous quercetin 95% HPLC Granular</t>
    </r>
  </si>
  <si>
    <r>
      <rPr>
        <sz val="9"/>
        <color rgb="FF000000"/>
        <rFont val="Calibri"/>
        <family val="2"/>
      </rPr>
      <t>Wintergreen fruit extract 4:1</t>
    </r>
  </si>
  <si>
    <r>
      <rPr>
        <sz val="9"/>
        <color rgb="FF000000"/>
        <rFont val="Calibri"/>
        <family val="2"/>
      </rPr>
      <t>Bladderwrack Extra 1:1</t>
    </r>
  </si>
  <si>
    <r>
      <rPr>
        <sz val="9"/>
        <color rgb="FF000000"/>
        <rFont val="Calibri"/>
        <family val="2"/>
      </rPr>
      <t>Green Tea Extract (min.50% EGCG, min. 98% Polyphenols)(leaf)</t>
    </r>
  </si>
  <si>
    <r>
      <rPr>
        <sz val="9"/>
        <color rgb="FF000000"/>
        <rFont val="Calibri"/>
        <family val="2"/>
      </rPr>
      <t>Picamilon</t>
    </r>
  </si>
  <si>
    <r>
      <rPr>
        <sz val="9"/>
        <color rgb="FF000000"/>
        <rFont val="Calibri"/>
        <family val="2"/>
      </rPr>
      <t>Creatine Malate 2:1 (Di-Creatine Malate)</t>
    </r>
  </si>
  <si>
    <r>
      <rPr>
        <sz val="9"/>
        <color rgb="FF000000"/>
        <rFont val="Calibri"/>
        <family val="2"/>
      </rPr>
      <t>Lion's Mane Mushroom Extract 50% Polysaccharides</t>
    </r>
  </si>
  <si>
    <r>
      <rPr>
        <sz val="9"/>
        <color rgb="FF000000"/>
        <rFont val="Calibri"/>
        <family val="2"/>
      </rPr>
      <t>Organic Acerola Powder</t>
    </r>
  </si>
  <si>
    <r>
      <rPr>
        <sz val="9"/>
        <color rgb="FF000000"/>
        <rFont val="Calibri"/>
        <family val="2"/>
      </rPr>
      <t>Sophora Japonica Extra 4:1</t>
    </r>
  </si>
  <si>
    <r>
      <rPr>
        <sz val="9"/>
        <color rgb="FF000000"/>
        <rFont val="Calibri"/>
        <family val="2"/>
      </rPr>
      <t>Xylitol</t>
    </r>
  </si>
  <si>
    <r>
      <rPr>
        <sz val="9"/>
        <color rgb="FF000000"/>
        <rFont val="Calibri"/>
        <family val="2"/>
      </rPr>
      <t>Boneset Extract 4:1</t>
    </r>
  </si>
  <si>
    <r>
      <rPr>
        <sz val="9"/>
        <color rgb="FF000000"/>
        <rFont val="Calibri"/>
        <family val="2"/>
      </rPr>
      <t>GUARANA EXTRACT PAULLINIA CUPANA 20:1</t>
    </r>
  </si>
  <si>
    <r>
      <rPr>
        <sz val="9"/>
        <color rgb="FF000000"/>
        <rFont val="Calibri"/>
        <family val="2"/>
      </rPr>
      <t>Phycocyanin Powder</t>
    </r>
  </si>
  <si>
    <r>
      <rPr>
        <sz val="9"/>
        <color rgb="FF000000"/>
        <rFont val="Calibri"/>
        <family val="2"/>
      </rPr>
      <t>Xanthoparmelia scabrosa extract 4:1</t>
    </r>
  </si>
  <si>
    <r>
      <rPr>
        <sz val="9"/>
        <color rgb="FF000000"/>
        <rFont val="Calibri"/>
        <family val="2"/>
      </rPr>
      <t>Blueberry Leaf Extract Chlorogenic Acids 10% HPLC</t>
    </r>
  </si>
  <si>
    <r>
      <rPr>
        <sz val="9"/>
        <color rgb="FF000000"/>
        <rFont val="Calibri"/>
        <family val="2"/>
      </rPr>
      <t>Creatine Citrate 2:1</t>
    </r>
  </si>
  <si>
    <r>
      <rPr>
        <sz val="9"/>
        <color rgb="FF000000"/>
        <rFont val="Calibri"/>
        <family val="2"/>
      </rPr>
      <t>Lion's Mane Mushroom (Std. min. 30% Polysaccharides)(Fruiting body)</t>
    </r>
  </si>
  <si>
    <r>
      <rPr>
        <sz val="9"/>
        <color rgb="FF000000"/>
        <rFont val="Calibri"/>
        <family val="2"/>
      </rPr>
      <t>Organic Bacopa Monnieri Extract 4:1</t>
    </r>
  </si>
  <si>
    <r>
      <rPr>
        <sz val="9"/>
        <color rgb="FF000000"/>
        <rFont val="Calibri"/>
        <family val="2"/>
      </rPr>
      <t>Spearmint Leaf Extract 10:1</t>
    </r>
  </si>
  <si>
    <r>
      <rPr>
        <sz val="9"/>
        <color rgb="FF000000"/>
        <rFont val="Calibri"/>
        <family val="2"/>
      </rPr>
      <t>Guar Gum (IS provided)</t>
    </r>
  </si>
  <si>
    <r>
      <rPr>
        <sz val="9"/>
        <color rgb="FF000000"/>
        <rFont val="Calibri"/>
        <family val="2"/>
      </rPr>
      <t>Phosphatidylserine 60% Powder (Non-GMO Soybeans)</t>
    </r>
  </si>
  <si>
    <r>
      <rPr>
        <sz val="9"/>
        <color rgb="FF000000"/>
        <rFont val="Calibri"/>
        <family val="2"/>
      </rPr>
      <t>Xanthohumol 5%</t>
    </r>
  </si>
  <si>
    <r>
      <rPr>
        <sz val="9"/>
        <color rgb="FF000000"/>
        <rFont val="Calibri"/>
        <family val="2"/>
      </rPr>
      <t>Blueberry Fruit PE 4:1 (R-500728) (100% Water) ISA</t>
    </r>
  </si>
  <si>
    <r>
      <rPr>
        <sz val="9"/>
        <color rgb="FF000000"/>
        <rFont val="Calibri"/>
        <family val="2"/>
      </rPr>
      <t>Creatine Anhydrous</t>
    </r>
  </si>
  <si>
    <r>
      <rPr>
        <sz val="9"/>
        <color rgb="FF000000"/>
        <rFont val="Calibri"/>
        <family val="2"/>
      </rPr>
      <t>Lingonberry Extract 4:1</t>
    </r>
  </si>
  <si>
    <r>
      <rPr>
        <sz val="9"/>
        <color rgb="FF000000"/>
        <rFont val="Calibri"/>
        <family val="2"/>
      </rPr>
      <t>Organic Astragalus Extract (10:1) root</t>
    </r>
  </si>
  <si>
    <r>
      <rPr>
        <sz val="9"/>
        <color rgb="FF000000"/>
        <rFont val="Calibri"/>
        <family val="2"/>
      </rPr>
      <t>Soy Protein Isolate 90%</t>
    </r>
  </si>
  <si>
    <r>
      <rPr>
        <sz val="9"/>
        <color rgb="FF000000"/>
        <rFont val="Calibri"/>
        <family val="2"/>
      </rPr>
      <t>Guanidino Propionic Acid</t>
    </r>
  </si>
  <si>
    <r>
      <rPr>
        <sz val="9"/>
        <color rgb="FF000000"/>
        <rFont val="Calibri"/>
        <family val="2"/>
      </rPr>
      <t>Phosphatidylserine 50% Powder (Non-GMO Soybeans)</t>
    </r>
  </si>
  <si>
    <r>
      <rPr>
        <sz val="9"/>
        <color rgb="FF000000"/>
        <rFont val="Calibri"/>
        <family val="2"/>
      </rPr>
      <t>Xanthan Gum 80 mesh</t>
    </r>
  </si>
  <si>
    <r>
      <rPr>
        <sz val="9"/>
        <color rgb="FF000000"/>
        <rFont val="Calibri"/>
        <family val="2"/>
      </rPr>
      <t>blueberry extract 12% anthocyanins</t>
    </r>
  </si>
  <si>
    <r>
      <rPr>
        <sz val="9"/>
        <color rgb="FF000000"/>
        <rFont val="Calibri"/>
        <family val="2"/>
      </rPr>
      <t>Cyanotis Vega Extract 90% 20-betahydroxyecdysone</t>
    </r>
  </si>
  <si>
    <r>
      <rPr>
        <sz val="9"/>
        <color rgb="FF000000"/>
        <rFont val="Calibri"/>
        <family val="2"/>
      </rPr>
      <t>Low Substituted Hydroxypropyl Cellulose (L-HPC)</t>
    </r>
  </si>
  <si>
    <r>
      <rPr>
        <sz val="9"/>
        <color rgb="FF000000"/>
        <rFont val="Calibri"/>
        <family val="2"/>
      </rPr>
      <t>Organic Ashwagandha (Withania somnifera) Root Extract (KSM-66TM)</t>
    </r>
  </si>
  <si>
    <r>
      <rPr>
        <sz val="9"/>
        <color rgb="FF000000"/>
        <rFont val="Calibri"/>
        <family val="2"/>
      </rPr>
      <t>Soy Lecithin Powder</t>
    </r>
  </si>
  <si>
    <r>
      <rPr>
        <sz val="9"/>
        <color rgb="FF000000"/>
        <rFont val="Calibri"/>
        <family val="2"/>
      </rPr>
      <t>Green Tea Leaf Powder (Green powder)</t>
    </r>
  </si>
  <si>
    <r>
      <rPr>
        <sz val="9"/>
        <color rgb="FF000000"/>
        <rFont val="Calibri"/>
        <family val="2"/>
      </rPr>
      <t>Pine Pollen powder</t>
    </r>
  </si>
  <si>
    <r>
      <rPr>
        <sz val="9"/>
        <color rgb="FF000000"/>
        <rFont val="Calibri"/>
        <family val="2"/>
      </rPr>
      <t>Yellow Dock 4:1 (Rumex acetosella)</t>
    </r>
  </si>
  <si>
    <r>
      <rPr>
        <sz val="9"/>
        <color rgb="FF000000"/>
        <rFont val="Calibri"/>
        <family val="2"/>
      </rPr>
      <t>Broccoli extract 10% Sulforaphane</t>
    </r>
  </si>
  <si>
    <r>
      <rPr>
        <sz val="9"/>
        <color rgb="FF000000"/>
        <rFont val="Calibri"/>
        <family val="2"/>
      </rPr>
      <t>Curry Leaf Powder</t>
    </r>
  </si>
  <si>
    <r>
      <rPr>
        <sz val="9"/>
        <color rgb="FF000000"/>
        <rFont val="Calibri"/>
        <family val="2"/>
      </rPr>
      <t>Lotus Leaf Extract 10:1 TLC</t>
    </r>
  </si>
  <si>
    <r>
      <rPr>
        <sz val="9"/>
        <color rgb="FF000000"/>
        <rFont val="Calibri"/>
        <family val="2"/>
      </rPr>
      <t>Organic Apple Powder</t>
    </r>
  </si>
  <si>
    <r>
      <rPr>
        <sz val="9"/>
        <color rgb="FF000000"/>
        <rFont val="Calibri"/>
        <family val="2"/>
      </rPr>
      <t>Soy lecithin 62% liquid</t>
    </r>
  </si>
  <si>
    <r>
      <rPr>
        <sz val="9"/>
        <color rgb="FF000000"/>
        <rFont val="Calibri"/>
        <family val="2"/>
      </rPr>
      <t>Guayusa Tea Cut</t>
    </r>
  </si>
  <si>
    <r>
      <rPr>
        <sz val="9"/>
        <color rgb="FF000000"/>
        <rFont val="Calibri"/>
        <family val="2"/>
      </rPr>
      <t>Pine Bark Extract 20:1 TLC</t>
    </r>
  </si>
  <si>
    <r>
      <rPr>
        <sz val="9"/>
        <color rgb="FF000000"/>
        <rFont val="Calibri"/>
        <family val="2"/>
      </rPr>
      <t>Yellow Dock (Rumex crispus) Root 4:1 PE - ISA</t>
    </r>
  </si>
  <si>
    <r>
      <rPr>
        <sz val="9"/>
        <color rgb="FF000000"/>
        <rFont val="Calibri"/>
        <family val="2"/>
      </rPr>
      <t>Brassaiopsis Glomerulata extract 10:1</t>
    </r>
  </si>
  <si>
    <r>
      <rPr>
        <sz val="9"/>
        <color rgb="FF000000"/>
        <rFont val="Calibri"/>
        <family val="2"/>
      </rPr>
      <t>Curcuma Zedoaria Extract 4:1</t>
    </r>
  </si>
  <si>
    <r>
      <rPr>
        <sz val="9"/>
        <color rgb="FF000000"/>
        <rFont val="Calibri"/>
        <family val="2"/>
      </rPr>
      <t>Loquat Extract (1% maslinic acid)</t>
    </r>
  </si>
  <si>
    <r>
      <rPr>
        <sz val="9"/>
        <color rgb="FF000000"/>
        <rFont val="Calibri"/>
        <family val="2"/>
      </rPr>
      <t>Organic Black Cumin Seed Powder</t>
    </r>
  </si>
  <si>
    <r>
      <rPr>
        <sz val="9"/>
        <color rgb="FF000000"/>
        <rFont val="Calibri"/>
        <family val="2"/>
      </rPr>
      <t>Spirulina Blue Powder</t>
    </r>
  </si>
  <si>
    <r>
      <rPr>
        <sz val="9"/>
        <color rgb="FF000000"/>
        <rFont val="Calibri"/>
        <family val="2"/>
      </rPr>
      <t>Guayusa Extract 4:1</t>
    </r>
  </si>
  <si>
    <r>
      <rPr>
        <sz val="9"/>
        <color rgb="FF000000"/>
        <rFont val="Calibri"/>
        <family val="2"/>
      </rPr>
      <t>Organic Beet Root Extract 10:1</t>
    </r>
  </si>
  <si>
    <r>
      <rPr>
        <sz val="9"/>
        <color rgb="FF000000"/>
        <rFont val="Calibri"/>
        <family val="2"/>
      </rPr>
      <t>Pine Bark Extract (Containing Abieta-8,11,13-trien-18-oic acid)</t>
    </r>
  </si>
  <si>
    <r>
      <rPr>
        <sz val="9"/>
        <color rgb="FF000000"/>
        <rFont val="Calibri"/>
        <family val="2"/>
      </rPr>
      <t>Yarrow Powder</t>
    </r>
  </si>
  <si>
    <r>
      <rPr>
        <sz val="9"/>
        <color rgb="FF000000"/>
        <rFont val="Calibri"/>
        <family val="2"/>
      </rPr>
      <t>Boswellia Terminalia powder</t>
    </r>
  </si>
  <si>
    <r>
      <rPr>
        <sz val="9"/>
        <color rgb="FF000000"/>
        <rFont val="Calibri"/>
        <family val="2"/>
      </rPr>
      <t>Creatinol-O-Phosphate (COP)</t>
    </r>
  </si>
  <si>
    <r>
      <rPr>
        <sz val="9"/>
        <color rgb="FF000000"/>
        <rFont val="Calibri"/>
        <family val="2"/>
      </rPr>
      <t>Lobelia Inflata Extract 10:1 TLC</t>
    </r>
  </si>
  <si>
    <r>
      <rPr>
        <sz val="9"/>
        <color rgb="FF000000"/>
        <rFont val="Calibri"/>
        <family val="2"/>
      </rPr>
      <t>Spinach powder</t>
    </r>
  </si>
  <si>
    <r>
      <rPr>
        <sz val="9"/>
        <color rgb="FF000000"/>
        <rFont val="Calibri"/>
        <family val="2"/>
      </rPr>
      <t>Guarana seed extract (min. 50% caffeine)(seed)</t>
    </r>
  </si>
  <si>
    <r>
      <rPr>
        <sz val="9"/>
        <color rgb="FF000000"/>
        <rFont val="Calibri"/>
        <family val="2"/>
      </rPr>
      <t>Organic Banana Powder (Musa paradisiaca)</t>
    </r>
  </si>
  <si>
    <r>
      <rPr>
        <sz val="9"/>
        <color rgb="FF000000"/>
        <rFont val="Calibri"/>
        <family val="2"/>
      </rPr>
      <t>Picrorhiza Extract 10:1 TLC</t>
    </r>
  </si>
  <si>
    <r>
      <rPr>
        <sz val="9"/>
        <color rgb="FF000000"/>
        <rFont val="Calibri"/>
        <family val="2"/>
      </rPr>
      <t>Xylitol - Granular</t>
    </r>
  </si>
  <si>
    <r>
      <rPr>
        <sz val="9"/>
        <color rgb="FF000000"/>
        <rFont val="Calibri"/>
        <family val="2"/>
      </rPr>
      <t>Boswellia Extract 4:1</t>
    </r>
  </si>
  <si>
    <r>
      <rPr>
        <sz val="9"/>
        <color rgb="FF000000"/>
        <rFont val="Calibri"/>
        <family val="2"/>
      </rPr>
      <t>D-Aspartic acid calcium chelate (13% Ca, 87% DAA)</t>
    </r>
  </si>
  <si>
    <r>
      <rPr>
        <sz val="9"/>
        <color rgb="FF000000"/>
        <rFont val="Calibri"/>
        <family val="2"/>
      </rPr>
      <t>Lycopene (5%)</t>
    </r>
  </si>
  <si>
    <r>
      <rPr>
        <sz val="9"/>
        <color rgb="FF000000"/>
        <rFont val="Calibri"/>
        <family val="2"/>
      </rPr>
      <t>Spilanthes acmella extract 4:1</t>
    </r>
  </si>
  <si>
    <r>
      <rPr>
        <sz val="9"/>
        <color rgb="FF000000"/>
        <rFont val="Calibri"/>
        <family val="2"/>
      </rPr>
      <t>Guarana Powder</t>
    </r>
  </si>
  <si>
    <r>
      <rPr>
        <sz val="9"/>
        <color rgb="FF000000"/>
        <rFont val="Calibri"/>
        <family val="2"/>
      </rPr>
      <t>Organic Bamboo Shoot Extract Powder 70% Silica, UV</t>
    </r>
  </si>
  <si>
    <r>
      <rPr>
        <sz val="9"/>
        <color rgb="FF000000"/>
        <rFont val="Calibri"/>
        <family val="2"/>
      </rPr>
      <t>Plumbago Zeylenica Root Extract 4:1 TLC</t>
    </r>
  </si>
  <si>
    <r>
      <rPr>
        <sz val="9"/>
        <color rgb="FF000000"/>
        <rFont val="Calibri"/>
        <family val="2"/>
      </rPr>
      <t>Vidanga powder</t>
    </r>
  </si>
  <si>
    <r>
      <rPr>
        <sz val="9"/>
        <color rgb="FF000000"/>
        <rFont val="Calibri"/>
        <family val="2"/>
      </rPr>
      <t>Bromelain 150 GDU</t>
    </r>
  </si>
  <si>
    <r>
      <rPr>
        <sz val="9"/>
        <color rgb="FF000000"/>
        <rFont val="Calibri"/>
        <family val="2"/>
      </rPr>
      <t>Cytisine 98%</t>
    </r>
  </si>
  <si>
    <r>
      <rPr>
        <sz val="9"/>
        <color rgb="FF000000"/>
        <rFont val="Calibri"/>
        <family val="2"/>
      </rPr>
      <t>LycoBeads S Beadlets 10%</t>
    </r>
  </si>
  <si>
    <r>
      <rPr>
        <sz val="9"/>
        <color rgb="FF000000"/>
        <rFont val="Calibri"/>
        <family val="2"/>
      </rPr>
      <t>Spelt Sprout Powder</t>
    </r>
  </si>
  <si>
    <r>
      <rPr>
        <sz val="9"/>
        <color rgb="FF000000"/>
        <rFont val="Calibri"/>
        <family val="2"/>
      </rPr>
      <t>Gynostemma Extract Gypenosides 98% UV</t>
    </r>
  </si>
  <si>
    <r>
      <rPr>
        <sz val="9"/>
        <color rgb="FF000000"/>
        <rFont val="Calibri"/>
        <family val="2"/>
      </rPr>
      <t>Organic Blue Green Algae Powder</t>
    </r>
  </si>
  <si>
    <r>
      <rPr>
        <sz val="9"/>
        <color rgb="FF000000"/>
        <rFont val="Calibri"/>
        <family val="2"/>
      </rPr>
      <t>Pinus Taeda Extract 4:1</t>
    </r>
  </si>
  <si>
    <r>
      <rPr>
        <sz val="9"/>
        <color rgb="FF000000"/>
        <rFont val="Calibri"/>
        <family val="2"/>
      </rPr>
      <t>VegiZest&amp;#65533; Pea Protein 80% (Hydrolized)</t>
    </r>
  </si>
  <si>
    <r>
      <rPr>
        <sz val="9"/>
        <color rgb="FF000000"/>
        <rFont val="Calibri"/>
        <family val="2"/>
      </rPr>
      <t>Broccoli Seed Extract 13.5% Glucoraphanin</t>
    </r>
  </si>
  <si>
    <r>
      <rPr>
        <sz val="9"/>
        <color rgb="FF000000"/>
        <rFont val="Calibri"/>
        <family val="2"/>
      </rPr>
      <t>Cynanchum powder</t>
    </r>
  </si>
  <si>
    <r>
      <rPr>
        <sz val="9"/>
        <color rgb="FF000000"/>
        <rFont val="Calibri"/>
        <family val="2"/>
      </rPr>
      <t>Luteolin 98%</t>
    </r>
  </si>
  <si>
    <r>
      <rPr>
        <sz val="9"/>
        <color rgb="FF000000"/>
        <rFont val="Calibri"/>
        <family val="2"/>
      </rPr>
      <t>Rutaecarpine 98%</t>
    </r>
  </si>
  <si>
    <r>
      <rPr>
        <sz val="9"/>
        <color rgb="FF000000"/>
        <rFont val="Calibri"/>
        <family val="2"/>
      </rPr>
      <t>Gymnema Sylvestre Extract 4:1</t>
    </r>
  </si>
  <si>
    <r>
      <rPr>
        <sz val="9"/>
        <color rgb="FF000000"/>
        <rFont val="Calibri"/>
        <family val="2"/>
      </rPr>
      <t>Organic Blackberry Powder</t>
    </r>
  </si>
  <si>
    <r>
      <rPr>
        <sz val="9"/>
        <color rgb="FF000000"/>
        <rFont val="Calibri"/>
        <family val="2"/>
      </rPr>
      <t>Pinus Niagra Extract 4:1</t>
    </r>
  </si>
  <si>
    <r>
      <rPr>
        <sz val="9"/>
        <color rgb="FF000000"/>
        <rFont val="Calibri"/>
        <family val="2"/>
      </rPr>
      <t>VegiZest Watermelon Seed Protein 65%</t>
    </r>
  </si>
  <si>
    <r>
      <rPr>
        <sz val="9"/>
        <color rgb="FF000000"/>
        <rFont val="Calibri"/>
        <family val="2"/>
      </rPr>
      <t>Broccoli Powder</t>
    </r>
  </si>
  <si>
    <r>
      <rPr>
        <sz val="9"/>
        <color rgb="FF000000"/>
        <rFont val="Calibri"/>
        <family val="2"/>
      </rPr>
      <t>Cymbidium Extract 10:1</t>
    </r>
  </si>
  <si>
    <r>
      <rPr>
        <sz val="9"/>
        <color rgb="FF000000"/>
        <rFont val="Calibri"/>
        <family val="2"/>
      </rPr>
      <t>Lucuma fruit powder</t>
    </r>
  </si>
  <si>
    <r>
      <rPr>
        <sz val="9"/>
        <color rgb="FF000000"/>
        <rFont val="Calibri"/>
        <family val="2"/>
      </rPr>
      <t>Royal Jelly Powder 10-HAD 6% HPLC</t>
    </r>
  </si>
  <si>
    <r>
      <rPr>
        <sz val="9"/>
        <color rgb="FF000000"/>
        <rFont val="Calibri"/>
        <family val="2"/>
      </rPr>
      <t>D-Ribose</t>
    </r>
  </si>
  <si>
    <r>
      <rPr>
        <sz val="9"/>
        <color rgb="FF000000"/>
        <rFont val="Calibri"/>
        <family val="2"/>
      </rPr>
      <t>Gymnema Sylvestre Extract (min. 75% gymnemic acids)(leaf)</t>
    </r>
  </si>
  <si>
    <r>
      <rPr>
        <sz val="9"/>
        <color rgb="FF000000"/>
        <rFont val="Calibri"/>
        <family val="2"/>
      </rPr>
      <t>Organic Black Pepper Extract 95% piperine</t>
    </r>
  </si>
  <si>
    <r>
      <rPr>
        <sz val="9"/>
        <color rgb="FF000000"/>
        <rFont val="Calibri"/>
        <family val="2"/>
      </rPr>
      <t>Pineapple Powder</t>
    </r>
  </si>
  <si>
    <r>
      <rPr>
        <sz val="9"/>
        <color rgb="FF000000"/>
        <rFont val="Calibri"/>
        <family val="2"/>
      </rPr>
      <t>Vanilla Extract Powder</t>
    </r>
  </si>
  <si>
    <r>
      <rPr>
        <sz val="9"/>
        <color rgb="FF000000"/>
        <rFont val="Calibri"/>
        <family val="2"/>
      </rPr>
      <t>Broccoli Extract 20:1 TLC</t>
    </r>
  </si>
  <si>
    <r>
      <rPr>
        <sz val="9"/>
        <color rgb="FF000000"/>
        <rFont val="Calibri"/>
        <family val="2"/>
      </rPr>
      <t>Magnesium (as Magnesium Aspartate, 20% Mg)</t>
    </r>
  </si>
  <si>
    <r>
      <rPr>
        <sz val="9"/>
        <color rgb="FF000000"/>
        <rFont val="Calibri"/>
        <family val="2"/>
      </rPr>
      <t>Rosemary Leaf extract ( std. min. 50% Ursolic acid)</t>
    </r>
  </si>
  <si>
    <r>
      <rPr>
        <sz val="9"/>
        <color rgb="FF000000"/>
        <rFont val="Calibri"/>
        <family val="2"/>
      </rPr>
      <t>D-Mannose</t>
    </r>
  </si>
  <si>
    <r>
      <rPr>
        <sz val="9"/>
        <color rgb="FF000000"/>
        <rFont val="Calibri"/>
        <family val="2"/>
      </rPr>
      <t>Guggul Extract(Commiphora Mukul) (std. min. 10% Guggulsterones) UV</t>
    </r>
  </si>
  <si>
    <r>
      <rPr>
        <sz val="9"/>
        <color rgb="FF000000"/>
        <rFont val="Calibri"/>
        <family val="2"/>
      </rPr>
      <t>Organic Black Pepper 10:1</t>
    </r>
  </si>
  <si>
    <r>
      <rPr>
        <sz val="9"/>
        <color rgb="FF000000"/>
        <rFont val="Calibri"/>
        <family val="2"/>
      </rPr>
      <t>Organic Rose Hip Extract 10:1</t>
    </r>
  </si>
  <si>
    <r>
      <rPr>
        <sz val="9"/>
        <color rgb="FF000000"/>
        <rFont val="Calibri"/>
        <family val="2"/>
      </rPr>
      <t>Vitamin A (as Palmitate 250,000 IU/g )</t>
    </r>
  </si>
  <si>
    <r>
      <rPr>
        <sz val="9"/>
        <color rgb="FF000000"/>
        <rFont val="Calibri"/>
        <family val="2"/>
      </rPr>
      <t>Buchu Leaf Extract 10:1</t>
    </r>
  </si>
  <si>
    <r>
      <rPr>
        <sz val="9"/>
        <color rgb="FF000000"/>
        <rFont val="Calibri"/>
        <family val="2"/>
      </rPr>
      <t>Maca Powder Gelatinized</t>
    </r>
  </si>
  <si>
    <r>
      <rPr>
        <sz val="9"/>
        <color rgb="FF000000"/>
        <rFont val="Calibri"/>
        <family val="2"/>
      </rPr>
      <t>Rosemary Leaf extract ( std to 6% Rosmarinic acid)</t>
    </r>
  </si>
  <si>
    <r>
      <rPr>
        <sz val="9"/>
        <color rgb="FF000000"/>
        <rFont val="Calibri"/>
        <family val="2"/>
      </rPr>
      <t>D-Chiro Inositol</t>
    </r>
  </si>
  <si>
    <r>
      <rPr>
        <sz val="9"/>
        <color rgb="FF000000"/>
        <rFont val="Calibri"/>
        <family val="2"/>
      </rPr>
      <t>Hawthorne Berry Extract 4:1</t>
    </r>
  </si>
  <si>
    <r>
      <rPr>
        <sz val="9"/>
        <color rgb="FF000000"/>
        <rFont val="Calibri"/>
        <family val="2"/>
      </rPr>
      <t>Muira Puama Extract 4:1 TLC</t>
    </r>
  </si>
  <si>
    <r>
      <rPr>
        <sz val="9"/>
        <color rgb="FF000000"/>
        <rFont val="Calibri"/>
        <family val="2"/>
      </rPr>
      <t>Organic Rice Maltodextrin (DE 10-12)</t>
    </r>
  </si>
  <si>
    <r>
      <rPr>
        <sz val="9"/>
        <color rgb="FF000000"/>
        <rFont val="Calibri"/>
        <family val="2"/>
      </rPr>
      <t>Vitamin A (as Beta Carotene 20% Powder CWS)</t>
    </r>
  </si>
  <si>
    <r>
      <rPr>
        <sz val="9"/>
        <color rgb="FF000000"/>
        <rFont val="Calibri"/>
        <family val="2"/>
      </rPr>
      <t>Bryonia Laciniosa extract</t>
    </r>
  </si>
  <si>
    <r>
      <rPr>
        <sz val="9"/>
        <color rgb="FF000000"/>
        <rFont val="Calibri"/>
        <family val="2"/>
      </rPr>
      <t>MACA Extract 4:1</t>
    </r>
  </si>
  <si>
    <r>
      <rPr>
        <sz val="9"/>
        <color rgb="FF000000"/>
        <rFont val="Calibri"/>
        <family val="2"/>
      </rPr>
      <t>Sage Leaf powder</t>
    </r>
  </si>
  <si>
    <r>
      <rPr>
        <sz val="9"/>
        <color rgb="FF000000"/>
        <rFont val="Calibri"/>
        <family val="2"/>
      </rPr>
      <t>D-Aspartic Acid Granular (DAA Granular)</t>
    </r>
  </si>
  <si>
    <r>
      <rPr>
        <sz val="9"/>
        <color rgb="FF000000"/>
        <rFont val="Calibri"/>
        <family val="2"/>
      </rPr>
      <t>Hawthorn Berry Extract 10:1</t>
    </r>
  </si>
  <si>
    <r>
      <rPr>
        <sz val="9"/>
        <color rgb="FF000000"/>
        <rFont val="Calibri"/>
        <family val="2"/>
      </rPr>
      <t>Muira Puama Extract 10:1 TLC (Bark)</t>
    </r>
  </si>
  <si>
    <r>
      <rPr>
        <sz val="9"/>
        <color rgb="FF000000"/>
        <rFont val="Calibri"/>
        <family val="2"/>
      </rPr>
      <t>Organic Reishi Mushroom Powder</t>
    </r>
  </si>
  <si>
    <r>
      <rPr>
        <sz val="9"/>
        <color rgb="FF000000"/>
        <rFont val="Calibri"/>
        <family val="2"/>
      </rPr>
      <t>Vitamin A (as Beta Carotene 2.5%)</t>
    </r>
  </si>
  <si>
    <r>
      <rPr>
        <sz val="9"/>
        <color rgb="FF000000"/>
        <rFont val="Calibri"/>
        <family val="2"/>
      </rPr>
      <t>Brown Seaweed Powder Extract Fucoidan 80% HPLC</t>
    </r>
  </si>
  <si>
    <r>
      <rPr>
        <sz val="9"/>
        <color rgb="FF000000"/>
        <rFont val="Calibri"/>
        <family val="2"/>
      </rPr>
      <t>Maca Extract 10:1</t>
    </r>
  </si>
  <si>
    <r>
      <rPr>
        <sz val="9"/>
        <color rgb="FF000000"/>
        <rFont val="Calibri"/>
        <family val="2"/>
      </rPr>
      <t>Saffron Extract 0.3% Safranal</t>
    </r>
  </si>
  <si>
    <r>
      <rPr>
        <sz val="9"/>
        <color rgb="FF000000"/>
        <rFont val="Calibri"/>
        <family val="2"/>
      </rPr>
      <t>Dandelion Root Powder</t>
    </r>
  </si>
  <si>
    <r>
      <rPr>
        <sz val="9"/>
        <color rgb="FF000000"/>
        <rFont val="Calibri"/>
        <family val="2"/>
      </rPr>
      <t>Hamamelis Mollis Extract 4:1 TLC (Witch Hazel Extract)</t>
    </r>
  </si>
  <si>
    <r>
      <rPr>
        <sz val="9"/>
        <color rgb="FF000000"/>
        <rFont val="Calibri"/>
        <family val="2"/>
      </rPr>
      <t>Mucuna pruriens Root 5:1 PE</t>
    </r>
  </si>
  <si>
    <r>
      <rPr>
        <sz val="9"/>
        <color rgb="FF000000"/>
        <rFont val="Calibri"/>
        <family val="2"/>
      </rPr>
      <t>Organic Reishi Mushroom Extract (4:1)</t>
    </r>
  </si>
  <si>
    <r>
      <rPr>
        <sz val="9"/>
        <color rgb="FF000000"/>
        <rFont val="Calibri"/>
        <family val="2"/>
      </rPr>
      <t>Vinpocetine Powder (Voacanga Africana Seed)</t>
    </r>
  </si>
  <si>
    <r>
      <rPr>
        <sz val="9"/>
        <color rgb="FF000000"/>
        <rFont val="Calibri"/>
        <family val="2"/>
      </rPr>
      <t>Bromelain 600GDU/g</t>
    </r>
  </si>
  <si>
    <r>
      <rPr>
        <sz val="9"/>
        <color rgb="FF000000"/>
        <rFont val="Calibri"/>
        <family val="2"/>
      </rPr>
      <t>L-Arginine Alpha Ketoglutarate (2:1)(65% L-arginine)(AAKG)</t>
    </r>
  </si>
  <si>
    <r>
      <rPr>
        <sz val="9"/>
        <color rgb="FF000000"/>
        <rFont val="Calibri"/>
        <family val="2"/>
      </rPr>
      <t>Safflower Extract 4:1</t>
    </r>
  </si>
  <si>
    <r>
      <rPr>
        <sz val="9"/>
        <color rgb="FF000000"/>
        <rFont val="Calibri"/>
        <family val="2"/>
      </rPr>
      <t>Dandelion leaf extract 4:1</t>
    </r>
  </si>
  <si>
    <r>
      <rPr>
        <sz val="9"/>
        <color rgb="FF000000"/>
        <rFont val="Calibri"/>
        <family val="2"/>
      </rPr>
      <t>Gynostemma Pentafillum Extract 4:1</t>
    </r>
  </si>
  <si>
    <r>
      <rPr>
        <sz val="9"/>
        <color rgb="FF000000"/>
        <rFont val="Calibri"/>
        <family val="2"/>
      </rPr>
      <t>Mucuna Pruriens Extract L-Dopa 50% HPLC (100% Natural)</t>
    </r>
  </si>
  <si>
    <r>
      <rPr>
        <sz val="9"/>
        <color rgb="FF000000"/>
        <rFont val="Calibri"/>
        <family val="2"/>
      </rPr>
      <t>Organic Shitake Mushroom Powder</t>
    </r>
  </si>
  <si>
    <r>
      <rPr>
        <sz val="9"/>
        <color rgb="FF000000"/>
        <rFont val="Calibri"/>
        <family val="2"/>
      </rPr>
      <t>Vitamin B1 (as Thiamine Hydrochloride)</t>
    </r>
  </si>
  <si>
    <r>
      <rPr>
        <sz val="9"/>
        <color rgb="FF000000"/>
        <rFont val="Calibri"/>
        <family val="2"/>
      </rPr>
      <t>Burdock Root 10:1</t>
    </r>
  </si>
  <si>
    <r>
      <rPr>
        <sz val="9"/>
        <color rgb="FF000000"/>
        <rFont val="Calibri"/>
        <family val="2"/>
      </rPr>
      <t>L-Arabinose</t>
    </r>
  </si>
  <si>
    <r>
      <rPr>
        <sz val="9"/>
        <color rgb="FF000000"/>
        <rFont val="Calibri"/>
        <family val="2"/>
      </rPr>
      <t>Organic shiitake mushroom 40% Polysacharides powder</t>
    </r>
  </si>
  <si>
    <r>
      <rPr>
        <sz val="9"/>
        <color rgb="FF000000"/>
        <rFont val="Calibri"/>
        <family val="2"/>
      </rPr>
      <t>Rutin 95% (Sophora Japonical Extract) UV</t>
    </r>
  </si>
  <si>
    <r>
      <rPr>
        <sz val="9"/>
        <color rgb="FF000000"/>
        <rFont val="Calibri"/>
        <family val="2"/>
      </rPr>
      <t>Dandelion 20%</t>
    </r>
  </si>
  <si>
    <r>
      <rPr>
        <sz val="9"/>
        <color rgb="FF000000"/>
        <rFont val="Calibri"/>
        <family val="2"/>
      </rPr>
      <t>Garlic Powder (Deodorized)</t>
    </r>
  </si>
  <si>
    <r>
      <rPr>
        <sz val="9"/>
        <color rgb="FF000000"/>
        <rFont val="Calibri"/>
        <family val="2"/>
      </rPr>
      <t>Mullein Extract 4:1 TLC</t>
    </r>
  </si>
  <si>
    <r>
      <rPr>
        <sz val="9"/>
        <color rgb="FF000000"/>
        <rFont val="Calibri"/>
        <family val="2"/>
      </rPr>
      <t>Vitamin A Acetate Powder 325,000 IU/g</t>
    </r>
  </si>
  <si>
    <r>
      <rPr>
        <sz val="9"/>
        <color rgb="FF000000"/>
        <rFont val="Calibri"/>
        <family val="2"/>
      </rPr>
      <t>Bupleurum Extract 10:1 TLC (Chinese Thorowax Root Extract )(chaihu)</t>
    </r>
  </si>
  <si>
    <r>
      <rPr>
        <sz val="9"/>
        <color rgb="FF000000"/>
        <rFont val="Calibri"/>
        <family val="2"/>
      </rPr>
      <t>L-Alanine</t>
    </r>
  </si>
  <si>
    <r>
      <rPr>
        <sz val="9"/>
        <color rgb="FF000000"/>
        <rFont val="Calibri"/>
        <family val="2"/>
      </rPr>
      <t>Organic Senna Leaf Powder</t>
    </r>
  </si>
  <si>
    <r>
      <rPr>
        <sz val="9"/>
        <color rgb="FF000000"/>
        <rFont val="Calibri"/>
        <family val="2"/>
      </rPr>
      <t>Sarsaparilla Powder</t>
    </r>
  </si>
  <si>
    <r>
      <rPr>
        <sz val="9"/>
        <color rgb="FF000000"/>
        <rFont val="Calibri"/>
        <family val="2"/>
      </rPr>
      <t>Damiana Extract 10:1</t>
    </r>
  </si>
  <si>
    <r>
      <rPr>
        <sz val="9"/>
        <color rgb="FF000000"/>
        <rFont val="Calibri"/>
        <family val="2"/>
      </rPr>
      <t>Garlic Extract Allicin 1% HPLC</t>
    </r>
  </si>
  <si>
    <r>
      <rPr>
        <sz val="9"/>
        <color rgb="FF000000"/>
        <rFont val="Calibri"/>
        <family val="2"/>
      </rPr>
      <t>Mulberry Leaf Extract 10:1</t>
    </r>
  </si>
  <si>
    <r>
      <rPr>
        <sz val="9"/>
        <color rgb="FF000000"/>
        <rFont val="Calibri"/>
        <family val="2"/>
      </rPr>
      <t>Vitamin A Acetate</t>
    </r>
  </si>
  <si>
    <r>
      <rPr>
        <sz val="9"/>
        <color rgb="FF000000"/>
        <rFont val="Calibri"/>
        <family val="2"/>
      </rPr>
      <t>Bulbine Natalensis Extract(1:1)(aerial parts)</t>
    </r>
  </si>
  <si>
    <r>
      <rPr>
        <sz val="9"/>
        <color rgb="FF000000"/>
        <rFont val="Calibri"/>
        <family val="2"/>
      </rPr>
      <t>L-5-Methyltetrahydrofolate Calcium (5-MTHF)</t>
    </r>
  </si>
  <si>
    <r>
      <rPr>
        <sz val="9"/>
        <color rgb="FF000000"/>
        <rFont val="Calibri"/>
        <family val="2"/>
      </rPr>
      <t>Organic Sage Powder</t>
    </r>
  </si>
  <si>
    <r>
      <rPr>
        <sz val="9"/>
        <color rgb="FF000000"/>
        <rFont val="Calibri"/>
        <family val="2"/>
      </rPr>
      <t>SAMe (S-Adenosyl Methionine Tosylate Disulfate)</t>
    </r>
  </si>
  <si>
    <r>
      <rPr>
        <sz val="9"/>
        <color rgb="FF000000"/>
        <rFont val="Calibri"/>
        <family val="2"/>
      </rPr>
      <t>Cinnamon bark extract 4:1</t>
    </r>
  </si>
  <si>
    <r>
      <rPr>
        <sz val="9"/>
        <color rgb="FF000000"/>
        <rFont val="Calibri"/>
        <family val="2"/>
      </rPr>
      <t>Garlic Extract 2:1</t>
    </r>
  </si>
  <si>
    <r>
      <rPr>
        <sz val="9"/>
        <color rgb="FF000000"/>
        <rFont val="Calibri"/>
        <family val="2"/>
      </rPr>
      <t>Mulberry Fruit Powder</t>
    </r>
  </si>
  <si>
    <r>
      <rPr>
        <sz val="9"/>
        <color rgb="FF000000"/>
        <rFont val="Calibri"/>
        <family val="2"/>
      </rPr>
      <t>Vitamin A (as Retinyl Palmitate)</t>
    </r>
  </si>
  <si>
    <r>
      <rPr>
        <sz val="9"/>
        <color rgb="FF000000"/>
        <rFont val="Calibri"/>
        <family val="2"/>
      </rPr>
      <t>Bulbine extract 4:1</t>
    </r>
  </si>
  <si>
    <r>
      <rPr>
        <sz val="9"/>
        <color rgb="FF000000"/>
        <rFont val="Calibri"/>
        <family val="2"/>
      </rPr>
      <t>L-Asparagine</t>
    </r>
  </si>
  <si>
    <r>
      <rPr>
        <sz val="9"/>
        <color rgb="FF000000"/>
        <rFont val="Calibri"/>
        <family val="2"/>
      </rPr>
      <t>Organic Stevia Extract RA 95%</t>
    </r>
  </si>
  <si>
    <r>
      <rPr>
        <sz val="9"/>
        <color rgb="FF000000"/>
        <rFont val="Calibri"/>
        <family val="2"/>
      </rPr>
      <t>Salvia Miltiorrhiza Extract (7% Salvianolic Acid)</t>
    </r>
  </si>
  <si>
    <r>
      <rPr>
        <sz val="9"/>
        <color rgb="FF000000"/>
        <rFont val="Calibri"/>
        <family val="2"/>
      </rPr>
      <t>Cili Fruit Juice Powder</t>
    </r>
  </si>
  <si>
    <r>
      <rPr>
        <sz val="9"/>
        <color rgb="FF000000"/>
        <rFont val="Calibri"/>
        <family val="2"/>
      </rPr>
      <t>Garlic Extract (Deodorized 1500ppm Allicin) (ALLIUM SATIVUM) (BULB)</t>
    </r>
  </si>
  <si>
    <r>
      <rPr>
        <sz val="9"/>
        <color rgb="FF000000"/>
        <rFont val="Calibri"/>
        <family val="2"/>
      </rPr>
      <t>Mulberry extract Flavonoids 3% UV</t>
    </r>
  </si>
  <si>
    <r>
      <rPr>
        <sz val="9"/>
        <color rgb="FF000000"/>
        <rFont val="Calibri"/>
        <family val="2"/>
      </rPr>
      <t>Vitamin B2 (as Riboflavin 5 Sodium Phosphate)</t>
    </r>
  </si>
  <si>
    <r>
      <rPr>
        <sz val="9"/>
        <color rgb="FF000000"/>
        <rFont val="Calibri"/>
        <family val="2"/>
      </rPr>
      <t>Banaba Leaf Extract Corosolic Acid 20% HPLC</t>
    </r>
  </si>
  <si>
    <r>
      <rPr>
        <sz val="9"/>
        <color rgb="FF000000"/>
        <rFont val="Calibri"/>
        <family val="2"/>
      </rPr>
      <t>L-Arginine HCL (Hydrolyzed)</t>
    </r>
  </si>
  <si>
    <r>
      <rPr>
        <sz val="9"/>
        <color rgb="FF000000"/>
        <rFont val="Calibri"/>
        <family val="2"/>
      </rPr>
      <t>Organic Sprouted Holy Basil Powder</t>
    </r>
  </si>
  <si>
    <r>
      <rPr>
        <sz val="9"/>
        <color rgb="FF000000"/>
        <rFont val="Calibri"/>
        <family val="2"/>
      </rPr>
      <t>Salacia Oblonga Stem/Root 20:1</t>
    </r>
  </si>
  <si>
    <r>
      <rPr>
        <sz val="9"/>
        <color rgb="FF000000"/>
        <rFont val="Calibri"/>
        <family val="2"/>
      </rPr>
      <t>Cilantro (Coriandrum sativum) Leaf 4:1 PE</t>
    </r>
  </si>
  <si>
    <r>
      <rPr>
        <sz val="9"/>
        <color rgb="FF000000"/>
        <rFont val="Calibri"/>
        <family val="2"/>
      </rPr>
      <t>Ginger Root Extract (4:1)</t>
    </r>
  </si>
  <si>
    <r>
      <rPr>
        <sz val="9"/>
        <color rgb="FF000000"/>
        <rFont val="Calibri"/>
        <family val="2"/>
      </rPr>
      <t>N-Acetyl-D-Glucosamine</t>
    </r>
  </si>
  <si>
    <r>
      <rPr>
        <sz val="9"/>
        <color rgb="FF000000"/>
        <rFont val="Calibri"/>
        <family val="2"/>
      </rPr>
      <t>Vitamin B12 (as Methylcobalamin) (1% on DCP)</t>
    </r>
  </si>
  <si>
    <r>
      <rPr>
        <sz val="9"/>
        <color rgb="FF000000"/>
        <rFont val="Calibri"/>
        <family val="2"/>
      </rPr>
      <t>Banaba Leaf Extract Corosolic Acid 1% HPLC</t>
    </r>
  </si>
  <si>
    <r>
      <rPr>
        <sz val="9"/>
        <color rgb="FF000000"/>
        <rFont val="Calibri"/>
        <family val="2"/>
      </rPr>
      <t>Ginger Extract Gingerol 5% HPLC</t>
    </r>
  </si>
  <si>
    <r>
      <rPr>
        <sz val="9"/>
        <color rgb="FF000000"/>
        <rFont val="Calibri"/>
        <family val="2"/>
      </rPr>
      <t>L-Arginine Ethyl Ester Dihydrochloride(63% L - Arginine)</t>
    </r>
  </si>
  <si>
    <r>
      <rPr>
        <sz val="9"/>
        <color rgb="FF000000"/>
        <rFont val="Calibri"/>
        <family val="2"/>
      </rPr>
      <t>Organic Spirulina Powder (50% Phycocyanin)</t>
    </r>
  </si>
  <si>
    <r>
      <rPr>
        <sz val="9"/>
        <color rgb="FF000000"/>
        <rFont val="Calibri"/>
        <family val="2"/>
      </rPr>
      <t>Sceletium Tortuosum Extract 10&amp;#65306;1</t>
    </r>
  </si>
  <si>
    <r>
      <rPr>
        <sz val="9"/>
        <color rgb="FF000000"/>
        <rFont val="Calibri"/>
        <family val="2"/>
      </rPr>
      <t>Chromium Yeast Powder 2000ppm</t>
    </r>
  </si>
  <si>
    <r>
      <rPr>
        <sz val="9"/>
        <color rgb="FF000000"/>
        <rFont val="Calibri"/>
        <family val="2"/>
      </rPr>
      <t>N-Acetyl L-Tyrosine (NAT) Fermented</t>
    </r>
  </si>
  <si>
    <r>
      <rPr>
        <sz val="9"/>
        <color rgb="FF000000"/>
        <rFont val="Calibri"/>
        <family val="2"/>
      </rPr>
      <t>Vitamin B12 (as Hydroxocobalamin)</t>
    </r>
  </si>
  <si>
    <r>
      <rPr>
        <sz val="9"/>
        <color rgb="FF000000"/>
        <rFont val="Calibri"/>
        <family val="2"/>
      </rPr>
      <t>Banaba extract 2% corosolic acid</t>
    </r>
  </si>
  <si>
    <r>
      <rPr>
        <sz val="9"/>
        <color rgb="FF000000"/>
        <rFont val="Calibri"/>
        <family val="2"/>
      </rPr>
      <t>Genistein 98%</t>
    </r>
  </si>
  <si>
    <r>
      <rPr>
        <sz val="9"/>
        <color rgb="FF000000"/>
        <rFont val="Calibri"/>
        <family val="2"/>
      </rPr>
      <t>L-Arginine Base (Fermented) 80 mesh</t>
    </r>
  </si>
  <si>
    <r>
      <rPr>
        <sz val="9"/>
        <color rgb="FF000000"/>
        <rFont val="Calibri"/>
        <family val="2"/>
      </rPr>
      <t>Organic Spinach powder</t>
    </r>
  </si>
  <si>
    <r>
      <rPr>
        <sz val="9"/>
        <color rgb="FF000000"/>
        <rFont val="Calibri"/>
        <family val="2"/>
      </rPr>
      <t>Saw Palmetto Berry Extract Fatty Acid 25% GC</t>
    </r>
  </si>
  <si>
    <r>
      <rPr>
        <sz val="9"/>
        <color rgb="FF000000"/>
        <rFont val="Calibri"/>
        <family val="2"/>
      </rPr>
      <t>Cissus Quadrangularis Extract (20:1)(std. min. 5% Ketosteroids)(root)</t>
    </r>
  </si>
  <si>
    <r>
      <rPr>
        <sz val="9"/>
        <color rgb="FF000000"/>
        <rFont val="Calibri"/>
        <family val="2"/>
      </rPr>
      <t>N-Acetyl L-Glutamine</t>
    </r>
  </si>
  <si>
    <r>
      <rPr>
        <sz val="9"/>
        <color rgb="FF000000"/>
        <rFont val="Calibri"/>
        <family val="2"/>
      </rPr>
      <t>Vitamin B12 (as Cyanocobalamin 99%)</t>
    </r>
  </si>
  <si>
    <r>
      <rPr>
        <sz val="9"/>
        <color rgb="FF000000"/>
        <rFont val="Calibri"/>
        <family val="2"/>
      </rPr>
      <t>Bacopa monnieri Whole Plant Extract 4:1</t>
    </r>
  </si>
  <si>
    <r>
      <rPr>
        <sz val="9"/>
        <color rgb="FF000000"/>
        <rFont val="Calibri"/>
        <family val="2"/>
      </rPr>
      <t>Garlic Powder 8000ppm</t>
    </r>
  </si>
  <si>
    <r>
      <rPr>
        <sz val="9"/>
        <color rgb="FF000000"/>
        <rFont val="Calibri"/>
        <family val="2"/>
      </rPr>
      <t>L-Carnosine Granular</t>
    </r>
  </si>
  <si>
    <r>
      <rPr>
        <sz val="9"/>
        <color rgb="FF000000"/>
        <rFont val="Calibri"/>
        <family val="2"/>
      </rPr>
      <t>Organic Sunflower Seed Powder 55% Protein</t>
    </r>
  </si>
  <si>
    <r>
      <rPr>
        <sz val="9"/>
        <color rgb="FF000000"/>
        <rFont val="Calibri"/>
        <family val="2"/>
      </rPr>
      <t>Saw Palmetto Berry Extract 4:1 TLC</t>
    </r>
  </si>
  <si>
    <r>
      <rPr>
        <sz val="9"/>
        <color rgb="FF000000"/>
        <rFont val="Calibri"/>
        <family val="2"/>
      </rPr>
      <t>Cissus Quadrangularis 4:1</t>
    </r>
  </si>
  <si>
    <r>
      <rPr>
        <sz val="9"/>
        <color rgb="FF000000"/>
        <rFont val="Calibri"/>
        <family val="2"/>
      </rPr>
      <t>Mung bean protein 80%</t>
    </r>
  </si>
  <si>
    <r>
      <rPr>
        <sz val="9"/>
        <color rgb="FF000000"/>
        <rFont val="Calibri"/>
        <family val="2"/>
      </rPr>
      <t>Vitamin B6 Pyridoxine HCL 98% DC</t>
    </r>
  </si>
  <si>
    <r>
      <rPr>
        <sz val="9"/>
        <color rgb="FF000000"/>
        <rFont val="Calibri"/>
        <family val="2"/>
      </rPr>
      <t>Bee Propolis Powder 60% &amp; Flavonoids 10% UV</t>
    </r>
  </si>
  <si>
    <r>
      <rPr>
        <sz val="9"/>
        <color rgb="FF000000"/>
        <rFont val="Calibri"/>
        <family val="2"/>
      </rPr>
      <t>Globe Artichoke (scolymus)Powder</t>
    </r>
  </si>
  <si>
    <r>
      <rPr>
        <sz val="9"/>
        <color rgb="FF000000"/>
        <rFont val="Calibri"/>
        <family val="2"/>
      </rPr>
      <t>L-Carnitine Orotate</t>
    </r>
  </si>
  <si>
    <r>
      <rPr>
        <sz val="9"/>
        <color rgb="FF000000"/>
        <rFont val="Calibri"/>
        <family val="2"/>
      </rPr>
      <t>Organic Sumac Powder</t>
    </r>
  </si>
  <si>
    <r>
      <rPr>
        <sz val="9"/>
        <color rgb="FF000000"/>
        <rFont val="Calibri"/>
        <family val="2"/>
      </rPr>
      <t>Saw Palmetto 45% Fatty Acid</t>
    </r>
  </si>
  <si>
    <r>
      <rPr>
        <sz val="9"/>
        <color rgb="FF000000"/>
        <rFont val="Calibri"/>
        <family val="2"/>
      </rPr>
      <t>Cinnamon Extract 15:1 TLC</t>
    </r>
  </si>
  <si>
    <r>
      <rPr>
        <sz val="9"/>
        <color rgb="FF000000"/>
        <rFont val="Calibri"/>
        <family val="2"/>
      </rPr>
      <t>Naringin 50%</t>
    </r>
  </si>
  <si>
    <r>
      <rPr>
        <sz val="9"/>
        <color rgb="FF000000"/>
        <rFont val="Calibri"/>
        <family val="2"/>
      </rPr>
      <t>Vitamin B6 (as Pyridoxal-5-Phosphate)(P5P)</t>
    </r>
  </si>
  <si>
    <r>
      <rPr>
        <sz val="9"/>
        <color rgb="FF000000"/>
        <rFont val="Calibri"/>
        <family val="2"/>
      </rPr>
      <t>Bearberry Leaf (arctostaphylos uvaursa) 50:1</t>
    </r>
  </si>
  <si>
    <r>
      <rPr>
        <sz val="9"/>
        <color rgb="FF000000"/>
        <rFont val="Calibri"/>
        <family val="2"/>
      </rPr>
      <t>Ginkgo Biloba Leaf Powder</t>
    </r>
  </si>
  <si>
    <r>
      <rPr>
        <sz val="9"/>
        <color rgb="FF000000"/>
        <rFont val="Calibri"/>
        <family val="2"/>
      </rPr>
      <t>L-Carnitine Fumarate</t>
    </r>
  </si>
  <si>
    <r>
      <rPr>
        <sz val="9"/>
        <color rgb="FF000000"/>
        <rFont val="Calibri"/>
        <family val="2"/>
      </rPr>
      <t>Organic Strawberry Fruit Powder</t>
    </r>
  </si>
  <si>
    <r>
      <rPr>
        <sz val="9"/>
        <color rgb="FF000000"/>
        <rFont val="Calibri"/>
        <family val="2"/>
      </rPr>
      <t>Schisandra Fruit Extract Schizandrins 9% UV</t>
    </r>
  </si>
  <si>
    <r>
      <rPr>
        <sz val="9"/>
        <color rgb="FF000000"/>
        <rFont val="Calibri"/>
        <family val="2"/>
      </rPr>
      <t>Cinnamon bark powder</t>
    </r>
  </si>
  <si>
    <r>
      <rPr>
        <sz val="9"/>
        <color rgb="FF000000"/>
        <rFont val="Calibri"/>
        <family val="2"/>
      </rPr>
      <t>N-METHYLPENTYL-IMINOGLUTARIC ACID</t>
    </r>
  </si>
  <si>
    <r>
      <rPr>
        <sz val="9"/>
        <color rgb="FF000000"/>
        <rFont val="Calibri"/>
        <family val="2"/>
      </rPr>
      <t>Schisandra Fruit Extract Schizandrins 20% HPLC</t>
    </r>
  </si>
  <si>
    <r>
      <rPr>
        <sz val="9"/>
        <color rgb="FF000000"/>
        <rFont val="Calibri"/>
        <family val="2"/>
      </rPr>
      <t>Vitamin B3 (as Niacinamide)</t>
    </r>
  </si>
  <si>
    <r>
      <rPr>
        <sz val="9"/>
        <color rgb="FF000000"/>
        <rFont val="Calibri"/>
        <family val="2"/>
      </rPr>
      <t>Barley Grass Powder</t>
    </r>
  </si>
  <si>
    <r>
      <rPr>
        <sz val="9"/>
        <color rgb="FF000000"/>
        <rFont val="Calibri"/>
        <family val="2"/>
      </rPr>
      <t>Ginkgo Biloba Leaf Extract 10:1 TLC</t>
    </r>
  </si>
  <si>
    <r>
      <rPr>
        <sz val="9"/>
        <color rgb="FF000000"/>
        <rFont val="Calibri"/>
        <family val="2"/>
      </rPr>
      <t>L-Calcium Lactate</t>
    </r>
  </si>
  <si>
    <r>
      <rPr>
        <sz val="9"/>
        <color rgb="FF000000"/>
        <rFont val="Calibri"/>
        <family val="2"/>
      </rPr>
      <t>Organic Stevia Extract Reb A 98%</t>
    </r>
  </si>
  <si>
    <r>
      <rPr>
        <sz val="9"/>
        <color rgb="FF000000"/>
        <rFont val="Calibri"/>
        <family val="2"/>
      </rPr>
      <t>Citrus Aurantium Extract Bioflavonoids 10% HPLC(Hesperidin)</t>
    </r>
  </si>
  <si>
    <r>
      <rPr>
        <sz val="9"/>
        <color rgb="FF000000"/>
        <rFont val="Calibri"/>
        <family val="2"/>
      </rPr>
      <t>N-Coumaroyldopamine</t>
    </r>
  </si>
  <si>
    <r>
      <rPr>
        <sz val="9"/>
        <color rgb="FF000000"/>
        <rFont val="Calibri"/>
        <family val="2"/>
      </rPr>
      <t>Schisandra Fruit Extract Schisandrins 2% UV</t>
    </r>
  </si>
  <si>
    <r>
      <rPr>
        <sz val="9"/>
        <color rgb="FF000000"/>
        <rFont val="Calibri"/>
        <family val="2"/>
      </rPr>
      <t>Vitamin B3 (as Niacin)</t>
    </r>
  </si>
  <si>
    <r>
      <rPr>
        <sz val="9"/>
        <color rgb="FF000000"/>
        <rFont val="Calibri"/>
        <family val="2"/>
      </rPr>
      <t>Barberry Extract 4:1 TLC</t>
    </r>
  </si>
  <si>
    <r>
      <rPr>
        <sz val="9"/>
        <color rgb="FF000000"/>
        <rFont val="Calibri"/>
        <family val="2"/>
      </rPr>
      <t>Gingko Biloba 10:1 (Ginkgo Biloba)</t>
    </r>
  </si>
  <si>
    <r>
      <rPr>
        <sz val="9"/>
        <color rgb="FF000000"/>
        <rFont val="Calibri"/>
        <family val="2"/>
      </rPr>
      <t>L-Cysteine HCL Anyhdrous</t>
    </r>
  </si>
  <si>
    <r>
      <rPr>
        <sz val="9"/>
        <color rgb="FF000000"/>
        <rFont val="Calibri"/>
        <family val="2"/>
      </rPr>
      <t>Organic Valerian Root Extract 4:1</t>
    </r>
  </si>
  <si>
    <r>
      <rPr>
        <sz val="9"/>
        <color rgb="FF000000"/>
        <rFont val="Calibri"/>
        <family val="2"/>
      </rPr>
      <t>Citrus Aurantium (Std.Extract)(min.10% Synephrine)</t>
    </r>
  </si>
  <si>
    <r>
      <rPr>
        <sz val="9"/>
        <color rgb="FF000000"/>
        <rFont val="Calibri"/>
        <family val="2"/>
      </rPr>
      <t>N-Acetyl-L-cysteine (NAC) Hydrolyzed</t>
    </r>
  </si>
  <si>
    <r>
      <rPr>
        <sz val="9"/>
        <color rgb="FF000000"/>
        <rFont val="Calibri"/>
        <family val="2"/>
      </rPr>
      <t>Schisandra Chinensis Extract 10:1 TLC</t>
    </r>
  </si>
  <si>
    <r>
      <rPr>
        <sz val="9"/>
        <color rgb="FF000000"/>
        <rFont val="Calibri"/>
        <family val="2"/>
      </rPr>
      <t>Vitamin D2 40MIU/g</t>
    </r>
  </si>
  <si>
    <r>
      <rPr>
        <sz val="9"/>
        <color rgb="FF000000"/>
        <rFont val="Calibri"/>
        <family val="2"/>
      </rPr>
      <t>Berberine HCL 97% HPLC Granular</t>
    </r>
  </si>
  <si>
    <r>
      <rPr>
        <sz val="9"/>
        <color rgb="FF000000"/>
        <rFont val="Calibri"/>
        <family val="2"/>
      </rPr>
      <t>Glucosamine Sulfate NaCL (Sodium)</t>
    </r>
  </si>
  <si>
    <r>
      <rPr>
        <sz val="9"/>
        <color rgb="FF000000"/>
        <rFont val="Calibri"/>
        <family val="2"/>
      </rPr>
      <t>L-Citrulline Malate(2:1) (Bulk Density 0.54-0.602 )</t>
    </r>
  </si>
  <si>
    <r>
      <rPr>
        <sz val="9"/>
        <color rgb="FF000000"/>
        <rFont val="Calibri"/>
        <family val="2"/>
      </rPr>
      <t>Organic Turmeric Root Powder</t>
    </r>
  </si>
  <si>
    <r>
      <rPr>
        <sz val="9"/>
        <color rgb="FF000000"/>
        <rFont val="Calibri"/>
        <family val="2"/>
      </rPr>
      <t>Cistanche tubulosa extract 5% Echinacosides HPLC</t>
    </r>
  </si>
  <si>
    <r>
      <rPr>
        <sz val="9"/>
        <color rgb="FF000000"/>
        <rFont val="Calibri"/>
        <family val="2"/>
      </rPr>
      <t>NATURAL VITAMIN E POWDER(MIXED TOCOPHEROLS POWDER 30%)</t>
    </r>
  </si>
  <si>
    <r>
      <rPr>
        <sz val="9"/>
        <color rgb="FF000000"/>
        <rFont val="Calibri"/>
        <family val="2"/>
      </rPr>
      <t>Sea Buckthorn Berry Powder</t>
    </r>
  </si>
  <si>
    <r>
      <rPr>
        <sz val="9"/>
        <color rgb="FF000000"/>
        <rFont val="Calibri"/>
        <family val="2"/>
      </rPr>
      <t>Vitamin C (as Ascorbic Acid) Granular</t>
    </r>
  </si>
  <si>
    <r>
      <rPr>
        <sz val="9"/>
        <color rgb="FF000000"/>
        <rFont val="Calibri"/>
        <family val="2"/>
      </rPr>
      <t>Beet Root Powder</t>
    </r>
  </si>
  <si>
    <r>
      <rPr>
        <sz val="9"/>
        <color rgb="FF000000"/>
        <rFont val="Calibri"/>
        <family val="2"/>
      </rPr>
      <t>Glucosamine Sulfate 2KCL</t>
    </r>
  </si>
  <si>
    <r>
      <rPr>
        <sz val="9"/>
        <color rgb="FF000000"/>
        <rFont val="Calibri"/>
        <family val="2"/>
      </rPr>
      <t>L-Citrulline Malate(1:1)</t>
    </r>
  </si>
  <si>
    <r>
      <rPr>
        <sz val="9"/>
        <color rgb="FF000000"/>
        <rFont val="Calibri"/>
        <family val="2"/>
      </rPr>
      <t>Organic Turkey Tail Extract 50% Polysacharides</t>
    </r>
  </si>
  <si>
    <r>
      <rPr>
        <sz val="9"/>
        <color rgb="FF000000"/>
        <rFont val="Calibri"/>
        <family val="2"/>
      </rPr>
      <t>Cistanche tubulosa extract 10% echinacosides</t>
    </r>
  </si>
  <si>
    <r>
      <rPr>
        <sz val="9"/>
        <color rgb="FF000000"/>
        <rFont val="Calibri"/>
        <family val="2"/>
      </rPr>
      <t>Natural Caffeine Anhydrous 98% (from Green Tea Leaves)</t>
    </r>
  </si>
  <si>
    <r>
      <rPr>
        <sz val="9"/>
        <color rgb="FF000000"/>
        <rFont val="Calibri"/>
        <family val="2"/>
      </rPr>
      <t>Scutellaria Baicalensis Extract Baicalin 85%</t>
    </r>
  </si>
  <si>
    <r>
      <rPr>
        <sz val="9"/>
        <color rgb="FF000000"/>
        <rFont val="Calibri"/>
        <family val="2"/>
      </rPr>
      <t>Vitamin B9 (as Folic Acid) 10%</t>
    </r>
  </si>
  <si>
    <r>
      <rPr>
        <sz val="9"/>
        <color rgb="FF000000"/>
        <rFont val="Calibri"/>
        <family val="2"/>
      </rPr>
      <t>Beet Root Extract 8:1 TLC</t>
    </r>
  </si>
  <si>
    <r>
      <rPr>
        <sz val="9"/>
        <color rgb="FF000000"/>
        <rFont val="Calibri"/>
        <family val="2"/>
      </rPr>
      <t>Glucosamine HCL 40 mesh</t>
    </r>
  </si>
  <si>
    <r>
      <rPr>
        <sz val="9"/>
        <color rgb="FF000000"/>
        <rFont val="Calibri"/>
        <family val="2"/>
      </rPr>
      <t>L-Citrulline</t>
    </r>
  </si>
  <si>
    <r>
      <rPr>
        <sz val="9"/>
        <color rgb="FF000000"/>
        <rFont val="Calibri"/>
        <family val="2"/>
      </rPr>
      <t>Organic Tart Cherry Powder</t>
    </r>
  </si>
  <si>
    <r>
      <rPr>
        <sz val="9"/>
        <color rgb="FF000000"/>
        <rFont val="Calibri"/>
        <family val="2"/>
      </rPr>
      <t>Citrus Aurantium Extract Synephrine 6% HPLC</t>
    </r>
  </si>
  <si>
    <r>
      <rPr>
        <sz val="9"/>
        <color rgb="FF000000"/>
        <rFont val="Calibri"/>
        <family val="2"/>
      </rPr>
      <t>L-Glycine (Vegan)</t>
    </r>
  </si>
  <si>
    <r>
      <rPr>
        <sz val="9"/>
        <color rgb="FF000000"/>
        <rFont val="Calibri"/>
        <family val="2"/>
      </rPr>
      <t>Natural Caffeine Anhydrous 95% (from Arabica Coffee Bean)</t>
    </r>
  </si>
  <si>
    <r>
      <rPr>
        <sz val="9"/>
        <color rgb="FF000000"/>
        <rFont val="Calibri"/>
        <family val="2"/>
      </rPr>
      <t>Schizonepetae Extract 10:1</t>
    </r>
  </si>
  <si>
    <r>
      <rPr>
        <sz val="9"/>
        <color rgb="FF000000"/>
        <rFont val="Calibri"/>
        <family val="2"/>
      </rPr>
      <t>Vitamin B7 (as Biotin)(1% on DCP)</t>
    </r>
  </si>
  <si>
    <r>
      <rPr>
        <sz val="9"/>
        <color rgb="FF000000"/>
        <rFont val="Calibri"/>
        <family val="2"/>
      </rPr>
      <t>Beet Root Extract 3% Nitrate</t>
    </r>
  </si>
  <si>
    <r>
      <rPr>
        <sz val="9"/>
        <color rgb="FF000000"/>
        <rFont val="Calibri"/>
        <family val="2"/>
      </rPr>
      <t>Glucomannan Extract 90% Glucomannan UV</t>
    </r>
  </si>
  <si>
    <r>
      <rPr>
        <sz val="9"/>
        <color rgb="FF000000"/>
        <rFont val="Calibri"/>
        <family val="2"/>
      </rPr>
      <t>Panax Ginseng 10% (Root)</t>
    </r>
  </si>
  <si>
    <r>
      <rPr>
        <sz val="9"/>
        <color rgb="FF000000"/>
        <rFont val="Calibri"/>
        <family val="2"/>
      </rPr>
      <t>Citrus Aurantium Extract Hesperidin 90% HPLC</t>
    </r>
  </si>
  <si>
    <r>
      <rPr>
        <sz val="9"/>
        <color rgb="FF000000"/>
        <rFont val="Calibri"/>
        <family val="2"/>
      </rPr>
      <t>L-Glutathione Reduced</t>
    </r>
  </si>
  <si>
    <r>
      <rPr>
        <sz val="9"/>
        <color rgb="FF000000"/>
        <rFont val="Calibri"/>
        <family val="2"/>
      </rPr>
      <t>Nattokinase 20000 fu/g</t>
    </r>
  </si>
  <si>
    <r>
      <rPr>
        <sz val="9"/>
        <color rgb="FF000000"/>
        <rFont val="Calibri"/>
        <family val="2"/>
      </rPr>
      <t>Schizandra Fruit Extract 10:1</t>
    </r>
  </si>
  <si>
    <r>
      <rPr>
        <sz val="9"/>
        <color rgb="FF000000"/>
        <rFont val="Calibri"/>
        <family val="2"/>
      </rPr>
      <t>Vitamin E Acetate 15%</t>
    </r>
  </si>
  <si>
    <r>
      <rPr>
        <sz val="9"/>
        <color rgb="FF000000"/>
        <rFont val="Calibri"/>
        <family val="2"/>
      </rPr>
      <t>Beta Phenylethylamine Hydrochloride (PEA)</t>
    </r>
  </si>
  <si>
    <r>
      <rPr>
        <sz val="9"/>
        <color rgb="FF000000"/>
        <rFont val="Calibri"/>
        <family val="2"/>
      </rPr>
      <t>Goji Berry Extract Polysaccharide 30% UV (Chinese Wolfberry Extract)</t>
    </r>
  </si>
  <si>
    <r>
      <rPr>
        <sz val="9"/>
        <color rgb="FF000000"/>
        <rFont val="Calibri"/>
        <family val="2"/>
      </rPr>
      <t>PABA (Para-Aminobenzoic Acid)</t>
    </r>
  </si>
  <si>
    <r>
      <rPr>
        <sz val="9"/>
        <color rgb="FF000000"/>
        <rFont val="Calibri"/>
        <family val="2"/>
      </rPr>
      <t>Citrus Aurantium Extract Diosmin 90% HPLC</t>
    </r>
  </si>
  <si>
    <r>
      <rPr>
        <sz val="9"/>
        <color rgb="FF000000"/>
        <rFont val="Calibri"/>
        <family val="2"/>
      </rPr>
      <t>L-Glutamine</t>
    </r>
  </si>
  <si>
    <r>
      <rPr>
        <sz val="9"/>
        <color rgb="FF000000"/>
        <rFont val="Calibri"/>
        <family val="2"/>
      </rPr>
      <t>Nettle Root Extract 4:1 TLC</t>
    </r>
  </si>
  <si>
    <r>
      <rPr>
        <sz val="9"/>
        <color rgb="FF000000"/>
        <rFont val="Calibri"/>
        <family val="2"/>
      </rPr>
      <t>Semaglutide/Ozempic</t>
    </r>
  </si>
  <si>
    <r>
      <rPr>
        <sz val="9"/>
        <color rgb="FF000000"/>
        <rFont val="Calibri"/>
        <family val="2"/>
      </rPr>
      <t>Vitamin E (Natural D-Alpha Tocopheryl Succinate 1210)</t>
    </r>
  </si>
  <si>
    <r>
      <rPr>
        <sz val="9"/>
        <color rgb="FF000000"/>
        <rFont val="Calibri"/>
        <family val="2"/>
      </rPr>
      <t>Beta Glucan (1,3/1,6) 70%</t>
    </r>
  </si>
  <si>
    <r>
      <rPr>
        <sz val="9"/>
        <color rgb="FF000000"/>
        <rFont val="Calibri"/>
        <family val="2"/>
      </rPr>
      <t>Glycine Propionyl L-Carnitine Hydrochloride(48% Carnitine)(GPLC)</t>
    </r>
  </si>
  <si>
    <r>
      <rPr>
        <sz val="9"/>
        <color rgb="FF000000"/>
        <rFont val="Calibri"/>
        <family val="2"/>
      </rPr>
      <t>Organic Wheat Grass Powder</t>
    </r>
  </si>
  <si>
    <r>
      <rPr>
        <sz val="9"/>
        <color rgb="FF000000"/>
        <rFont val="Calibri"/>
        <family val="2"/>
      </rPr>
      <t>Citrus Aurantium Extract Bioflavonoids 40% HPLC</t>
    </r>
  </si>
  <si>
    <r>
      <rPr>
        <sz val="9"/>
        <color rgb="FF000000"/>
        <rFont val="Calibri"/>
        <family val="2"/>
      </rPr>
      <t>L-Glutamic Acid Base</t>
    </r>
  </si>
  <si>
    <r>
      <rPr>
        <sz val="9"/>
        <color rgb="FF000000"/>
        <rFont val="Calibri"/>
        <family val="2"/>
      </rPr>
      <t>Nettle leaf extract 4:1</t>
    </r>
  </si>
  <si>
    <r>
      <rPr>
        <sz val="9"/>
        <color rgb="FF000000"/>
        <rFont val="Calibri"/>
        <family val="2"/>
      </rPr>
      <t>Selenium(as Selenium Citrate)(.5%)</t>
    </r>
  </si>
  <si>
    <r>
      <rPr>
        <sz val="9"/>
        <color rgb="FF000000"/>
        <rFont val="Calibri"/>
        <family val="2"/>
      </rPr>
      <t>Vitamin D3 CWS Powder 100,000 IU/G</t>
    </r>
  </si>
  <si>
    <r>
      <rPr>
        <sz val="9"/>
        <color rgb="FF000000"/>
        <rFont val="Calibri"/>
        <family val="2"/>
      </rPr>
      <t>Beta Alanine (Bulk Density 0.736 - 0.814)</t>
    </r>
  </si>
  <si>
    <r>
      <rPr>
        <sz val="9"/>
        <color rgb="FF000000"/>
        <rFont val="Calibri"/>
        <family val="2"/>
      </rPr>
      <t>Glycerol Monolaurate 90%</t>
    </r>
  </si>
  <si>
    <r>
      <rPr>
        <sz val="9"/>
        <color rgb="FF000000"/>
        <rFont val="Calibri"/>
        <family val="2"/>
      </rPr>
      <t>Organic Watermelon Seed Protein 65%</t>
    </r>
  </si>
  <si>
    <r>
      <rPr>
        <sz val="9"/>
        <color rgb="FF000000"/>
        <rFont val="Calibri"/>
        <family val="2"/>
      </rPr>
      <t>Citrus Pectin</t>
    </r>
  </si>
  <si>
    <r>
      <rPr>
        <sz val="9"/>
        <color rgb="FF000000"/>
        <rFont val="Calibri"/>
        <family val="2"/>
      </rPr>
      <t>L-Leucine fermented 80 mesh</t>
    </r>
  </si>
  <si>
    <r>
      <rPr>
        <sz val="9"/>
        <color rgb="FF000000"/>
        <rFont val="Calibri"/>
        <family val="2"/>
      </rPr>
      <t>Nettle Extract beta sitosterol 2% HPLC</t>
    </r>
  </si>
  <si>
    <r>
      <rPr>
        <sz val="9"/>
        <color rgb="FF000000"/>
        <rFont val="Calibri"/>
        <family val="2"/>
      </rPr>
      <t>Selenium Citrate (Se 0.2%)</t>
    </r>
  </si>
  <si>
    <r>
      <rPr>
        <sz val="9"/>
        <color rgb="FF000000"/>
        <rFont val="Calibri"/>
        <family val="2"/>
      </rPr>
      <t>Vitamin D3 (Cholecalciferol) Vegan 100000 UI</t>
    </r>
  </si>
  <si>
    <r>
      <rPr>
        <sz val="9"/>
        <color rgb="FF000000"/>
        <rFont val="Calibri"/>
        <family val="2"/>
      </rPr>
      <t>Berberine HCL Granular 97% Titration</t>
    </r>
  </si>
  <si>
    <r>
      <rPr>
        <sz val="9"/>
        <color rgb="FF000000"/>
        <rFont val="Calibri"/>
        <family val="2"/>
      </rPr>
      <t>Glucuronolactone</t>
    </r>
  </si>
  <si>
    <r>
      <rPr>
        <sz val="9"/>
        <color rgb="FF000000"/>
        <rFont val="Calibri"/>
        <family val="2"/>
      </rPr>
      <t>Panax Ginseng Extract Powder 3% Ginsenosides HPLC</t>
    </r>
  </si>
  <si>
    <r>
      <rPr>
        <sz val="9"/>
        <color rgb="FF000000"/>
        <rFont val="Calibri"/>
        <family val="2"/>
      </rPr>
      <t>Vitamin K2 MK7 3.0% oil</t>
    </r>
  </si>
  <si>
    <r>
      <rPr>
        <sz val="9"/>
        <color rgb="FF000000"/>
        <rFont val="Calibri"/>
        <family val="2"/>
      </rPr>
      <t>Bilberry Extract Chinese Anthocyanidins 25% UV</t>
    </r>
  </si>
  <si>
    <r>
      <rPr>
        <sz val="9"/>
        <color rgb="FF000000"/>
        <rFont val="Calibri"/>
        <family val="2"/>
      </rPr>
      <t>Citrus Bioflavonoids 50%</t>
    </r>
  </si>
  <si>
    <r>
      <rPr>
        <sz val="9"/>
        <color rgb="FF000000"/>
        <rFont val="Calibri"/>
        <family val="2"/>
      </rPr>
      <t>L-Leucine (Granulated)</t>
    </r>
  </si>
  <si>
    <r>
      <rPr>
        <sz val="9"/>
        <color rgb="FF000000"/>
        <rFont val="Calibri"/>
        <family val="2"/>
      </rPr>
      <t>Needle Mushroom Polysaccharides 30% UV (Flammulina velutipes)</t>
    </r>
  </si>
  <si>
    <r>
      <rPr>
        <sz val="9"/>
        <color rgb="FF000000"/>
        <rFont val="Calibri"/>
        <family val="2"/>
      </rPr>
      <t>Selaginella Tamariscina Extract 20% Amentoflavone</t>
    </r>
  </si>
  <si>
    <r>
      <rPr>
        <sz val="9"/>
        <color rgb="FF000000"/>
        <rFont val="Calibri"/>
        <family val="2"/>
      </rPr>
      <t>Goldenseal Root Extract Berberine 5% HPLC</t>
    </r>
  </si>
  <si>
    <r>
      <rPr>
        <sz val="9"/>
        <color rgb="FF000000"/>
        <rFont val="Calibri"/>
        <family val="2"/>
      </rPr>
      <t>Panax Ginseng Extract Ginsenosides 5% HPLC (Root)</t>
    </r>
  </si>
  <si>
    <r>
      <rPr>
        <sz val="9"/>
        <color rgb="FF000000"/>
        <rFont val="Calibri"/>
        <family val="2"/>
      </rPr>
      <t>Vitamin K2 MK-7 1.0% Powder</t>
    </r>
  </si>
  <si>
    <r>
      <rPr>
        <sz val="9"/>
        <color rgb="FF000000"/>
        <rFont val="Calibri"/>
        <family val="2"/>
      </rPr>
      <t>BILBERRY EXTRACT 4:1</t>
    </r>
  </si>
  <si>
    <r>
      <rPr>
        <sz val="9"/>
        <color rgb="FF000000"/>
        <rFont val="Calibri"/>
        <family val="2"/>
      </rPr>
      <t>Citrus Bergamot 5:1</t>
    </r>
  </si>
  <si>
    <r>
      <rPr>
        <sz val="9"/>
        <color rgb="FF000000"/>
        <rFont val="Calibri"/>
        <family val="2"/>
      </rPr>
      <t>L-Isoleucine</t>
    </r>
  </si>
  <si>
    <r>
      <rPr>
        <sz val="9"/>
        <color rgb="FF000000"/>
        <rFont val="Calibri"/>
        <family val="2"/>
      </rPr>
      <t>Noni Fruit Powder</t>
    </r>
  </si>
  <si>
    <r>
      <rPr>
        <sz val="9"/>
        <color rgb="FF000000"/>
        <rFont val="Calibri"/>
        <family val="2"/>
      </rPr>
      <t>Shilajit Extract Powder 3% Fulvic Acid</t>
    </r>
  </si>
  <si>
    <r>
      <rPr>
        <sz val="9"/>
        <color rgb="FF000000"/>
        <rFont val="Calibri"/>
        <family val="2"/>
      </rPr>
      <t>Goldenrod Extract 10:1 TLC</t>
    </r>
  </si>
  <si>
    <r>
      <rPr>
        <sz val="9"/>
        <color rgb="FF000000"/>
        <rFont val="Calibri"/>
        <family val="2"/>
      </rPr>
      <t>Panax Ginseng Extract Ginsenosides 10% UV (Stems &amp; Leaves)</t>
    </r>
  </si>
  <si>
    <r>
      <rPr>
        <sz val="9"/>
        <color rgb="FF000000"/>
        <rFont val="Calibri"/>
        <family val="2"/>
      </rPr>
      <t>Vitamin K1 1%</t>
    </r>
  </si>
  <si>
    <r>
      <rPr>
        <sz val="9"/>
        <color rgb="FF000000"/>
        <rFont val="Calibri"/>
        <family val="2"/>
      </rPr>
      <t>Bilberry (Vaccinium myrtillus) Fruit PE 4:1 (25% eth 75%H20) ISA</t>
    </r>
  </si>
  <si>
    <r>
      <rPr>
        <sz val="9"/>
        <color rgb="FF000000"/>
        <rFont val="Calibri"/>
        <family val="2"/>
      </rPr>
      <t>Citrus Bergamot 10:1</t>
    </r>
  </si>
  <si>
    <r>
      <rPr>
        <sz val="9"/>
        <color rgb="FF000000"/>
        <rFont val="Calibri"/>
        <family val="2"/>
      </rPr>
      <t>L-Histidine HCL</t>
    </r>
  </si>
  <si>
    <r>
      <rPr>
        <sz val="9"/>
        <color rgb="FF000000"/>
        <rFont val="Calibri"/>
        <family val="2"/>
      </rPr>
      <t>Nitrobeet&amp;#65533; Beet Root Extract (10% Nitrate&amp;#65289;</t>
    </r>
  </si>
  <si>
    <r>
      <rPr>
        <sz val="9"/>
        <color rgb="FF000000"/>
        <rFont val="Calibri"/>
        <family val="2"/>
      </rPr>
      <t>Sesame extract (10% sesamin)</t>
    </r>
  </si>
  <si>
    <r>
      <rPr>
        <sz val="9"/>
        <color rgb="FF000000"/>
        <rFont val="Calibri"/>
        <family val="2"/>
      </rPr>
      <t>Goji fruit extract 2:1 (Dry fruit)</t>
    </r>
  </si>
  <si>
    <r>
      <rPr>
        <sz val="9"/>
        <color rgb="FF000000"/>
        <rFont val="Calibri"/>
        <family val="2"/>
      </rPr>
      <t>Panax Ginseng Extract Ginsenosides 1% HPLC (Root)</t>
    </r>
  </si>
  <si>
    <r>
      <rPr>
        <sz val="9"/>
        <color rgb="FF000000"/>
        <rFont val="Calibri"/>
        <family val="2"/>
      </rPr>
      <t>Vitamin E Acetate Oil 96~102%</t>
    </r>
  </si>
  <si>
    <r>
      <rPr>
        <sz val="9"/>
        <color rgb="FF000000"/>
        <rFont val="Calibri"/>
        <family val="2"/>
      </rPr>
      <t>Betaine Anhydrous (Trimethylglycine)</t>
    </r>
  </si>
  <si>
    <r>
      <rPr>
        <sz val="9"/>
        <color rgb="FF000000"/>
        <rFont val="Calibri"/>
        <family val="2"/>
      </rPr>
      <t>Cnidium monnieri seed extract (std. min. 98% Osthole)</t>
    </r>
  </si>
  <si>
    <r>
      <rPr>
        <sz val="9"/>
        <color rgb="FF000000"/>
        <rFont val="Calibri"/>
        <family val="2"/>
      </rPr>
      <t>L-Ornithine AKG 2:1</t>
    </r>
  </si>
  <si>
    <r>
      <rPr>
        <sz val="9"/>
        <color rgb="FF000000"/>
        <rFont val="Calibri"/>
        <family val="2"/>
      </rPr>
      <t>Nigella sative extra ct 5:1</t>
    </r>
  </si>
  <si>
    <r>
      <rPr>
        <sz val="9"/>
        <color rgb="FF000000"/>
        <rFont val="Calibri"/>
        <family val="2"/>
      </rPr>
      <t>Sermorelin</t>
    </r>
  </si>
  <si>
    <r>
      <rPr>
        <sz val="9"/>
        <color rgb="FF000000"/>
        <rFont val="Calibri"/>
        <family val="2"/>
      </rPr>
      <t>Goji Berry Extract Polysaccharide 60% UV</t>
    </r>
  </si>
  <si>
    <r>
      <rPr>
        <sz val="9"/>
        <color rgb="FF000000"/>
        <rFont val="Calibri"/>
        <family val="2"/>
      </rPr>
      <t>Papain 2000 USP</t>
    </r>
  </si>
  <si>
    <r>
      <rPr>
        <sz val="9"/>
        <color rgb="FF000000"/>
        <rFont val="Calibri"/>
        <family val="2"/>
      </rPr>
      <t>Bitter Melon Extract 20% saponins</t>
    </r>
  </si>
  <si>
    <r>
      <rPr>
        <sz val="9"/>
        <color rgb="FF000000"/>
        <rFont val="Calibri"/>
        <family val="2"/>
      </rPr>
      <t>Clostridium butyricum-1B</t>
    </r>
  </si>
  <si>
    <r>
      <rPr>
        <sz val="9"/>
        <color rgb="FF000000"/>
        <rFont val="Calibri"/>
        <family val="2"/>
      </rPr>
      <t>L-Norvaline</t>
    </r>
  </si>
  <si>
    <r>
      <rPr>
        <sz val="9"/>
        <color rgb="FF000000"/>
        <rFont val="Calibri"/>
        <family val="2"/>
      </rPr>
      <t>Nicotinamide Mononucleotide (NMN)</t>
    </r>
  </si>
  <si>
    <r>
      <rPr>
        <sz val="9"/>
        <color rgb="FF000000"/>
        <rFont val="Calibri"/>
        <family val="2"/>
      </rPr>
      <t>Senna Leaf Extract (PE 10:1)</t>
    </r>
  </si>
  <si>
    <r>
      <rPr>
        <sz val="9"/>
        <color rgb="FF000000"/>
        <rFont val="Calibri"/>
        <family val="2"/>
      </rPr>
      <t>Grape Juice Powder</t>
    </r>
  </si>
  <si>
    <r>
      <rPr>
        <sz val="9"/>
        <color rgb="FF000000"/>
        <rFont val="Calibri"/>
        <family val="2"/>
      </rPr>
      <t>Oat Flour Powder</t>
    </r>
  </si>
  <si>
    <r>
      <rPr>
        <sz val="9"/>
        <color rgb="FF000000"/>
        <rFont val="Calibri"/>
        <family val="2"/>
      </rPr>
      <t>PANCREATIN (4X) (Granular)</t>
    </r>
  </si>
  <si>
    <r>
      <rPr>
        <sz val="9"/>
        <color rgb="FF000000"/>
        <rFont val="Calibri"/>
        <family val="2"/>
      </rPr>
      <t>Bitter Melon 10:1</t>
    </r>
  </si>
  <si>
    <r>
      <rPr>
        <sz val="9"/>
        <color rgb="FF000000"/>
        <rFont val="Calibri"/>
        <family val="2"/>
      </rPr>
      <t>CLA Powder (Conjugated Linoleic Acid) oil content 50%, TG 40%</t>
    </r>
  </si>
  <si>
    <r>
      <rPr>
        <sz val="9"/>
        <color rgb="FF000000"/>
        <rFont val="Calibri"/>
        <family val="2"/>
      </rPr>
      <t>L-Methionine</t>
    </r>
  </si>
  <si>
    <r>
      <rPr>
        <sz val="9"/>
        <color rgb="FF000000"/>
        <rFont val="Calibri"/>
        <family val="2"/>
      </rPr>
      <t>Tomato Fruit Powder</t>
    </r>
  </si>
  <si>
    <r>
      <rPr>
        <sz val="9"/>
        <color rgb="FF000000"/>
        <rFont val="Calibri"/>
        <family val="2"/>
      </rPr>
      <t>Gotu Kola Extract Asiaticosides 10% HPLC (Centella Asiatica Extract)</t>
    </r>
  </si>
  <si>
    <r>
      <rPr>
        <sz val="9"/>
        <color rgb="FF000000"/>
        <rFont val="Calibri"/>
        <family val="2"/>
      </rPr>
      <t>Nori Extract 4:1</t>
    </r>
  </si>
  <si>
    <r>
      <rPr>
        <sz val="9"/>
        <color rgb="FF000000"/>
        <rFont val="Calibri"/>
        <family val="2"/>
      </rPr>
      <t>Panax ginseng rootleaf 25:1 (80% Ginsenosides) 70% Ethanol 30%Water</t>
    </r>
  </si>
  <si>
    <r>
      <rPr>
        <sz val="9"/>
        <color rgb="FF000000"/>
        <rFont val="Calibri"/>
        <family val="2"/>
      </rPr>
      <t>Biota seed extract 10:1</t>
    </r>
  </si>
  <si>
    <r>
      <rPr>
        <sz val="9"/>
        <color rgb="FF000000"/>
        <rFont val="Calibri"/>
        <family val="2"/>
      </rPr>
      <t>CLA Powder (Conjugated Linoleic Acid) 60% TG CWD (Vegan)</t>
    </r>
  </si>
  <si>
    <r>
      <rPr>
        <sz val="9"/>
        <color rgb="FF000000"/>
        <rFont val="Calibri"/>
        <family val="2"/>
      </rPr>
      <t>L-Lysine HCl</t>
    </r>
  </si>
  <si>
    <r>
      <rPr>
        <sz val="9"/>
        <color rgb="FF000000"/>
        <rFont val="Calibri"/>
        <family val="2"/>
      </rPr>
      <t>Tocopherols 30% (Mixed Vit E Alpha, Gamma, Beta, Delta; Natural)</t>
    </r>
  </si>
  <si>
    <r>
      <rPr>
        <sz val="9"/>
        <color rgb="FF000000"/>
        <rFont val="Calibri"/>
        <family val="2"/>
      </rPr>
      <t>Gotu Kola Extract (Centella Asiatica)10:1</t>
    </r>
  </si>
  <si>
    <r>
      <rPr>
        <sz val="9"/>
        <color rgb="FF000000"/>
        <rFont val="Calibri"/>
        <family val="2"/>
      </rPr>
      <t>Nopal Cactus Extract (Cellulose Based, no carrier)</t>
    </r>
  </si>
  <si>
    <r>
      <rPr>
        <sz val="9"/>
        <color rgb="FF000000"/>
        <rFont val="Calibri"/>
        <family val="2"/>
      </rPr>
      <t>Panax Ginseng Root Extract 5:1</t>
    </r>
  </si>
  <si>
    <r>
      <rPr>
        <sz val="9"/>
        <color rgb="FF000000"/>
        <rFont val="Calibri"/>
        <family val="2"/>
      </rPr>
      <t>Bilberry Fruit Powder</t>
    </r>
  </si>
  <si>
    <r>
      <rPr>
        <sz val="9"/>
        <color rgb="FF000000"/>
        <rFont val="Calibri"/>
        <family val="2"/>
      </rPr>
      <t>Coconut Milk Powder 25% Fat</t>
    </r>
  </si>
  <si>
    <r>
      <rPr>
        <sz val="9"/>
        <color rgb="FF000000"/>
        <rFont val="Calibri"/>
        <family val="2"/>
      </rPr>
      <t>L-Tartaric Acid</t>
    </r>
  </si>
  <si>
    <r>
      <rPr>
        <sz val="9"/>
        <color rgb="FF000000"/>
        <rFont val="Calibri"/>
        <family val="2"/>
      </rPr>
      <t>Thyme (Thymus Vulgaris) 4:1 extract pwd</t>
    </r>
  </si>
  <si>
    <r>
      <rPr>
        <sz val="9"/>
        <color rgb="FF000000"/>
        <rFont val="Calibri"/>
        <family val="2"/>
      </rPr>
      <t>Goldthread (Coptis chinensis) Root 5:1 PE (100% Water) (R-500717) IS</t>
    </r>
  </si>
  <si>
    <r>
      <rPr>
        <sz val="9"/>
        <color rgb="FF000000"/>
        <rFont val="Calibri"/>
        <family val="2"/>
      </rPr>
      <t>Nopal (prickly pear) 4:1</t>
    </r>
  </si>
  <si>
    <r>
      <rPr>
        <sz val="9"/>
        <color rgb="FF000000"/>
        <rFont val="Calibri"/>
        <family val="2"/>
      </rPr>
      <t>Raspberry Fruit Powder</t>
    </r>
  </si>
  <si>
    <r>
      <rPr>
        <sz val="9"/>
        <color rgb="FF000000"/>
        <rFont val="Calibri"/>
        <family val="2"/>
      </rPr>
      <t>Black Carrot Root Juice Powder</t>
    </r>
  </si>
  <si>
    <r>
      <rPr>
        <sz val="9"/>
        <color rgb="FF000000"/>
        <rFont val="Calibri"/>
        <family val="2"/>
      </rPr>
      <t>Cocoa Powder Natural</t>
    </r>
  </si>
  <si>
    <r>
      <rPr>
        <sz val="9"/>
        <color rgb="FF000000"/>
        <rFont val="Calibri"/>
        <family val="2"/>
      </rPr>
      <t>L-selenomethionine (SE 0.5%)</t>
    </r>
  </si>
  <si>
    <r>
      <rPr>
        <sz val="9"/>
        <color rgb="FF000000"/>
        <rFont val="Calibri"/>
        <family val="2"/>
      </rPr>
      <t>Theophylline Anhydrous</t>
    </r>
  </si>
  <si>
    <r>
      <rPr>
        <sz val="9"/>
        <color rgb="FF000000"/>
        <rFont val="Calibri"/>
        <family val="2"/>
      </rPr>
      <t>Grape Skin Extract 5% Resveratrol</t>
    </r>
  </si>
  <si>
    <r>
      <rPr>
        <sz val="9"/>
        <color rgb="FF000000"/>
        <rFont val="Calibri"/>
        <family val="2"/>
      </rPr>
      <t>Organic Inulin (Agave)</t>
    </r>
  </si>
  <si>
    <r>
      <rPr>
        <sz val="9"/>
        <color rgb="FF000000"/>
        <rFont val="Calibri"/>
        <family val="2"/>
      </rPr>
      <t>Raisin (Vitis vinifera L.) (Fruit) Powder</t>
    </r>
  </si>
  <si>
    <r>
      <rPr>
        <sz val="9"/>
        <color rgb="FF000000"/>
        <rFont val="Calibri"/>
        <family val="2"/>
      </rPr>
      <t>Black Carrot Extract 10:1</t>
    </r>
  </si>
  <si>
    <r>
      <rPr>
        <sz val="9"/>
        <color rgb="FF000000"/>
        <rFont val="Calibri"/>
        <family val="2"/>
      </rPr>
      <t>Cocoa Extract 50% Theobromine</t>
    </r>
  </si>
  <si>
    <r>
      <rPr>
        <sz val="9"/>
        <color rgb="FF000000"/>
        <rFont val="Calibri"/>
        <family val="2"/>
      </rPr>
      <t>L-Proline</t>
    </r>
  </si>
  <si>
    <r>
      <rPr>
        <sz val="9"/>
        <color rgb="FF000000"/>
        <rFont val="Calibri"/>
        <family val="2"/>
      </rPr>
      <t>Tri-Sodium Phosphate</t>
    </r>
  </si>
  <si>
    <r>
      <rPr>
        <sz val="9"/>
        <color rgb="FF000000"/>
        <rFont val="Calibri"/>
        <family val="2"/>
      </rPr>
      <t>Cocoa Extract 20% Theobromine</t>
    </r>
  </si>
  <si>
    <r>
      <rPr>
        <sz val="9"/>
        <color rgb="FF000000"/>
        <rFont val="Calibri"/>
        <family val="2"/>
      </rPr>
      <t>Grape Seed powder</t>
    </r>
  </si>
  <si>
    <r>
      <rPr>
        <sz val="9"/>
        <color rgb="FF000000"/>
        <rFont val="Calibri"/>
        <family val="2"/>
      </rPr>
      <t>Organic Hibiscus Flower Powder</t>
    </r>
  </si>
  <si>
    <r>
      <rPr>
        <sz val="9"/>
        <color rgb="FF000000"/>
        <rFont val="Calibri"/>
        <family val="2"/>
      </rPr>
      <t>R-Alpha Lipoic Acid (R-ALA)</t>
    </r>
  </si>
  <si>
    <r>
      <rPr>
        <sz val="9"/>
        <color rgb="FF000000"/>
        <rFont val="Calibri"/>
        <family val="2"/>
      </rPr>
      <t>Bitter Orange Extract 100:1 TLC</t>
    </r>
  </si>
  <si>
    <r>
      <rPr>
        <sz val="9"/>
        <color rgb="FF000000"/>
        <rFont val="Calibri"/>
        <family val="2"/>
      </rPr>
      <t>L-Ornithine L-Aspartate</t>
    </r>
  </si>
  <si>
    <r>
      <rPr>
        <sz val="9"/>
        <color rgb="FF000000"/>
        <rFont val="Calibri"/>
        <family val="2"/>
      </rPr>
      <t>Tongkat Ali Root Extract 4:1 TLC (Eurycoma Longifolia Jack Extract 4:1 TLC)</t>
    </r>
  </si>
  <si>
    <r>
      <rPr>
        <sz val="9"/>
        <color rgb="FF000000"/>
        <rFont val="Calibri"/>
        <family val="2"/>
      </rPr>
      <t>Coleus Forskohlii Extract 4:1</t>
    </r>
  </si>
  <si>
    <r>
      <rPr>
        <sz val="9"/>
        <color rgb="FF000000"/>
        <rFont val="Calibri"/>
        <family val="2"/>
      </rPr>
      <t>Grape Seed Extract 45% proanthocyandins</t>
    </r>
  </si>
  <si>
    <r>
      <rPr>
        <sz val="9"/>
        <color rgb="FF000000"/>
        <rFont val="Calibri"/>
        <family val="2"/>
      </rPr>
      <t>Organic Hemp Protein 70%</t>
    </r>
  </si>
  <si>
    <r>
      <rPr>
        <sz val="9"/>
        <color rgb="FF000000"/>
        <rFont val="Calibri"/>
        <family val="2"/>
      </rPr>
      <t>Pyrroloquinoline Quinone Disodium Salt (PQQ)</t>
    </r>
  </si>
  <si>
    <r>
      <rPr>
        <sz val="9"/>
        <color rgb="FF000000"/>
        <rFont val="Calibri"/>
        <family val="2"/>
      </rPr>
      <t>Bitter Melon powder</t>
    </r>
  </si>
  <si>
    <r>
      <rPr>
        <sz val="9"/>
        <color rgb="FF000000"/>
        <rFont val="Calibri"/>
        <family val="2"/>
      </rPr>
      <t>Maqui Berry Powder</t>
    </r>
  </si>
  <si>
    <r>
      <rPr>
        <sz val="9"/>
        <color rgb="FF000000"/>
        <rFont val="Calibri"/>
        <family val="2"/>
      </rPr>
      <t>Tongkat Ali Root Extract 100:1 TLC(Eurycoma Longifolia Jack Extract 100:1)</t>
    </r>
  </si>
  <si>
    <r>
      <rPr>
        <sz val="9"/>
        <color rgb="FF000000"/>
        <rFont val="Calibri"/>
        <family val="2"/>
      </rPr>
      <t>Coffee Cherry Extract</t>
    </r>
  </si>
  <si>
    <r>
      <rPr>
        <sz val="9"/>
        <color rgb="FF000000"/>
        <rFont val="Calibri"/>
        <family val="2"/>
      </rPr>
      <t>Grape Seed Extract (std. min.95% Proanthocyanidins)</t>
    </r>
  </si>
  <si>
    <r>
      <rPr>
        <sz val="9"/>
        <color rgb="FF000000"/>
        <rFont val="Calibri"/>
        <family val="2"/>
      </rPr>
      <t>Organic Hebridean Seaweed</t>
    </r>
  </si>
  <si>
    <r>
      <rPr>
        <sz val="9"/>
        <color rgb="FF000000"/>
        <rFont val="Calibri"/>
        <family val="2"/>
      </rPr>
      <t>Red Clover (8% Isoflavones)</t>
    </r>
  </si>
  <si>
    <r>
      <rPr>
        <sz val="9"/>
        <color rgb="FF000000"/>
        <rFont val="Calibri"/>
        <family val="2"/>
      </rPr>
      <t>Black Currant Oil 15% GLA (Oil)</t>
    </r>
  </si>
  <si>
    <r>
      <rPr>
        <sz val="9"/>
        <color rgb="FF000000"/>
        <rFont val="Calibri"/>
        <family val="2"/>
      </rPr>
      <t>Mannitol Crystalline Powder</t>
    </r>
  </si>
  <si>
    <r>
      <rPr>
        <sz val="9"/>
        <color rgb="FF000000"/>
        <rFont val="Calibri"/>
        <family val="2"/>
      </rPr>
      <t>Tongkat ali extract 20:1 (Eurycoma longifolia)(root)</t>
    </r>
  </si>
  <si>
    <r>
      <rPr>
        <sz val="9"/>
        <color rgb="FF000000"/>
        <rFont val="Calibri"/>
        <family val="2"/>
      </rPr>
      <t>Coenzyme Q10 (COQ10)</t>
    </r>
  </si>
  <si>
    <r>
      <rPr>
        <sz val="9"/>
        <color rgb="FF000000"/>
        <rFont val="Calibri"/>
        <family val="2"/>
      </rPr>
      <t>IBCAA 2:1:1 (Hydrolyzed)</t>
    </r>
  </si>
  <si>
    <r>
      <rPr>
        <sz val="9"/>
        <color rgb="FF000000"/>
        <rFont val="Calibri"/>
        <family val="2"/>
      </rPr>
      <t>Organic Lemon Balm Extract (melissa officinalis) 4:1</t>
    </r>
  </si>
  <si>
    <r>
      <rPr>
        <sz val="9"/>
        <color rgb="FF000000"/>
        <rFont val="Calibri"/>
        <family val="2"/>
      </rPr>
      <t>Rauwolfia Tetraphylla Leaf PE (90% Alpha Yohimbe)</t>
    </r>
  </si>
  <si>
    <r>
      <rPr>
        <sz val="9"/>
        <color rgb="FF000000"/>
        <rFont val="Calibri"/>
        <family val="2"/>
      </rPr>
      <t>Black Currant Fruit Extract 10:1 TLC</t>
    </r>
  </si>
  <si>
    <r>
      <rPr>
        <sz val="9"/>
        <color rgb="FF000000"/>
        <rFont val="Calibri"/>
        <family val="2"/>
      </rPr>
      <t>Mangosteen Extract 10% &amp;#945;-Mangostin HPLC</t>
    </r>
  </si>
  <si>
    <r>
      <rPr>
        <sz val="9"/>
        <color rgb="FF000000"/>
        <rFont val="Calibri"/>
        <family val="2"/>
      </rPr>
      <t>Tribulus Terrestris Extract Total Saponins 60% UV</t>
    </r>
  </si>
  <si>
    <r>
      <rPr>
        <sz val="9"/>
        <color rgb="FF000000"/>
        <rFont val="Calibri"/>
        <family val="2"/>
      </rPr>
      <t>Coconut Powder 35%</t>
    </r>
  </si>
  <si>
    <r>
      <rPr>
        <sz val="9"/>
        <color rgb="FF000000"/>
        <rFont val="Calibri"/>
        <family val="2"/>
      </rPr>
      <t>IBCAA 2:1:1 (Fermented) (Total BCAA over 97%; Bulk Density 0.30-0.60)</t>
    </r>
  </si>
  <si>
    <r>
      <rPr>
        <sz val="9"/>
        <color rgb="FF000000"/>
        <rFont val="Calibri"/>
        <family val="2"/>
      </rPr>
      <t>Organic Kelp Powder</t>
    </r>
  </si>
  <si>
    <r>
      <rPr>
        <sz val="9"/>
        <color rgb="FF000000"/>
        <rFont val="Calibri"/>
        <family val="2"/>
      </rPr>
      <t>Raspberry Seed powder</t>
    </r>
  </si>
  <si>
    <r>
      <rPr>
        <sz val="9"/>
        <color rgb="FF000000"/>
        <rFont val="Calibri"/>
        <family val="2"/>
      </rPr>
      <t>Black Cohosh Root Powder</t>
    </r>
  </si>
  <si>
    <r>
      <rPr>
        <sz val="9"/>
        <color rgb="FF000000"/>
        <rFont val="Calibri"/>
        <family val="2"/>
      </rPr>
      <t>Mango leaf extract 4:1</t>
    </r>
  </si>
  <si>
    <r>
      <rPr>
        <sz val="9"/>
        <color rgb="FF000000"/>
        <rFont val="Calibri"/>
        <family val="2"/>
      </rPr>
      <t>Tribulus Terrestris 40% Protodioscin</t>
    </r>
  </si>
  <si>
    <r>
      <rPr>
        <sz val="9"/>
        <color rgb="FF000000"/>
        <rFont val="Calibri"/>
        <family val="2"/>
      </rPr>
      <t>Eyebright Herb Extract 10:1</t>
    </r>
  </si>
  <si>
    <r>
      <rPr>
        <sz val="9"/>
        <color rgb="FF000000"/>
        <rFont val="Calibri"/>
        <family val="2"/>
      </rPr>
      <t>IBCAA 2:1:1 (Fermented)</t>
    </r>
  </si>
  <si>
    <r>
      <rPr>
        <sz val="9"/>
        <color rgb="FF000000"/>
        <rFont val="Calibri"/>
        <family val="2"/>
      </rPr>
      <t>Organic Kale Leaf Powder</t>
    </r>
  </si>
  <si>
    <r>
      <rPr>
        <sz val="9"/>
        <color rgb="FF000000"/>
        <rFont val="Calibri"/>
        <family val="2"/>
      </rPr>
      <t>Raspberry Ketones 99%</t>
    </r>
  </si>
  <si>
    <r>
      <rPr>
        <sz val="9"/>
        <color rgb="FF000000"/>
        <rFont val="Calibri"/>
        <family val="2"/>
      </rPr>
      <t>Black Cohosh Extract 4:1</t>
    </r>
  </si>
  <si>
    <r>
      <rPr>
        <sz val="9"/>
        <color rgb="FF000000"/>
        <rFont val="Calibri"/>
        <family val="2"/>
      </rPr>
      <t>Marshmallow Extract 4:1 TLC</t>
    </r>
  </si>
  <si>
    <r>
      <rPr>
        <sz val="9"/>
        <color rgb="FF000000"/>
        <rFont val="Calibri"/>
        <family val="2"/>
      </rPr>
      <t>Red Spinach 10:1</t>
    </r>
  </si>
  <si>
    <r>
      <rPr>
        <sz val="9"/>
        <color rgb="FF000000"/>
        <rFont val="Calibri"/>
        <family val="2"/>
      </rPr>
      <t>Tribulus Terrestris (40% saponins)</t>
    </r>
  </si>
  <si>
    <r>
      <rPr>
        <sz val="9"/>
        <color rgb="FF000000"/>
        <rFont val="Calibri"/>
        <family val="2"/>
      </rPr>
      <t>Evodiamine 10%</t>
    </r>
  </si>
  <si>
    <r>
      <rPr>
        <sz val="9"/>
        <color rgb="FF000000"/>
        <rFont val="Calibri"/>
        <family val="2"/>
      </rPr>
      <t>Hydroxypropyl Methyl Cellulose (HPMC SH-E6)</t>
    </r>
  </si>
  <si>
    <r>
      <rPr>
        <sz val="9"/>
        <color rgb="FF000000"/>
        <rFont val="Calibri"/>
        <family val="2"/>
      </rPr>
      <t>Organic Inulin (Jerusalem artichoke)</t>
    </r>
  </si>
  <si>
    <r>
      <rPr>
        <sz val="9"/>
        <color rgb="FF000000"/>
        <rFont val="Calibri"/>
        <family val="2"/>
      </rPr>
      <t>Cassia Seed Powder</t>
    </r>
  </si>
  <si>
    <r>
      <rPr>
        <sz val="9"/>
        <color rgb="FF000000"/>
        <rFont val="Calibri"/>
        <family val="2"/>
      </rPr>
      <t>Marshmallow (Althea officianalis root) 20:1</t>
    </r>
  </si>
  <si>
    <r>
      <rPr>
        <sz val="9"/>
        <color rgb="FF000000"/>
        <rFont val="Calibri"/>
        <family val="2"/>
      </rPr>
      <t>Red Raspberry Extract 4:1 TLC</t>
    </r>
  </si>
  <si>
    <r>
      <rPr>
        <sz val="9"/>
        <color rgb="FF000000"/>
        <rFont val="Calibri"/>
        <family val="2"/>
      </rPr>
      <t>Tribulus alatus Powder</t>
    </r>
  </si>
  <si>
    <r>
      <rPr>
        <sz val="9"/>
        <color rgb="FF000000"/>
        <rFont val="Calibri"/>
        <family val="2"/>
      </rPr>
      <t>European Bilberry Extract (25% Anthocyanidins,36% Anthocyanins)</t>
    </r>
  </si>
  <si>
    <r>
      <rPr>
        <sz val="9"/>
        <color rgb="FF000000"/>
        <rFont val="Calibri"/>
        <family val="2"/>
      </rPr>
      <t>Inositol Powder</t>
    </r>
  </si>
  <si>
    <r>
      <rPr>
        <sz val="9"/>
        <color rgb="FF000000"/>
        <rFont val="Calibri"/>
        <family val="2"/>
      </rPr>
      <t>Organic Maitake mushroom 40% Polysacharides extract</t>
    </r>
  </si>
  <si>
    <r>
      <rPr>
        <sz val="9"/>
        <color rgb="FF000000"/>
        <rFont val="Calibri"/>
        <family val="2"/>
      </rPr>
      <t>Cascara Sagrada Powder (Buckthorn Bark Powder)</t>
    </r>
  </si>
  <si>
    <r>
      <rPr>
        <sz val="9"/>
        <color rgb="FF000000"/>
        <rFont val="Calibri"/>
        <family val="2"/>
      </rPr>
      <t>Marigold Flower Extract 20% Lutein HPLC</t>
    </r>
  </si>
  <si>
    <r>
      <rPr>
        <sz val="9"/>
        <color rgb="FF000000"/>
        <rFont val="Calibri"/>
        <family val="2"/>
      </rPr>
      <t>Red Gensing 5% Ginsenosides UV</t>
    </r>
  </si>
  <si>
    <r>
      <rPr>
        <sz val="9"/>
        <color rgb="FF000000"/>
        <rFont val="Calibri"/>
        <family val="2"/>
      </rPr>
      <t>Tripterygium wilfordii ext 4:1</t>
    </r>
  </si>
  <si>
    <r>
      <rPr>
        <sz val="9"/>
        <color rgb="FF000000"/>
        <rFont val="Calibri"/>
        <family val="2"/>
      </rPr>
      <t>Eucommia Ulmoides Leaf Extract (Chlorogenic Acid 50%)</t>
    </r>
  </si>
  <si>
    <r>
      <rPr>
        <sz val="9"/>
        <color rgb="FF000000"/>
        <rFont val="Calibri"/>
        <family val="2"/>
      </rPr>
      <t>inositol hexanicotinate</t>
    </r>
  </si>
  <si>
    <r>
      <rPr>
        <sz val="9"/>
        <color rgb="FF000000"/>
        <rFont val="Calibri"/>
        <family val="2"/>
      </rPr>
      <t>Organic Maca Powder Gelatinized</t>
    </r>
  </si>
  <si>
    <r>
      <rPr>
        <sz val="9"/>
        <color rgb="FF000000"/>
        <rFont val="Calibri"/>
        <family val="2"/>
      </rPr>
      <t>Cascara Sagrada 10:1</t>
    </r>
  </si>
  <si>
    <r>
      <rPr>
        <sz val="9"/>
        <color rgb="FF000000"/>
        <rFont val="Calibri"/>
        <family val="2"/>
      </rPr>
      <t>Marigold Flower Extract 10% Lutein HPLC</t>
    </r>
  </si>
  <si>
    <r>
      <rPr>
        <sz val="9"/>
        <color rgb="FF000000"/>
        <rFont val="Calibri"/>
        <family val="2"/>
      </rPr>
      <t>Red Clover Extract 10:1</t>
    </r>
  </si>
  <si>
    <r>
      <rPr>
        <sz val="9"/>
        <color rgb="FF000000"/>
        <rFont val="Calibri"/>
        <family val="2"/>
      </rPr>
      <t>Triphala Powder</t>
    </r>
  </si>
  <si>
    <r>
      <rPr>
        <sz val="9"/>
        <color rgb="FF000000"/>
        <rFont val="Calibri"/>
        <family val="2"/>
      </rPr>
      <t>Apple Cider Vinegar Powder (Total Acids 10%)</t>
    </r>
  </si>
  <si>
    <r>
      <rPr>
        <sz val="9"/>
        <color rgb="FF000000"/>
        <rFont val="Calibri"/>
        <family val="2"/>
      </rPr>
      <t>Fava Bean Protein 90%</t>
    </r>
  </si>
  <si>
    <r>
      <rPr>
        <sz val="9"/>
        <color rgb="FF000000"/>
        <rFont val="Calibri"/>
        <family val="2"/>
      </rPr>
      <t>Inosine Anhydrous</t>
    </r>
  </si>
  <si>
    <r>
      <rPr>
        <sz val="9"/>
        <color rgb="FF000000"/>
        <rFont val="Calibri"/>
        <family val="2"/>
      </rPr>
      <t>Organic Lion's Mane Mushroom extract 4:1</t>
    </r>
  </si>
  <si>
    <r>
      <rPr>
        <sz val="9"/>
        <color rgb="FF000000"/>
        <rFont val="Calibri"/>
        <family val="2"/>
      </rPr>
      <t>Carrot Powder</t>
    </r>
  </si>
  <si>
    <r>
      <rPr>
        <sz val="9"/>
        <color rgb="FF000000"/>
        <rFont val="Calibri"/>
        <family val="2"/>
      </rPr>
      <t>MCT Powder 40% CWD</t>
    </r>
  </si>
  <si>
    <r>
      <rPr>
        <sz val="9"/>
        <color rgb="FF000000"/>
        <rFont val="Calibri"/>
        <family val="2"/>
      </rPr>
      <t>Resveratrol 20% HPLC (Polygonum Cuspidatum Extract 20%)</t>
    </r>
  </si>
  <si>
    <r>
      <rPr>
        <sz val="9"/>
        <color rgb="FF000000"/>
        <rFont val="Calibri"/>
        <family val="2"/>
      </rPr>
      <t>Tricreatine citrate</t>
    </r>
  </si>
  <si>
    <r>
      <rPr>
        <sz val="9"/>
        <color rgb="FF000000"/>
        <rFont val="Calibri"/>
        <family val="2"/>
      </rPr>
      <t>Androphis</t>
    </r>
  </si>
  <si>
    <r>
      <rPr>
        <sz val="9"/>
        <color rgb="FF000000"/>
        <rFont val="Calibri"/>
        <family val="2"/>
      </rPr>
      <t>Fadogia Agrestis Extract 4:1</t>
    </r>
  </si>
  <si>
    <r>
      <rPr>
        <sz val="9"/>
        <color rgb="FF000000"/>
        <rFont val="Calibri"/>
        <family val="2"/>
      </rPr>
      <t>Indigofera Pulchra Extract 10:1</t>
    </r>
  </si>
  <si>
    <r>
      <rPr>
        <sz val="9"/>
        <color rgb="FF000000"/>
        <rFont val="Calibri"/>
        <family val="2"/>
      </rPr>
      <t>Organic Lemon Juice Powder</t>
    </r>
  </si>
  <si>
    <r>
      <rPr>
        <sz val="9"/>
        <color rgb="FF000000"/>
        <rFont val="Calibri"/>
        <family val="2"/>
      </rPr>
      <t>Cauliflower Powder</t>
    </r>
  </si>
  <si>
    <r>
      <rPr>
        <sz val="9"/>
        <color rgb="FF000000"/>
        <rFont val="Calibri"/>
        <family val="2"/>
      </rPr>
      <t>Iron Chelate 20%</t>
    </r>
  </si>
  <si>
    <r>
      <rPr>
        <sz val="9"/>
        <color rgb="FF000000"/>
        <rFont val="Calibri"/>
        <family val="2"/>
      </rPr>
      <t>MCT Oil Powder 50% (DK-FG) (IS provided)</t>
    </r>
  </si>
  <si>
    <r>
      <rPr>
        <sz val="9"/>
        <color rgb="FF000000"/>
        <rFont val="Calibri"/>
        <family val="2"/>
      </rPr>
      <t>Reishi Mushroom Extract Polysaccharides 35% UV</t>
    </r>
  </si>
  <si>
    <r>
      <rPr>
        <sz val="9"/>
        <color rgb="FF000000"/>
        <rFont val="Calibri"/>
        <family val="2"/>
      </rPr>
      <t>Tribulus Terrestris(std.min.45% saponins)(fruit)</t>
    </r>
  </si>
  <si>
    <r>
      <rPr>
        <sz val="9"/>
        <color rgb="FF000000"/>
        <rFont val="Calibri"/>
        <family val="2"/>
      </rPr>
      <t>Andrographis paniculata extract (98% andrographolides)</t>
    </r>
  </si>
  <si>
    <r>
      <rPr>
        <sz val="9"/>
        <color rgb="FF000000"/>
        <rFont val="Calibri"/>
        <family val="2"/>
      </rPr>
      <t>Fadogia agrestis extract 15% Flavones</t>
    </r>
  </si>
  <si>
    <r>
      <rPr>
        <sz val="9"/>
        <color rgb="FF000000"/>
        <rFont val="Calibri"/>
        <family val="2"/>
      </rPr>
      <t>Organic Monk Fruit Ext(40% Mogroside V)</t>
    </r>
  </si>
  <si>
    <r>
      <rPr>
        <sz val="9"/>
        <color rgb="FF000000"/>
        <rFont val="Calibri"/>
        <family val="2"/>
      </rPr>
      <t>Catuaba Bark extract 30% polyphenols</t>
    </r>
  </si>
  <si>
    <r>
      <rPr>
        <sz val="9"/>
        <color rgb="FF000000"/>
        <rFont val="Calibri"/>
        <family val="2"/>
      </rPr>
      <t>Irish Moss Powder</t>
    </r>
  </si>
  <si>
    <r>
      <rPr>
        <sz val="9"/>
        <color rgb="FF000000"/>
        <rFont val="Calibri"/>
        <family val="2"/>
      </rPr>
      <t>MCT Oil Powder (50% MCT) Richmix 5025IP 175755 Senory Effects (IS provided)</t>
    </r>
  </si>
  <si>
    <r>
      <rPr>
        <sz val="9"/>
        <color rgb="FF000000"/>
        <rFont val="Calibri"/>
        <family val="2"/>
      </rPr>
      <t>Reishi Mushroom Extract 4:1</t>
    </r>
  </si>
  <si>
    <r>
      <rPr>
        <sz val="9"/>
        <color rgb="FF000000"/>
        <rFont val="Calibri"/>
        <family val="2"/>
      </rPr>
      <t>Turkey Tail Mushroom Powder</t>
    </r>
  </si>
  <si>
    <r>
      <rPr>
        <sz val="9"/>
        <color rgb="FF000000"/>
        <rFont val="Calibri"/>
        <family val="2"/>
      </rPr>
      <t>Andrographis (10% andrographolides)</t>
    </r>
  </si>
  <si>
    <r>
      <rPr>
        <sz val="9"/>
        <color rgb="FF000000"/>
        <rFont val="Calibri"/>
        <family val="2"/>
      </rPr>
      <t>FAA PHENIBUT</t>
    </r>
  </si>
  <si>
    <r>
      <rPr>
        <sz val="9"/>
        <color rgb="FF000000"/>
        <rFont val="Calibri"/>
        <family val="2"/>
      </rPr>
      <t>Organic Milk Thistle Powder</t>
    </r>
  </si>
  <si>
    <r>
      <rPr>
        <sz val="9"/>
        <color rgb="FF000000"/>
        <rFont val="Calibri"/>
        <family val="2"/>
      </rPr>
      <t>Cat's Claw P.E. 10 : 1 (Bark)</t>
    </r>
  </si>
  <si>
    <r>
      <rPr>
        <sz val="9"/>
        <color rgb="FF000000"/>
        <rFont val="Calibri"/>
        <family val="2"/>
      </rPr>
      <t>Inulin 90% (Jerusalem Artichoke)</t>
    </r>
  </si>
  <si>
    <r>
      <rPr>
        <sz val="9"/>
        <color rgb="FF000000"/>
        <rFont val="Calibri"/>
        <family val="2"/>
      </rPr>
      <t>Massularia Acuminata Extract 4:1</t>
    </r>
  </si>
  <si>
    <r>
      <rPr>
        <sz val="9"/>
        <color rgb="FF000000"/>
        <rFont val="Calibri"/>
        <family val="2"/>
      </rPr>
      <t>Red Wine Extract Polyphenols 40% UV</t>
    </r>
  </si>
  <si>
    <r>
      <rPr>
        <sz val="9"/>
        <color rgb="FF000000"/>
        <rFont val="Calibri"/>
        <family val="2"/>
      </rPr>
      <t>Turkestanica Extract Turkesterone 2%</t>
    </r>
  </si>
  <si>
    <r>
      <rPr>
        <sz val="9"/>
        <color rgb="FF000000"/>
        <rFont val="Calibri"/>
        <family val="2"/>
      </rPr>
      <t>Arnica Montana (Blossom) PE 5:1</t>
    </r>
  </si>
  <si>
    <r>
      <rPr>
        <sz val="9"/>
        <color rgb="FF000000"/>
        <rFont val="Calibri"/>
        <family val="2"/>
      </rPr>
      <t>Fenugreek Seed Extract 4:1 TLC</t>
    </r>
  </si>
  <si>
    <r>
      <rPr>
        <sz val="9"/>
        <color rgb="FF000000"/>
        <rFont val="Calibri"/>
        <family val="2"/>
      </rPr>
      <t>Organic Marshmallow Powder</t>
    </r>
  </si>
  <si>
    <r>
      <rPr>
        <sz val="9"/>
        <color rgb="FF000000"/>
        <rFont val="Calibri"/>
        <family val="2"/>
      </rPr>
      <t>Cat's Claw Extract (Alkaloids 2% UV)</t>
    </r>
  </si>
  <si>
    <r>
      <rPr>
        <sz val="9"/>
        <color rgb="FF000000"/>
        <rFont val="Calibri"/>
        <family val="2"/>
      </rPr>
      <t>Instant L-Leucine (Hydrolyzed)</t>
    </r>
  </si>
  <si>
    <r>
      <rPr>
        <sz val="9"/>
        <color rgb="FF000000"/>
        <rFont val="Calibri"/>
        <family val="2"/>
      </rPr>
      <t>Microcrystalline Cellulose 101 Granular</t>
    </r>
  </si>
  <si>
    <r>
      <rPr>
        <sz val="9"/>
        <color rgb="FF000000"/>
        <rFont val="Calibri"/>
        <family val="2"/>
      </rPr>
      <t>Rhaponticum carthamoides</t>
    </r>
  </si>
  <si>
    <r>
      <rPr>
        <sz val="9"/>
        <color rgb="FF000000"/>
        <rFont val="Calibri"/>
        <family val="2"/>
      </rPr>
      <t>TUDCA Sodium(as Tauroursodeoxycholic Acid Sodium)</t>
    </r>
  </si>
  <si>
    <r>
      <rPr>
        <sz val="9"/>
        <color rgb="FF000000"/>
        <rFont val="Calibri"/>
        <family val="2"/>
      </rPr>
      <t>Aquamin Extract 4:1</t>
    </r>
  </si>
  <si>
    <r>
      <rPr>
        <sz val="9"/>
        <color rgb="FF000000"/>
        <rFont val="Calibri"/>
        <family val="2"/>
      </rPr>
      <t>Fenugreek Extract 4:1 PE</t>
    </r>
  </si>
  <si>
    <r>
      <rPr>
        <sz val="9"/>
        <color rgb="FF000000"/>
        <rFont val="Calibri"/>
        <family val="2"/>
      </rPr>
      <t>Organic Mango Powder</t>
    </r>
  </si>
  <si>
    <r>
      <rPr>
        <sz val="9"/>
        <color rgb="FF000000"/>
        <rFont val="Calibri"/>
        <family val="2"/>
      </rPr>
      <t>Apple Juice Powder</t>
    </r>
  </si>
  <si>
    <r>
      <rPr>
        <sz val="9"/>
        <color rgb="FF000000"/>
        <rFont val="Calibri"/>
        <family val="2"/>
      </rPr>
      <t>Celastrus Paniculatus 4:1</t>
    </r>
  </si>
  <si>
    <r>
      <rPr>
        <sz val="9"/>
        <color rgb="FF000000"/>
        <rFont val="Calibri"/>
        <family val="2"/>
      </rPr>
      <t>Jujube Extract 10:1</t>
    </r>
  </si>
  <si>
    <r>
      <rPr>
        <sz val="9"/>
        <color rgb="FF000000"/>
        <rFont val="Calibri"/>
        <family val="2"/>
      </rPr>
      <t>Methylsulfonylmethane (MSM) 40-60 Mesh</t>
    </r>
  </si>
  <si>
    <r>
      <rPr>
        <sz val="9"/>
        <color rgb="FF000000"/>
        <rFont val="Calibri"/>
        <family val="2"/>
      </rPr>
      <t>ResVive 98 TM (100% natural C14 pass)</t>
    </r>
  </si>
  <si>
    <r>
      <rPr>
        <sz val="9"/>
        <color rgb="FF000000"/>
        <rFont val="Calibri"/>
        <family val="2"/>
      </rPr>
      <t>Troxerutin (Sophora Japonica Extract): 4:1</t>
    </r>
  </si>
  <si>
    <r>
      <rPr>
        <sz val="9"/>
        <color rgb="FF000000"/>
        <rFont val="Calibri"/>
        <family val="2"/>
      </rPr>
      <t>Fenugreek (std. min. 20% 4-hydroxy isoleucine)(seed)</t>
    </r>
  </si>
  <si>
    <r>
      <rPr>
        <sz val="9"/>
        <color rgb="FF000000"/>
        <rFont val="Calibri"/>
        <family val="2"/>
      </rPr>
      <t>Organic Noni Powder</t>
    </r>
  </si>
  <si>
    <r>
      <rPr>
        <sz val="9"/>
        <color rgb="FF000000"/>
        <rFont val="Calibri"/>
        <family val="2"/>
      </rPr>
      <t>Turmeric Root Powder (Curcumin)</t>
    </r>
  </si>
  <si>
    <r>
      <rPr>
        <sz val="9"/>
        <color rgb="FF000000"/>
        <rFont val="Calibri"/>
        <family val="2"/>
      </rPr>
      <t>Apple Extract 4:1</t>
    </r>
  </si>
  <si>
    <r>
      <rPr>
        <sz val="9"/>
        <color rgb="FF000000"/>
        <rFont val="Calibri"/>
        <family val="2"/>
      </rPr>
      <t>Celandine 4:1</t>
    </r>
  </si>
  <si>
    <r>
      <rPr>
        <sz val="9"/>
        <color rgb="FF000000"/>
        <rFont val="Calibri"/>
        <family val="2"/>
      </rPr>
      <t>Japanese Raisin Tree (Hovenia Dulcis) Extract 10:1</t>
    </r>
  </si>
  <si>
    <r>
      <rPr>
        <sz val="9"/>
        <color rgb="FF000000"/>
        <rFont val="Calibri"/>
        <family val="2"/>
      </rPr>
      <t>Methylsulfonylmethane (MSM) (40-80 mesh, 1% silica)</t>
    </r>
  </si>
  <si>
    <r>
      <rPr>
        <sz val="9"/>
        <color rgb="FF000000"/>
        <rFont val="Calibri"/>
        <family val="2"/>
      </rPr>
      <t>Resveratrol 98% HPLC (Polygonum Cuspidatum Extract 98%)</t>
    </r>
  </si>
  <si>
    <r>
      <rPr>
        <sz val="9"/>
        <color rgb="FF000000"/>
        <rFont val="Calibri"/>
        <family val="2"/>
      </rPr>
      <t>Fennel Seed (Foeniculum vulgare) Pwd</t>
    </r>
  </si>
  <si>
    <r>
      <rPr>
        <sz val="9"/>
        <color rgb="FF000000"/>
        <rFont val="Calibri"/>
        <family val="2"/>
      </rPr>
      <t>Organic Nettle Extract 4:1</t>
    </r>
  </si>
  <si>
    <r>
      <rPr>
        <sz val="9"/>
        <color rgb="FF000000"/>
        <rFont val="Calibri"/>
        <family val="2"/>
      </rPr>
      <t>Turmeric Extract Powder (Curcuminoids 10% HPLC)</t>
    </r>
  </si>
  <si>
    <r>
      <rPr>
        <sz val="9"/>
        <color rgb="FF000000"/>
        <rFont val="Calibri"/>
        <family val="2"/>
      </rPr>
      <t>Artichoke Powder 2.5% Cynarin</t>
    </r>
  </si>
  <si>
    <r>
      <rPr>
        <sz val="9"/>
        <color rgb="FF000000"/>
        <rFont val="Calibri"/>
        <family val="2"/>
      </rPr>
      <t>CDP Choline (Citicoline)</t>
    </r>
  </si>
  <si>
    <r>
      <rPr>
        <sz val="9"/>
        <color rgb="FF000000"/>
        <rFont val="Calibri"/>
        <family val="2"/>
      </rPr>
      <t>Japanese aralia root (aralia elata)10:1</t>
    </r>
  </si>
  <si>
    <r>
      <rPr>
        <sz val="9"/>
        <color rgb="FF000000"/>
        <rFont val="Calibri"/>
        <family val="2"/>
      </rPr>
      <t>MCT Powder 70% CWD</t>
    </r>
  </si>
  <si>
    <r>
      <rPr>
        <sz val="9"/>
        <color rgb="FF000000"/>
        <rFont val="Calibri"/>
        <family val="2"/>
      </rPr>
      <t>Resveratrol 50% HPLC (Polygonum Cuspidatum Extract 50%)</t>
    </r>
  </si>
  <si>
    <r>
      <rPr>
        <sz val="9"/>
        <color rgb="FF000000"/>
        <rFont val="Calibri"/>
        <family val="2"/>
      </rPr>
      <t>Flax Seed Extract 4% Lignans</t>
    </r>
  </si>
  <si>
    <r>
      <rPr>
        <sz val="9"/>
        <color rgb="FF000000"/>
        <rFont val="Calibri"/>
        <family val="2"/>
      </rPr>
      <t>Organic Mung bean protein 80%</t>
    </r>
  </si>
  <si>
    <r>
      <rPr>
        <sz val="9"/>
        <color rgb="FF000000"/>
        <rFont val="Calibri"/>
        <family val="2"/>
      </rPr>
      <t>Turmeric Extract 4:1</t>
    </r>
  </si>
  <si>
    <r>
      <rPr>
        <sz val="9"/>
        <color rgb="FF000000"/>
        <rFont val="Calibri"/>
        <family val="2"/>
      </rPr>
      <t>Artichoke Extract 5% Caffeoylquinic acid</t>
    </r>
  </si>
  <si>
    <r>
      <rPr>
        <sz val="9"/>
        <color rgb="FF000000"/>
        <rFont val="Calibri"/>
        <family val="2"/>
      </rPr>
      <t>Cayenne Pepper Powder</t>
    </r>
  </si>
  <si>
    <r>
      <rPr>
        <sz val="9"/>
        <color rgb="FF000000"/>
        <rFont val="Calibri"/>
        <family val="2"/>
      </rPr>
      <t>Ivy Extract 4:1</t>
    </r>
  </si>
  <si>
    <r>
      <rPr>
        <sz val="9"/>
        <color rgb="FF000000"/>
        <rFont val="Calibri"/>
        <family val="2"/>
      </rPr>
      <t>Milk Thistle Extract Silymarin 80% UV (50% HPLC)</t>
    </r>
  </si>
  <si>
    <r>
      <rPr>
        <sz val="9"/>
        <color rgb="FF000000"/>
        <rFont val="Calibri"/>
        <family val="2"/>
      </rPr>
      <t>Rhodiola Rosea Extract (Rosavins 1% Salidroside 3% HPLC)</t>
    </r>
  </si>
  <si>
    <r>
      <rPr>
        <sz val="9"/>
        <color rgb="FF000000"/>
        <rFont val="Calibri"/>
        <family val="2"/>
      </rPr>
      <t>Fisetin 98%</t>
    </r>
  </si>
  <si>
    <r>
      <rPr>
        <sz val="9"/>
        <color rgb="FF000000"/>
        <rFont val="Calibri"/>
        <family val="2"/>
      </rPr>
      <t>Organic Moringa Leaf Powder</t>
    </r>
  </si>
  <si>
    <r>
      <rPr>
        <sz val="9"/>
        <color rgb="FF000000"/>
        <rFont val="Calibri"/>
        <family val="2"/>
      </rPr>
      <t>Turmeric Extract 10:1</t>
    </r>
  </si>
  <si>
    <r>
      <rPr>
        <sz val="9"/>
        <color rgb="FF000000"/>
        <rFont val="Calibri"/>
        <family val="2"/>
      </rPr>
      <t>Artichoke Extract 4:1 TLC</t>
    </r>
  </si>
  <si>
    <r>
      <rPr>
        <sz val="9"/>
        <color rgb="FF000000"/>
        <rFont val="Calibri"/>
        <family val="2"/>
      </rPr>
      <t>Chaga fruit (inonotus obliquus)</t>
    </r>
  </si>
  <si>
    <r>
      <rPr>
        <sz val="9"/>
        <color rgb="FF000000"/>
        <rFont val="Calibri"/>
        <family val="2"/>
      </rPr>
      <t>Kamut</t>
    </r>
  </si>
  <si>
    <r>
      <rPr>
        <sz val="9"/>
        <color rgb="FF000000"/>
        <rFont val="Calibri"/>
        <family val="2"/>
      </rPr>
      <t>Milk Thistle Extract 40:1 - NLT 50% Silymarin HPLC</t>
    </r>
  </si>
  <si>
    <r>
      <rPr>
        <sz val="9"/>
        <color rgb="FF000000"/>
        <rFont val="Calibri"/>
        <family val="2"/>
      </rPr>
      <t>Rhodiola Rosea 20:1</t>
    </r>
  </si>
  <si>
    <r>
      <rPr>
        <sz val="9"/>
        <color rgb="FF000000"/>
        <rFont val="Calibri"/>
        <family val="2"/>
      </rPr>
      <t>Fig Extract 4:1</t>
    </r>
  </si>
  <si>
    <r>
      <rPr>
        <sz val="9"/>
        <color rgb="FF000000"/>
        <rFont val="Calibri"/>
        <family val="2"/>
      </rPr>
      <t>Organic Pea Protein 80% (Hydrolized)</t>
    </r>
  </si>
  <si>
    <r>
      <rPr>
        <sz val="9"/>
        <color rgb="FF000000"/>
        <rFont val="Calibri"/>
        <family val="2"/>
      </rPr>
      <t>Valerian Root Extract (std. min. 0.8% Valeric Acid)</t>
    </r>
  </si>
  <si>
    <r>
      <rPr>
        <sz val="9"/>
        <color rgb="FF000000"/>
        <rFont val="Calibri"/>
        <family val="2"/>
      </rPr>
      <t>ARTEMISININ 99% (CHONGQUINH HOLLEY WULING MOUNTAIN)</t>
    </r>
  </si>
  <si>
    <r>
      <rPr>
        <sz val="9"/>
        <color rgb="FF000000"/>
        <rFont val="Calibri"/>
        <family val="2"/>
      </rPr>
      <t>Cetyl Myristoleate (20% CMO)</t>
    </r>
  </si>
  <si>
    <r>
      <rPr>
        <sz val="9"/>
        <color rgb="FF000000"/>
        <rFont val="Calibri"/>
        <family val="2"/>
      </rPr>
      <t>Kaempferia Extract (Kaempferol 98% HPLC)</t>
    </r>
  </si>
  <si>
    <r>
      <rPr>
        <sz val="9"/>
        <color rgb="FF000000"/>
        <rFont val="Calibri"/>
        <family val="2"/>
      </rPr>
      <t>Milk Thistle Extract (10:1)(seed)</t>
    </r>
  </si>
  <si>
    <r>
      <rPr>
        <sz val="9"/>
        <color rgb="FF000000"/>
        <rFont val="Calibri"/>
        <family val="2"/>
      </rPr>
      <t>Rhodiola crenulata root extract 4:1</t>
    </r>
  </si>
  <si>
    <r>
      <rPr>
        <sz val="9"/>
        <color rgb="FF000000"/>
        <rFont val="Calibri"/>
        <family val="2"/>
      </rPr>
      <t>Ferrous Gluconate Dihydrate</t>
    </r>
  </si>
  <si>
    <r>
      <rPr>
        <sz val="9"/>
        <color rgb="FF000000"/>
        <rFont val="Calibri"/>
        <family val="2"/>
      </rPr>
      <t>Microcrystalline Cellulose 102 Granular</t>
    </r>
  </si>
  <si>
    <r>
      <rPr>
        <sz val="9"/>
        <color rgb="FF000000"/>
        <rFont val="Calibri"/>
        <family val="2"/>
      </rPr>
      <t>Organic Parsley Leaf powder</t>
    </r>
  </si>
  <si>
    <r>
      <rPr>
        <sz val="9"/>
        <color rgb="FF000000"/>
        <rFont val="Calibri"/>
        <family val="2"/>
      </rPr>
      <t>Uva Ursi Extract(std. min. 20% Ursolic Acid)(leaf)</t>
    </r>
  </si>
  <si>
    <r>
      <rPr>
        <sz val="9"/>
        <color rgb="FF000000"/>
        <rFont val="Calibri"/>
        <family val="2"/>
      </rPr>
      <t>Ashwagandha Extract Withanolides 5% Gravimetric</t>
    </r>
  </si>
  <si>
    <r>
      <rPr>
        <sz val="9"/>
        <color rgb="FF000000"/>
        <rFont val="Calibri"/>
        <family val="2"/>
      </rPr>
      <t>Cellulose Powder</t>
    </r>
  </si>
  <si>
    <r>
      <rPr>
        <sz val="9"/>
        <color rgb="FF000000"/>
        <rFont val="Calibri"/>
        <family val="2"/>
      </rPr>
      <t>Juniper Berry Powder</t>
    </r>
  </si>
  <si>
    <r>
      <rPr>
        <sz val="9"/>
        <color rgb="FF000000"/>
        <rFont val="Calibri"/>
        <family val="2"/>
      </rPr>
      <t>Rhizoma Chuanxiong Extract 10:1 TLC (Osha Root Extract)</t>
    </r>
  </si>
  <si>
    <r>
      <rPr>
        <sz val="9"/>
        <color rgb="FF000000"/>
        <rFont val="Calibri"/>
        <family val="2"/>
      </rPr>
      <t>Flaxseed Oil Powder</t>
    </r>
  </si>
  <si>
    <r>
      <rPr>
        <sz val="9"/>
        <color rgb="FF000000"/>
        <rFont val="Calibri"/>
        <family val="2"/>
      </rPr>
      <t>Monk Fruit Ext(30% Mogroside)</t>
    </r>
  </si>
  <si>
    <r>
      <rPr>
        <sz val="9"/>
        <color rgb="FF000000"/>
        <rFont val="Calibri"/>
        <family val="2"/>
      </rPr>
      <t>Organic Panax Ginseng Extract 4:1</t>
    </r>
  </si>
  <si>
    <r>
      <rPr>
        <sz val="9"/>
        <color rgb="FF000000"/>
        <rFont val="Calibri"/>
        <family val="2"/>
      </rPr>
      <t>Uva Ursi Extract 4:1 TLC</t>
    </r>
  </si>
  <si>
    <r>
      <rPr>
        <sz val="9"/>
        <color rgb="FF000000"/>
        <rFont val="Calibri"/>
        <family val="2"/>
      </rPr>
      <t>Ashwagandha Extract 4:1 TLC</t>
    </r>
  </si>
  <si>
    <r>
      <rPr>
        <sz val="9"/>
        <color rgb="FF000000"/>
        <rFont val="Calibri"/>
        <family val="2"/>
      </rPr>
      <t>Celery powder</t>
    </r>
  </si>
  <si>
    <r>
      <rPr>
        <sz val="9"/>
        <color rgb="FF000000"/>
        <rFont val="Calibri"/>
        <family val="2"/>
      </rPr>
      <t>Juniper Berry Extract 10:1</t>
    </r>
  </si>
  <si>
    <r>
      <rPr>
        <sz val="9"/>
        <color rgb="FF000000"/>
        <rFont val="Calibri"/>
        <family val="2"/>
      </rPr>
      <t>RHUBARB EXTRACT ROOT (CB) 20:1</t>
    </r>
  </si>
  <si>
    <r>
      <rPr>
        <sz val="9"/>
        <color rgb="FF000000"/>
        <rFont val="Calibri"/>
        <family val="2"/>
      </rPr>
      <t>Flaxseed Oil (Linseed Oil) 50% ALA (Oil)</t>
    </r>
  </si>
  <si>
    <r>
      <rPr>
        <sz val="9"/>
        <color rgb="FF000000"/>
        <rFont val="Calibri"/>
        <family val="2"/>
      </rPr>
      <t>Monk Fruit Ext (80% Mogrosides, 20% Mogroside-V)</t>
    </r>
  </si>
  <si>
    <r>
      <rPr>
        <sz val="9"/>
        <color rgb="FF000000"/>
        <rFont val="Calibri"/>
        <family val="2"/>
      </rPr>
      <t>Organic Orange Juice Powder</t>
    </r>
  </si>
  <si>
    <r>
      <rPr>
        <sz val="9"/>
        <color rgb="FF000000"/>
        <rFont val="Calibri"/>
        <family val="2"/>
      </rPr>
      <t>Urtica powder</t>
    </r>
  </si>
  <si>
    <r>
      <rPr>
        <sz val="9"/>
        <color rgb="FF000000"/>
        <rFont val="Calibri"/>
        <family val="2"/>
      </rPr>
      <t>Ashwagandha Extract 10:1 TLC</t>
    </r>
  </si>
  <si>
    <r>
      <rPr>
        <sz val="9"/>
        <color rgb="FF000000"/>
        <rFont val="Calibri"/>
        <family val="2"/>
      </rPr>
      <t>Chamomile Flower Powder</t>
    </r>
  </si>
  <si>
    <r>
      <rPr>
        <sz val="9"/>
        <color rgb="FF000000"/>
        <rFont val="Calibri"/>
        <family val="2"/>
      </rPr>
      <t>Kelp Extract 0.5% Iodine</t>
    </r>
  </si>
  <si>
    <r>
      <rPr>
        <sz val="9"/>
        <color rgb="FF000000"/>
        <rFont val="Calibri"/>
        <family val="2"/>
      </rPr>
      <t>Rhodiola Rosea Root Powder</t>
    </r>
  </si>
  <si>
    <r>
      <rPr>
        <sz val="9"/>
        <color rgb="FF000000"/>
        <rFont val="Calibri"/>
        <family val="2"/>
      </rPr>
      <t>Flaxseed Extract 4:1 TLC</t>
    </r>
  </si>
  <si>
    <r>
      <rPr>
        <sz val="9"/>
        <color rgb="FF000000"/>
        <rFont val="Calibri"/>
        <family val="2"/>
      </rPr>
      <t>Mint Extract Powder (Peppermint Leaf Powder)</t>
    </r>
  </si>
  <si>
    <r>
      <rPr>
        <sz val="9"/>
        <color rgb="FF000000"/>
        <rFont val="Calibri"/>
        <family val="2"/>
      </rPr>
      <t>Organic Poria (Wolfiporia) Mycelia</t>
    </r>
  </si>
  <si>
    <r>
      <rPr>
        <sz val="9"/>
        <color rgb="FF000000"/>
        <rFont val="Calibri"/>
        <family val="2"/>
      </rPr>
      <t>Vanadyl Sulfate Vanadium 19% Vanadyl Sulfate 98%</t>
    </r>
  </si>
  <si>
    <r>
      <rPr>
        <sz val="9"/>
        <color rgb="FF000000"/>
        <rFont val="Calibri"/>
        <family val="2"/>
      </rPr>
      <t>Ascorbyl Palmitate (42.5% Ascorbic Acid)</t>
    </r>
  </si>
  <si>
    <r>
      <rPr>
        <sz val="9"/>
        <color rgb="FF000000"/>
        <rFont val="Calibri"/>
        <family val="2"/>
      </rPr>
      <t>Chamomile Extract Apigenin 0.1% HPLC</t>
    </r>
  </si>
  <si>
    <r>
      <rPr>
        <sz val="9"/>
        <color rgb="FF000000"/>
        <rFont val="Calibri"/>
        <family val="2"/>
      </rPr>
      <t>Kava Extract 30% Kavalactones HPLC</t>
    </r>
  </si>
  <si>
    <r>
      <rPr>
        <sz val="9"/>
        <color rgb="FF000000"/>
        <rFont val="Calibri"/>
        <family val="2"/>
      </rPr>
      <t>Rhodiola Rosea Extract Salidrosided 3% HPLC</t>
    </r>
  </si>
  <si>
    <r>
      <rPr>
        <sz val="9"/>
        <color rgb="FF000000"/>
        <rFont val="Calibri"/>
        <family val="2"/>
      </rPr>
      <t>Flax Seed Meal</t>
    </r>
  </si>
  <si>
    <r>
      <rPr>
        <sz val="9"/>
        <color rgb="FF000000"/>
        <rFont val="Calibri"/>
        <family val="2"/>
      </rPr>
      <t>Milk Thistle Seed Powder</t>
    </r>
  </si>
  <si>
    <r>
      <rPr>
        <sz val="9"/>
        <color rgb="FF000000"/>
        <rFont val="Calibri"/>
        <family val="2"/>
      </rPr>
      <t>Organic Pomegranate extract 5:1 TC</t>
    </r>
  </si>
  <si>
    <r>
      <rPr>
        <sz val="9"/>
        <color rgb="FF000000"/>
        <rFont val="Calibri"/>
        <family val="2"/>
      </rPr>
      <t>vanadium Glycinate</t>
    </r>
  </si>
  <si>
    <r>
      <rPr>
        <sz val="9"/>
        <color rgb="FF000000"/>
        <rFont val="Calibri"/>
        <family val="2"/>
      </rPr>
      <t>Astaxanthin (Natural) 10% Oil</t>
    </r>
  </si>
  <si>
    <r>
      <rPr>
        <sz val="9"/>
        <color rgb="FF000000"/>
        <rFont val="Calibri"/>
        <family val="2"/>
      </rPr>
      <t>Chaga Mushroom Powder</t>
    </r>
  </si>
  <si>
    <r>
      <rPr>
        <sz val="9"/>
        <color rgb="FF000000"/>
        <rFont val="Calibri"/>
        <family val="2"/>
      </rPr>
      <t>Kava Extract 1% Kavalactones HPLC</t>
    </r>
  </si>
  <si>
    <r>
      <rPr>
        <sz val="9"/>
        <color rgb="FF000000"/>
        <rFont val="Calibri"/>
        <family val="2"/>
      </rPr>
      <t>Rhodiola Rosea Extract (Rosavins 3%+Salidroside 2%)</t>
    </r>
  </si>
  <si>
    <r>
      <rPr>
        <sz val="9"/>
        <color rgb="FF000000"/>
        <rFont val="Calibri"/>
        <family val="2"/>
      </rPr>
      <t>Chaga Mushroom Extract 4:1 TLC</t>
    </r>
  </si>
  <si>
    <r>
      <rPr>
        <sz val="9"/>
        <color rgb="FF000000"/>
        <rFont val="Calibri"/>
        <family val="2"/>
      </rPr>
      <t>FoTi Extract 4:1 TLC (Polygonum Multiflorum)</t>
    </r>
  </si>
  <si>
    <r>
      <rPr>
        <sz val="9"/>
        <color rgb="FF000000"/>
        <rFont val="Calibri"/>
        <family val="2"/>
      </rPr>
      <t>Moringa Leaf Powder</t>
    </r>
  </si>
  <si>
    <r>
      <rPr>
        <sz val="9"/>
        <color rgb="FF000000"/>
        <rFont val="Calibri"/>
        <family val="2"/>
      </rPr>
      <t>Organic Phellinus linteus Powder</t>
    </r>
  </si>
  <si>
    <r>
      <rPr>
        <sz val="9"/>
        <color rgb="FF000000"/>
        <rFont val="Calibri"/>
        <family val="2"/>
      </rPr>
      <t>Valerian Root Powder</t>
    </r>
  </si>
  <si>
    <r>
      <rPr>
        <sz val="9"/>
        <color rgb="FF000000"/>
        <rFont val="Calibri"/>
        <family val="2"/>
      </rPr>
      <t>Asparagus Extract 10:1</t>
    </r>
  </si>
  <si>
    <r>
      <rPr>
        <sz val="9"/>
        <color rgb="FF000000"/>
        <rFont val="Calibri"/>
        <family val="2"/>
      </rPr>
      <t>Kanna extract 3% Alkali</t>
    </r>
  </si>
  <si>
    <r>
      <rPr>
        <sz val="9"/>
        <color rgb="FF000000"/>
        <rFont val="Calibri"/>
        <family val="2"/>
      </rPr>
      <t>ROSEMARY EXT 3% ROSEMARINIC ACID HPLC (20:1) (80 MESH)</t>
    </r>
  </si>
  <si>
    <r>
      <rPr>
        <sz val="9"/>
        <color rgb="FF000000"/>
        <rFont val="Calibri"/>
        <family val="2"/>
      </rPr>
      <t>Chia Seed Powder</t>
    </r>
  </si>
  <si>
    <r>
      <rPr>
        <sz val="9"/>
        <color rgb="FF000000"/>
        <rFont val="Calibri"/>
        <family val="2"/>
      </rPr>
      <t>FOS (Fructo oligosaccharide) 95% powder from Cane Sugar</t>
    </r>
  </si>
  <si>
    <r>
      <rPr>
        <sz val="9"/>
        <color rgb="FF000000"/>
        <rFont val="Calibri"/>
        <family val="2"/>
      </rPr>
      <t>Monolaurin (Glyceryl Laurate)</t>
    </r>
  </si>
  <si>
    <r>
      <rPr>
        <sz val="9"/>
        <color rgb="FF000000"/>
        <rFont val="Calibri"/>
        <family val="2"/>
      </rPr>
      <t>Organic Pear Powder</t>
    </r>
  </si>
  <si>
    <r>
      <rPr>
        <sz val="9"/>
        <color rgb="FF000000"/>
        <rFont val="Calibri"/>
        <family val="2"/>
      </rPr>
      <t>Valerian Root Extract 4:1</t>
    </r>
  </si>
  <si>
    <r>
      <rPr>
        <sz val="9"/>
        <color rgb="FF000000"/>
        <rFont val="Calibri"/>
        <family val="2"/>
      </rPr>
      <t>Ashwangandha Root Extract (std. min. 2.5% Withanolides)</t>
    </r>
  </si>
  <si>
    <r>
      <rPr>
        <sz val="9"/>
        <color rgb="FF000000"/>
        <rFont val="Calibri"/>
        <family val="2"/>
      </rPr>
      <t>Kola Nut Extract 20% Caffeine</t>
    </r>
  </si>
  <si>
    <r>
      <rPr>
        <sz val="9"/>
        <color rgb="FF000000"/>
        <rFont val="Calibri"/>
        <family val="2"/>
      </rPr>
      <t>Rose Hips Extract 10:1 TLC</t>
    </r>
  </si>
  <si>
    <r>
      <rPr>
        <sz val="9"/>
        <color rgb="FF000000"/>
        <rFont val="Calibri"/>
        <family val="2"/>
      </rPr>
      <t>CHASTE TREE EXTRACT</t>
    </r>
  </si>
  <si>
    <r>
      <rPr>
        <sz val="9"/>
        <color rgb="FF000000"/>
        <rFont val="Calibri"/>
        <family val="2"/>
      </rPr>
      <t>Forskolii (Coleius forskohlii) root extract 4:1</t>
    </r>
  </si>
  <si>
    <r>
      <rPr>
        <sz val="9"/>
        <color rgb="FF000000"/>
        <rFont val="Calibri"/>
        <family val="2"/>
      </rPr>
      <t>Monk Fruit PE 10:1</t>
    </r>
  </si>
  <si>
    <r>
      <rPr>
        <sz val="9"/>
        <color rgb="FF000000"/>
        <rFont val="Calibri"/>
        <family val="2"/>
      </rPr>
      <t>Organic Red Clover(Trifolium pratense) Pwd</t>
    </r>
  </si>
  <si>
    <r>
      <rPr>
        <sz val="9"/>
        <color rgb="FF000000"/>
        <rFont val="Calibri"/>
        <family val="2"/>
      </rPr>
      <t>Stephania Root 4:1</t>
    </r>
  </si>
  <si>
    <r>
      <rPr>
        <sz val="9"/>
        <color rgb="FF000000"/>
        <rFont val="Calibri"/>
        <family val="2"/>
      </rPr>
      <t>Ashwagandha Root Extract 5:1</t>
    </r>
  </si>
  <si>
    <r>
      <rPr>
        <sz val="9"/>
        <color rgb="FF000000"/>
        <rFont val="Calibri"/>
        <family val="2"/>
      </rPr>
      <t>Kiwi Fruit Extract 4:1</t>
    </r>
  </si>
  <si>
    <r>
      <rPr>
        <sz val="9"/>
        <color rgb="FF000000"/>
        <rFont val="Calibri"/>
        <family val="2"/>
      </rPr>
      <t>Rice Flour</t>
    </r>
  </si>
  <si>
    <r>
      <rPr>
        <sz val="9"/>
        <color rgb="FF000000"/>
        <rFont val="Calibri"/>
        <family val="2"/>
      </rPr>
      <t>Chaste berry P.E. 12:1</t>
    </r>
  </si>
  <si>
    <r>
      <rPr>
        <sz val="9"/>
        <color rgb="FF000000"/>
        <rFont val="Calibri"/>
        <family val="2"/>
      </rPr>
      <t>Flour Inulin</t>
    </r>
  </si>
  <si>
    <r>
      <rPr>
        <sz val="9"/>
        <color rgb="FF000000"/>
        <rFont val="Calibri"/>
        <family val="2"/>
      </rPr>
      <t>Monk Fruit Ext(50% Mogroside V)</t>
    </r>
  </si>
  <si>
    <r>
      <rPr>
        <sz val="9"/>
        <color rgb="FF000000"/>
        <rFont val="Calibri"/>
        <family val="2"/>
      </rPr>
      <t>Organic Quinoa Flour</t>
    </r>
  </si>
  <si>
    <r>
      <rPr>
        <sz val="9"/>
        <color rgb="FF000000"/>
        <rFont val="Calibri"/>
        <family val="2"/>
      </rPr>
      <t>Stearic Acid</t>
    </r>
  </si>
  <si>
    <r>
      <rPr>
        <sz val="9"/>
        <color rgb="FF000000"/>
        <rFont val="Calibri"/>
        <family val="2"/>
      </rPr>
      <t>Astragalus Extract (4:1)(root)</t>
    </r>
  </si>
  <si>
    <r>
      <rPr>
        <sz val="9"/>
        <color rgb="FF000000"/>
        <rFont val="Calibri"/>
        <family val="2"/>
      </rPr>
      <t>Kelp Extract Polysaccharide 30% UV</t>
    </r>
  </si>
  <si>
    <r>
      <rPr>
        <sz val="9"/>
        <color rgb="FF000000"/>
        <rFont val="Calibri"/>
        <family val="2"/>
      </rPr>
      <t>Rhubarb Root Powder</t>
    </r>
  </si>
  <si>
    <r>
      <rPr>
        <sz val="9"/>
        <color rgb="FF000000"/>
        <rFont val="Calibri"/>
        <family val="2"/>
      </rPr>
      <t>Chaste Berry Extract (Vitex Agnus Castus) 3%</t>
    </r>
  </si>
  <si>
    <r>
      <rPr>
        <sz val="9"/>
        <color rgb="FF000000"/>
        <rFont val="Calibri"/>
        <family val="2"/>
      </rPr>
      <t>Galacto-oligosaccharides (GOS)</t>
    </r>
  </si>
  <si>
    <r>
      <rPr>
        <sz val="9"/>
        <color rgb="FF000000"/>
        <rFont val="Calibri"/>
        <family val="2"/>
      </rPr>
      <t>Mucuna Pruriens (L- Dopa) 99%</t>
    </r>
  </si>
  <si>
    <r>
      <rPr>
        <sz val="9"/>
        <color rgb="FF000000"/>
        <rFont val="Calibri"/>
        <family val="2"/>
      </rPr>
      <t>Organic Pumpkin Seed Protein 70%</t>
    </r>
  </si>
  <si>
    <r>
      <rPr>
        <sz val="9"/>
        <color rgb="FF000000"/>
        <rFont val="Calibri"/>
        <family val="2"/>
      </rPr>
      <t>St. John's Wort Powder</t>
    </r>
  </si>
  <si>
    <r>
      <rPr>
        <sz val="9"/>
        <color rgb="FF000000"/>
        <rFont val="Calibri"/>
        <family val="2"/>
      </rPr>
      <t>Astaxanthin 5% UV Powder (Natural)</t>
    </r>
  </si>
  <si>
    <r>
      <rPr>
        <sz val="9"/>
        <color rgb="FF000000"/>
        <rFont val="Calibri"/>
        <family val="2"/>
      </rPr>
      <t>Kelp Extract 12:1 .5% Iodine</t>
    </r>
  </si>
  <si>
    <r>
      <rPr>
        <sz val="9"/>
        <color rgb="FF000000"/>
        <rFont val="Calibri"/>
        <family val="2"/>
      </rPr>
      <t>Organic Pumpkin Powder</t>
    </r>
  </si>
  <si>
    <r>
      <rPr>
        <sz val="9"/>
        <color rgb="FF000000"/>
        <rFont val="Calibri"/>
        <family val="2"/>
      </rPr>
      <t>Polypodium Leucotomos (Fern) Ext 10:1 TLC</t>
    </r>
  </si>
  <si>
    <r>
      <rPr>
        <sz val="9"/>
        <color rgb="FF000000"/>
        <rFont val="Calibri"/>
        <family val="2"/>
      </rPr>
      <t>Choline L-Bitartrate</t>
    </r>
  </si>
  <si>
    <r>
      <rPr>
        <sz val="9"/>
        <color rgb="FF000000"/>
        <rFont val="Calibri"/>
        <family val="2"/>
      </rPr>
      <t>FUNGAL LIPASE POWDER</t>
    </r>
  </si>
  <si>
    <r>
      <rPr>
        <sz val="9"/>
        <color rgb="FF000000"/>
        <rFont val="Calibri"/>
        <family val="2"/>
      </rPr>
      <t>Mucuna Pruriens (L- Dopa) 25%</t>
    </r>
  </si>
  <si>
    <r>
      <rPr>
        <sz val="9"/>
        <color rgb="FF000000"/>
        <rFont val="Calibri"/>
        <family val="2"/>
      </rPr>
      <t>St. John's Wort Extract Hypericins 0.3% HPLC</t>
    </r>
  </si>
  <si>
    <r>
      <rPr>
        <sz val="9"/>
        <color rgb="FF000000"/>
        <rFont val="Calibri"/>
        <family val="2"/>
      </rPr>
      <t>Astaxanthin 1%</t>
    </r>
  </si>
  <si>
    <r>
      <rPr>
        <sz val="9"/>
        <color rgb="FF000000"/>
        <rFont val="Calibri"/>
        <family val="2"/>
      </rPr>
      <t>L- Malic Acid</t>
    </r>
  </si>
  <si>
    <r>
      <rPr>
        <sz val="9"/>
        <color rgb="FF000000"/>
        <rFont val="Calibri"/>
        <family val="2"/>
      </rPr>
      <t>Organic Burdock Powder</t>
    </r>
  </si>
  <si>
    <r>
      <rPr>
        <sz val="9"/>
        <color rgb="FF000000"/>
        <rFont val="Calibri"/>
        <family val="2"/>
      </rPr>
      <t>Polygala Tenuifolia Root Extract (10:1)</t>
    </r>
  </si>
  <si>
    <r>
      <rPr>
        <sz val="9"/>
        <color rgb="FF000000"/>
        <rFont val="Calibri"/>
        <family val="2"/>
      </rPr>
      <t>Choline DL-Bitartrate (40% Choline)</t>
    </r>
  </si>
  <si>
    <r>
      <rPr>
        <sz val="9"/>
        <color rgb="FF000000"/>
        <rFont val="Calibri"/>
        <family val="2"/>
      </rPr>
      <t>Fucoidan 85% UV (Laminaria Japonica)</t>
    </r>
  </si>
  <si>
    <r>
      <rPr>
        <sz val="9"/>
        <color rgb="FF000000"/>
        <rFont val="Calibri"/>
        <family val="2"/>
      </rPr>
      <t>Mucuna Pruriens (L- Dopa) 15%</t>
    </r>
  </si>
  <si>
    <r>
      <rPr>
        <sz val="9"/>
        <color rgb="FF000000"/>
        <rFont val="Calibri"/>
        <family val="2"/>
      </rPr>
      <t>Stevia Reb M 95%</t>
    </r>
  </si>
  <si>
    <r>
      <rPr>
        <sz val="9"/>
        <color rgb="FF000000"/>
        <rFont val="Calibri"/>
        <family val="2"/>
      </rPr>
      <t>Astaxanthin (Synthetic) 10% Powder</t>
    </r>
  </si>
  <si>
    <r>
      <rPr>
        <sz val="9"/>
        <color rgb="FF000000"/>
        <rFont val="Calibri"/>
        <family val="2"/>
      </rPr>
      <t>Korean Panax Ginseng Extract Ginsenosides 7% HPLC (10% UV)</t>
    </r>
  </si>
  <si>
    <r>
      <rPr>
        <sz val="9"/>
        <color rgb="FF000000"/>
        <rFont val="Calibri"/>
        <family val="2"/>
      </rPr>
      <t>Organic Brown Rice Protein</t>
    </r>
  </si>
  <si>
    <r>
      <rPr>
        <sz val="9"/>
        <color rgb="FF000000"/>
        <rFont val="Calibri"/>
        <family val="2"/>
      </rPr>
      <t>Policosanol 99% (Oct 60%) From Sugar Cane</t>
    </r>
  </si>
  <si>
    <r>
      <rPr>
        <sz val="9"/>
        <color rgb="FF000000"/>
        <rFont val="Calibri"/>
        <family val="2"/>
      </rPr>
      <t>Chlorella Powder</t>
    </r>
  </si>
  <si>
    <r>
      <rPr>
        <sz val="9"/>
        <color rgb="FF000000"/>
        <rFont val="Calibri"/>
        <family val="2"/>
      </rPr>
      <t>Fructooligosaccharides (FOS) 95% Powder (IS provided)</t>
    </r>
  </si>
  <si>
    <r>
      <rPr>
        <sz val="9"/>
        <color rgb="FF000000"/>
        <rFont val="Calibri"/>
        <family val="2"/>
      </rPr>
      <t>Morus Alba (1% DNJ)</t>
    </r>
  </si>
  <si>
    <r>
      <rPr>
        <sz val="9"/>
        <color rgb="FF000000"/>
        <rFont val="Calibri"/>
        <family val="2"/>
      </rPr>
      <t>Stevia Reb A 97%</t>
    </r>
  </si>
  <si>
    <r>
      <rPr>
        <sz val="9"/>
        <color rgb="FF000000"/>
        <rFont val="Calibri"/>
        <family val="2"/>
      </rPr>
      <t>Avocado Powder 80Mesh TLC</t>
    </r>
  </si>
  <si>
    <r>
      <rPr>
        <sz val="9"/>
        <color rgb="FF000000"/>
        <rFont val="Calibri"/>
        <family val="2"/>
      </rPr>
      <t>Korean Mistletoe 4:1</t>
    </r>
  </si>
  <si>
    <r>
      <rPr>
        <sz val="9"/>
        <color rgb="FF000000"/>
        <rFont val="Calibri"/>
        <family val="2"/>
      </rPr>
      <t>Organic Broccoli Powder</t>
    </r>
  </si>
  <si>
    <r>
      <rPr>
        <sz val="9"/>
        <color rgb="FF000000"/>
        <rFont val="Calibri"/>
        <family val="2"/>
      </rPr>
      <t>Policosanol 95% Octacosanol 10%</t>
    </r>
  </si>
  <si>
    <r>
      <rPr>
        <sz val="9"/>
        <color rgb="FF000000"/>
        <rFont val="Calibri"/>
        <family val="2"/>
      </rPr>
      <t>Chicory Extract 10:1</t>
    </r>
  </si>
  <si>
    <r>
      <rPr>
        <sz val="9"/>
        <color rgb="FF000000"/>
        <rFont val="Calibri"/>
        <family val="2"/>
      </rPr>
      <t>Garcinia Cambogia Extract Hydroxycitric Acid (HCA) 50% HPLC</t>
    </r>
  </si>
  <si>
    <r>
      <rPr>
        <sz val="9"/>
        <color rgb="FF000000"/>
        <rFont val="Calibri"/>
        <family val="2"/>
      </rPr>
      <t>Magnesium Ascorbate</t>
    </r>
  </si>
  <si>
    <r>
      <rPr>
        <sz val="9"/>
        <color rgb="FF000000"/>
        <rFont val="Calibri"/>
        <family val="2"/>
      </rPr>
      <t>Stevia 95% (Enzymatically Modified)</t>
    </r>
  </si>
  <si>
    <r>
      <rPr>
        <sz val="9"/>
        <color rgb="FF000000"/>
        <rFont val="Calibri"/>
        <family val="2"/>
      </rPr>
      <t>Astragalus membranaceus root extract&amp;#65288;0.5% astragalosides&amp;#65289;</t>
    </r>
  </si>
  <si>
    <r>
      <rPr>
        <sz val="9"/>
        <color rgb="FF000000"/>
        <rFont val="Calibri"/>
        <family val="2"/>
      </rPr>
      <t>Kola Nut Extract 50% Caffeine</t>
    </r>
  </si>
  <si>
    <r>
      <rPr>
        <sz val="9"/>
        <color rgb="FF000000"/>
        <rFont val="Calibri"/>
        <family val="2"/>
      </rPr>
      <t>Organic Blupluerum</t>
    </r>
  </si>
  <si>
    <r>
      <rPr>
        <sz val="9"/>
        <color rgb="FF000000"/>
        <rFont val="Calibri"/>
        <family val="2"/>
      </rPr>
      <t>Pomegranate Fruit (40% Ellagitannins)</t>
    </r>
  </si>
  <si>
    <r>
      <rPr>
        <sz val="9"/>
        <color rgb="FF000000"/>
        <rFont val="Calibri"/>
        <family val="2"/>
      </rPr>
      <t>Chromium Picolinate 12% Chromium</t>
    </r>
  </si>
  <si>
    <r>
      <rPr>
        <sz val="9"/>
        <color rgb="FF000000"/>
        <rFont val="Calibri"/>
        <family val="2"/>
      </rPr>
      <t>Garcinia Cambogia 95%</t>
    </r>
  </si>
  <si>
    <r>
      <rPr>
        <sz val="9"/>
        <color rgb="FF000000"/>
        <rFont val="Calibri"/>
        <family val="2"/>
      </rPr>
      <t>Magnesium (as Magnesium Succinate 17%)</t>
    </r>
  </si>
  <si>
    <r>
      <rPr>
        <sz val="9"/>
        <color rgb="FF000000"/>
        <rFont val="Calibri"/>
        <family val="2"/>
      </rPr>
      <t>Stevia (Steviosides 95%)</t>
    </r>
  </si>
  <si>
    <r>
      <rPr>
        <sz val="9"/>
        <color rgb="FF000000"/>
        <rFont val="Calibri"/>
        <family val="2"/>
      </rPr>
      <t>Astragalus Extract Polysaccharide 70%</t>
    </r>
  </si>
  <si>
    <r>
      <rPr>
        <sz val="9"/>
        <color rgb="FF000000"/>
        <rFont val="Calibri"/>
        <family val="2"/>
      </rPr>
      <t>Gamma-Butyrobetaine Ethyl Ester Chloride (GBB)</t>
    </r>
  </si>
  <si>
    <r>
      <rPr>
        <sz val="9"/>
        <color rgb="FF000000"/>
        <rFont val="Calibri"/>
        <family val="2"/>
      </rPr>
      <t>Hibiscus Extract 10:1 TLC</t>
    </r>
  </si>
  <si>
    <r>
      <rPr>
        <sz val="9"/>
        <color rgb="FF000000"/>
        <rFont val="Calibri"/>
        <family val="2"/>
      </rPr>
      <t>Organic Cauliflower Powder</t>
    </r>
  </si>
  <si>
    <r>
      <rPr>
        <sz val="9"/>
        <color rgb="FF000000"/>
        <rFont val="Calibri"/>
        <family val="2"/>
      </rPr>
      <t>Pomegranate Extract 30% Punicalagin</t>
    </r>
  </si>
  <si>
    <r>
      <rPr>
        <sz val="9"/>
        <color rgb="FF000000"/>
        <rFont val="Calibri"/>
        <family val="2"/>
      </rPr>
      <t>Chromium (as Nicotinate Glycinate Chelate 2.5%)</t>
    </r>
  </si>
  <si>
    <r>
      <rPr>
        <sz val="9"/>
        <color rgb="FF000000"/>
        <rFont val="Calibri"/>
        <family val="2"/>
      </rPr>
      <t>Magnesium (as Magnesium Oxide Powder)</t>
    </r>
  </si>
  <si>
    <r>
      <rPr>
        <sz val="9"/>
        <color rgb="FF000000"/>
        <rFont val="Calibri"/>
        <family val="2"/>
      </rPr>
      <t>Stone Root (Collinsonia canadensis) Pwd</t>
    </r>
  </si>
  <si>
    <r>
      <rPr>
        <sz val="9"/>
        <color rgb="FF000000"/>
        <rFont val="Calibri"/>
        <family val="2"/>
      </rPr>
      <t>Astragalus Extract Astragaloside 3% HPLC</t>
    </r>
  </si>
  <si>
    <r>
      <rPr>
        <sz val="9"/>
        <color rgb="FF000000"/>
        <rFont val="Calibri"/>
        <family val="2"/>
      </rPr>
      <t>GAMA ORYZANOL POWDER</t>
    </r>
  </si>
  <si>
    <r>
      <rPr>
        <sz val="9"/>
        <color rgb="FF000000"/>
        <rFont val="Calibri"/>
        <family val="2"/>
      </rPr>
      <t>Herba Cephalanoploris Extract 10:1TLC</t>
    </r>
  </si>
  <si>
    <r>
      <rPr>
        <sz val="9"/>
        <color rgb="FF000000"/>
        <rFont val="Calibri"/>
        <family val="2"/>
      </rPr>
      <t>Organic Cauliflower</t>
    </r>
  </si>
  <si>
    <r>
      <rPr>
        <sz val="9"/>
        <color rgb="FF000000"/>
        <rFont val="Calibri"/>
        <family val="2"/>
      </rPr>
      <t>Polyporus umbellatus Mushroom Powder</t>
    </r>
  </si>
  <si>
    <r>
      <rPr>
        <sz val="9"/>
        <color rgb="FF000000"/>
        <rFont val="Calibri"/>
        <family val="2"/>
      </rPr>
      <t>Chondroitin Sulfate Sodium 90% CPC &amp; 90% HPLC</t>
    </r>
  </si>
  <si>
    <r>
      <rPr>
        <sz val="9"/>
        <color rgb="FF000000"/>
        <rFont val="Calibri"/>
        <family val="2"/>
      </rPr>
      <t>Magnesium (as Magnesium Aspartate, 30% Mg)</t>
    </r>
  </si>
  <si>
    <r>
      <rPr>
        <sz val="9"/>
        <color rgb="FF000000"/>
        <rFont val="Calibri"/>
        <family val="2"/>
      </rPr>
      <t>Stinging Nettle Root ext. 4:1</t>
    </r>
  </si>
  <si>
    <r>
      <rPr>
        <sz val="9"/>
        <color rgb="FF000000"/>
        <rFont val="Calibri"/>
        <family val="2"/>
      </rPr>
      <t>Bacopa monnieri extract 55% bacosides</t>
    </r>
  </si>
  <si>
    <r>
      <rPr>
        <sz val="9"/>
        <color rgb="FF000000"/>
        <rFont val="Calibri"/>
        <family val="2"/>
      </rPr>
      <t>Dendrobium PE 4:1</t>
    </r>
  </si>
  <si>
    <r>
      <rPr>
        <sz val="9"/>
        <color rgb="FF000000"/>
        <rFont val="Calibri"/>
        <family val="2"/>
      </rPr>
      <t>Hemp Heart protein 70%</t>
    </r>
  </si>
  <si>
    <r>
      <rPr>
        <sz val="9"/>
        <color rgb="FF000000"/>
        <rFont val="Calibri"/>
        <family val="2"/>
      </rPr>
      <t>Organic Cardamom Powder</t>
    </r>
  </si>
  <si>
    <r>
      <rPr>
        <sz val="9"/>
        <color rgb="FF000000"/>
        <rFont val="Calibri"/>
        <family val="2"/>
      </rPr>
      <t>Polypodium Vulgare Leaf Ext 4:1</t>
    </r>
  </si>
  <si>
    <r>
      <rPr>
        <sz val="9"/>
        <color rgb="FF000000"/>
        <rFont val="Calibri"/>
        <family val="2"/>
      </rPr>
      <t>Chondroitin Sulfate 90% CPC(PORCINE-DNA FREE)</t>
    </r>
  </si>
  <si>
    <r>
      <rPr>
        <sz val="9"/>
        <color rgb="FF000000"/>
        <rFont val="Calibri"/>
        <family val="2"/>
      </rPr>
      <t>Magnesium citrate (trimagnesium dicitrate) anhydrous (14.5-16.4 Mg)</t>
    </r>
  </si>
  <si>
    <r>
      <rPr>
        <sz val="9"/>
        <color rgb="FF000000"/>
        <rFont val="Calibri"/>
        <family val="2"/>
      </rPr>
      <t>Stinging Nettle Root Ext 8% Sitosterol</t>
    </r>
  </si>
  <si>
    <r>
      <rPr>
        <sz val="9"/>
        <color rgb="FF000000"/>
        <rFont val="Calibri"/>
        <family val="2"/>
      </rPr>
      <t>Bacopa Monniera Extract Bacosides 50% HPLC</t>
    </r>
  </si>
  <si>
    <r>
      <rPr>
        <sz val="9"/>
        <color rgb="FF000000"/>
        <rFont val="Calibri"/>
        <family val="2"/>
      </rPr>
      <t>Dendrobium Extract 1%</t>
    </r>
  </si>
  <si>
    <r>
      <rPr>
        <sz val="9"/>
        <color rgb="FF000000"/>
        <rFont val="Calibri"/>
        <family val="2"/>
      </rPr>
      <t>Hawthorne leaf(Crataegus pinnatifida bunge) 2% vitexins</t>
    </r>
  </si>
  <si>
    <r>
      <rPr>
        <sz val="9"/>
        <color rgb="FF000000"/>
        <rFont val="Calibri"/>
        <family val="2"/>
      </rPr>
      <t>Organic Camu Camu Extract 20% Vitamin C (Ascorbic Acid)</t>
    </r>
  </si>
  <si>
    <r>
      <rPr>
        <sz val="9"/>
        <color rgb="FF000000"/>
        <rFont val="Calibri"/>
        <family val="2"/>
      </rPr>
      <t>Portulaca Oleracea Extract 4:1 TLC</t>
    </r>
  </si>
  <si>
    <r>
      <rPr>
        <sz val="9"/>
        <color rgb="FF000000"/>
        <rFont val="Calibri"/>
        <family val="2"/>
      </rPr>
      <t>Butterbur Extract 10:1 TLC</t>
    </r>
  </si>
  <si>
    <r>
      <rPr>
        <sz val="9"/>
        <color rgb="FF000000"/>
        <rFont val="Calibri"/>
        <family val="2"/>
      </rPr>
      <t>Magnesium Chloride Hexahydrate</t>
    </r>
  </si>
  <si>
    <r>
      <rPr>
        <sz val="9"/>
        <color rgb="FF000000"/>
        <rFont val="Calibri"/>
        <family val="2"/>
      </rPr>
      <t>Stevia RebA 95%</t>
    </r>
  </si>
  <si>
    <r>
      <rPr>
        <sz val="9"/>
        <color rgb="FF000000"/>
        <rFont val="Calibri"/>
        <family val="2"/>
      </rPr>
      <t>Bacopa (Bacopa monnieri) Whole Plant 25-1 PE (70% EtOH 30% H20)</t>
    </r>
  </si>
  <si>
    <r>
      <rPr>
        <sz val="9"/>
        <color rgb="FF000000"/>
        <rFont val="Calibri"/>
        <family val="2"/>
      </rPr>
      <t>Deglycyrrhizinated Licorice &lt; 3% (4:1) (DGL)</t>
    </r>
  </si>
  <si>
    <r>
      <rPr>
        <sz val="9"/>
        <color rgb="FF000000"/>
        <rFont val="Calibri"/>
        <family val="2"/>
      </rPr>
      <t>Holy Basil Extract 2.5% Ursolic Acid HPLC</t>
    </r>
  </si>
  <si>
    <r>
      <rPr>
        <sz val="9"/>
        <color rgb="FF000000"/>
        <rFont val="Calibri"/>
        <family val="2"/>
      </rPr>
      <t>Organic Chia Seed Powder</t>
    </r>
  </si>
  <si>
    <r>
      <rPr>
        <sz val="9"/>
        <color rgb="FF000000"/>
        <rFont val="Calibri"/>
        <family val="2"/>
      </rPr>
      <t>Poria Cocos Extract 10:1 TLC (Poria Mushroom Extract)</t>
    </r>
  </si>
  <si>
    <r>
      <rPr>
        <sz val="9"/>
        <color rgb="FF000000"/>
        <rFont val="Calibri"/>
        <family val="2"/>
      </rPr>
      <t>Butea superba 4:1</t>
    </r>
  </si>
  <si>
    <r>
      <rPr>
        <sz val="9"/>
        <color rgb="FF000000"/>
        <rFont val="Calibri"/>
        <family val="2"/>
      </rPr>
      <t>Magnesium Carbonate Heavy</t>
    </r>
  </si>
  <si>
    <r>
      <rPr>
        <sz val="9"/>
        <color rgb="FF000000"/>
        <rFont val="Calibri"/>
        <family val="2"/>
      </rPr>
      <t>Suma (Pfaffia paniculata) root pe 4:1</t>
    </r>
  </si>
  <si>
    <r>
      <rPr>
        <sz val="9"/>
        <color rgb="FF000000"/>
        <rFont val="Calibri"/>
        <family val="2"/>
      </rPr>
      <t>Bacopa (Bacopa Monnieri) Bacosides 40% UV</t>
    </r>
  </si>
  <si>
    <r>
      <rPr>
        <sz val="9"/>
        <color rgb="FF000000"/>
        <rFont val="Calibri"/>
        <family val="2"/>
      </rPr>
      <t>Deer Velvet Antler Powder</t>
    </r>
  </si>
  <si>
    <r>
      <rPr>
        <sz val="9"/>
        <color rgb="FF000000"/>
        <rFont val="Calibri"/>
        <family val="2"/>
      </rPr>
      <t>Histamine Dihydrochloride</t>
    </r>
  </si>
  <si>
    <r>
      <rPr>
        <sz val="9"/>
        <color rgb="FF000000"/>
        <rFont val="Calibri"/>
        <family val="2"/>
      </rPr>
      <t>Organic Chaste Berry Fruit (Vitex agnus Castus) Powder</t>
    </r>
  </si>
  <si>
    <r>
      <rPr>
        <sz val="9"/>
        <color rgb="FF000000"/>
        <rFont val="Calibri"/>
        <family val="2"/>
      </rPr>
      <t>Pomelo (Citrus maxima) Fruit Powder</t>
    </r>
  </si>
  <si>
    <r>
      <rPr>
        <sz val="9"/>
        <color rgb="FF000000"/>
        <rFont val="Calibri"/>
        <family val="2"/>
      </rPr>
      <t>Butcher's Broom Extract 10%</t>
    </r>
  </si>
  <si>
    <r>
      <rPr>
        <sz val="9"/>
        <color rgb="FF000000"/>
        <rFont val="Calibri"/>
        <family val="2"/>
      </rPr>
      <t>Magnesium bisglycinate powder 20%</t>
    </r>
  </si>
  <si>
    <r>
      <rPr>
        <sz val="9"/>
        <color rgb="FF000000"/>
        <rFont val="Calibri"/>
        <family val="2"/>
      </rPr>
      <t>Pomegranate Juice Powder</t>
    </r>
  </si>
  <si>
    <r>
      <rPr>
        <sz val="9"/>
        <color rgb="FF000000"/>
        <rFont val="Calibri"/>
        <family val="2"/>
      </rPr>
      <t>Sucralose</t>
    </r>
  </si>
  <si>
    <r>
      <rPr>
        <sz val="9"/>
        <color rgb="FF000000"/>
        <rFont val="Calibri"/>
        <family val="2"/>
      </rPr>
      <t>Di-sodium Phosphate Anhydrous Powder</t>
    </r>
  </si>
  <si>
    <r>
      <rPr>
        <sz val="9"/>
        <color rgb="FF000000"/>
        <rFont val="Calibri"/>
        <family val="2"/>
      </rPr>
      <t>Higenamine HCL</t>
    </r>
  </si>
  <si>
    <r>
      <rPr>
        <sz val="9"/>
        <color rgb="FF000000"/>
        <rFont val="Calibri"/>
        <family val="2"/>
      </rPr>
      <t>Organic Chaga Mushroom Powder</t>
    </r>
  </si>
  <si>
    <r>
      <rPr>
        <sz val="9"/>
        <color rgb="FF000000"/>
        <rFont val="Calibri"/>
        <family val="2"/>
      </rPr>
      <t>Burdock Root Powder</t>
    </r>
  </si>
  <si>
    <r>
      <rPr>
        <sz val="9"/>
        <color rgb="FF000000"/>
        <rFont val="Calibri"/>
        <family val="2"/>
      </rPr>
      <t>Magnesium Glycinate 12%-14% Mg</t>
    </r>
  </si>
  <si>
    <r>
      <rPr>
        <sz val="9"/>
        <color rgb="FF000000"/>
        <rFont val="Calibri"/>
        <family val="2"/>
      </rPr>
      <t>Potassium Chloride</t>
    </r>
  </si>
  <si>
    <r>
      <rPr>
        <sz val="9"/>
        <color rgb="FF000000"/>
        <rFont val="Calibri"/>
        <family val="2"/>
      </rPr>
      <t>Strontium citrate 35%</t>
    </r>
  </si>
  <si>
    <r>
      <rPr>
        <sz val="9"/>
        <color rgb="FF000000"/>
        <rFont val="Calibri"/>
        <family val="2"/>
      </rPr>
      <t>DHEA</t>
    </r>
  </si>
  <si>
    <r>
      <rPr>
        <sz val="9"/>
        <color rgb="FF000000"/>
        <rFont val="Calibri"/>
        <family val="2"/>
      </rPr>
      <t>Hibiscus Flower Extract 90 % Polyphenols</t>
    </r>
  </si>
  <si>
    <r>
      <rPr>
        <sz val="9"/>
        <color rgb="FF000000"/>
        <rFont val="Calibri"/>
        <family val="2"/>
      </rPr>
      <t>Organic Celery Powder</t>
    </r>
  </si>
  <si>
    <r>
      <rPr>
        <sz val="9"/>
        <color rgb="FF000000"/>
        <rFont val="Calibri"/>
        <family val="2"/>
      </rPr>
      <t>Caffeine Anhydrous</t>
    </r>
  </si>
  <si>
    <r>
      <rPr>
        <sz val="9"/>
        <color rgb="FF000000"/>
        <rFont val="Calibri"/>
        <family val="2"/>
      </rPr>
      <t>Magnesium Glycinate (20% Mg)</t>
    </r>
  </si>
  <si>
    <r>
      <rPr>
        <sz val="9"/>
        <color rgb="FF000000"/>
        <rFont val="Calibri"/>
        <family val="2"/>
      </rPr>
      <t>Potassium Bicarbonate</t>
    </r>
  </si>
  <si>
    <r>
      <rPr>
        <sz val="9"/>
        <color rgb="FF000000"/>
        <rFont val="Calibri"/>
        <family val="2"/>
      </rPr>
      <t>Strawberry Freeze Dried Granular</t>
    </r>
  </si>
  <si>
    <r>
      <rPr>
        <sz val="12"/>
        <color rgb="FF000000"/>
        <rFont val="Calibri"/>
        <family val="2"/>
      </rPr>
      <t>Office: +1 469-361-3361</t>
    </r>
  </si>
  <si>
    <r>
      <rPr>
        <sz val="9"/>
        <color rgb="FF000000"/>
        <rFont val="Calibri"/>
        <family val="2"/>
      </rPr>
      <t>Dextrose</t>
    </r>
  </si>
  <si>
    <r>
      <rPr>
        <sz val="9"/>
        <color rgb="FF000000"/>
        <rFont val="Calibri"/>
        <family val="2"/>
      </rPr>
      <t>Honeysuchle Flower Extract (Chlorogenic Acid 50%)</t>
    </r>
  </si>
  <si>
    <r>
      <rPr>
        <sz val="9"/>
        <color rgb="FF000000"/>
        <rFont val="Calibri"/>
        <family val="2"/>
      </rPr>
      <t>Organic collard green Powder</t>
    </r>
  </si>
  <si>
    <r>
      <rPr>
        <sz val="9"/>
        <color rgb="FF000000"/>
        <rFont val="Calibri"/>
        <family val="2"/>
      </rPr>
      <t>Cacalia tangutica Extract 4:1</t>
    </r>
  </si>
  <si>
    <r>
      <rPr>
        <sz val="9"/>
        <color rgb="FF000000"/>
        <rFont val="Calibri"/>
        <family val="2"/>
      </rPr>
      <t>Magnesium Gluconate Dihydrate</t>
    </r>
  </si>
  <si>
    <r>
      <rPr>
        <sz val="9"/>
        <color rgb="FF000000"/>
        <rFont val="Calibri"/>
        <family val="2"/>
      </rPr>
      <t>Potassium Benzoate</t>
    </r>
  </si>
  <si>
    <r>
      <rPr>
        <sz val="9"/>
        <color rgb="FF000000"/>
        <rFont val="Calibri"/>
        <family val="2"/>
      </rPr>
      <t>Sweet Potato Powder</t>
    </r>
  </si>
  <si>
    <r>
      <rPr>
        <b/>
        <sz val="27.75"/>
        <color rgb="FFD25E0A"/>
        <rFont val="Calibri"/>
        <family val="2"/>
      </rPr>
      <t>Nutravative Inventory List</t>
    </r>
  </si>
  <si>
    <r>
      <rPr>
        <sz val="9"/>
        <color rgb="FF000000"/>
        <rFont val="Calibri"/>
        <family val="2"/>
      </rPr>
      <t>Devils Claw Extract 4:1 TLC</t>
    </r>
  </si>
  <si>
    <r>
      <rPr>
        <sz val="9"/>
        <color rgb="FF000000"/>
        <rFont val="Calibri"/>
        <family val="2"/>
      </rPr>
      <t>Honey suckle 10:1</t>
    </r>
  </si>
  <si>
    <r>
      <rPr>
        <sz val="9"/>
        <color rgb="FF000000"/>
        <rFont val="Calibri"/>
        <family val="2"/>
      </rPr>
      <t>Organic Coconut Sugar</t>
    </r>
  </si>
  <si>
    <r>
      <rPr>
        <sz val="9"/>
        <color rgb="FF000000"/>
        <rFont val="Calibri"/>
        <family val="2"/>
      </rPr>
      <t>Cabbage Extract 10:1 TLC</t>
    </r>
  </si>
  <si>
    <r>
      <rPr>
        <sz val="9"/>
        <color rgb="FF000000"/>
        <rFont val="Calibri"/>
        <family val="2"/>
      </rPr>
      <t>Magnesium Citrate Anhydrous Granular</t>
    </r>
  </si>
  <si>
    <r>
      <rPr>
        <sz val="9"/>
        <color rgb="FF000000"/>
        <rFont val="Calibri"/>
        <family val="2"/>
      </rPr>
      <t>Potassium Ascorbate (K 16.8%)</t>
    </r>
  </si>
  <si>
    <r>
      <rPr>
        <sz val="9"/>
        <color rgb="FF000000"/>
        <rFont val="Calibri"/>
        <family val="2"/>
      </rPr>
      <t>Superoxide Dismutase</t>
    </r>
  </si>
  <si>
    <r>
      <rPr>
        <sz val="9"/>
        <color rgb="FF000000"/>
        <rFont val="Calibri"/>
        <family val="2"/>
      </rPr>
      <t>Acacia Gum</t>
    </r>
  </si>
  <si>
    <r>
      <rPr>
        <sz val="9"/>
        <color rgb="FF000000"/>
        <rFont val="Calibri"/>
        <family val="2"/>
      </rPr>
      <t>DL-Malic Acid</t>
    </r>
  </si>
  <si>
    <r>
      <rPr>
        <sz val="9"/>
        <color rgb="FF000000"/>
        <rFont val="Calibri"/>
        <family val="2"/>
      </rPr>
      <t>Holy Basil Powder</t>
    </r>
  </si>
  <si>
    <r>
      <rPr>
        <sz val="9"/>
        <color rgb="FF000000"/>
        <rFont val="Calibri"/>
        <family val="2"/>
      </rPr>
      <t>Organic Cocoa Powder</t>
    </r>
  </si>
  <si>
    <r>
      <rPr>
        <sz val="9"/>
        <color rgb="FF000000"/>
        <rFont val="Calibri"/>
        <family val="2"/>
      </rPr>
      <t>Butterbur Extract Total Petasins 12% UV</t>
    </r>
  </si>
  <si>
    <r>
      <rPr>
        <sz val="9"/>
        <color rgb="FF000000"/>
        <rFont val="Calibri"/>
        <family val="2"/>
      </rPr>
      <t>Holy Basil Extract Tannins 10%</t>
    </r>
  </si>
  <si>
    <r>
      <rPr>
        <sz val="9"/>
        <color rgb="FF000000"/>
        <rFont val="Calibri"/>
        <family val="2"/>
      </rPr>
      <t>Magnesium Sulfate</t>
    </r>
  </si>
  <si>
    <r>
      <rPr>
        <sz val="9"/>
        <color rgb="FF000000"/>
        <rFont val="Calibri"/>
        <family val="2"/>
      </rPr>
      <t>Prickly Pear Cactus Extract 10:1</t>
    </r>
  </si>
  <si>
    <r>
      <rPr>
        <sz val="9"/>
        <color rgb="FF000000"/>
        <rFont val="Calibri"/>
        <family val="2"/>
      </rPr>
      <t>Sunflower Protein 50 grade</t>
    </r>
  </si>
  <si>
    <r>
      <rPr>
        <sz val="9"/>
        <color rgb="FF000000"/>
        <rFont val="Calibri"/>
        <family val="2"/>
      </rPr>
      <t>50% Alpha-Glycerylphosphorylcholine (GPC) (manitol)</t>
    </r>
  </si>
  <si>
    <r>
      <rPr>
        <sz val="9"/>
        <color rgb="FF000000"/>
        <rFont val="Calibri"/>
        <family val="2"/>
      </rPr>
      <t>Diindolylmethane(DIM)</t>
    </r>
  </si>
  <si>
    <r>
      <rPr>
        <sz val="9"/>
        <color rgb="FF000000"/>
        <rFont val="Calibri"/>
        <family val="2"/>
      </rPr>
      <t>Organic Cinnamon extract 4:1</t>
    </r>
  </si>
  <si>
    <r>
      <rPr>
        <sz val="9"/>
        <color rgb="FF000000"/>
        <rFont val="Calibri"/>
        <family val="2"/>
      </rPr>
      <t>Calcium Carbonate Mineral</t>
    </r>
  </si>
  <si>
    <r>
      <rPr>
        <sz val="9"/>
        <color rgb="FF000000"/>
        <rFont val="Calibri"/>
        <family val="2"/>
      </rPr>
      <t>Horny Goat Weed Extract 4:1</t>
    </r>
  </si>
  <si>
    <r>
      <rPr>
        <sz val="9"/>
        <color rgb="FF000000"/>
        <rFont val="Calibri"/>
        <family val="2"/>
      </rPr>
      <t>Magnesium Malate Trihydrate granular 11.5%</t>
    </r>
  </si>
  <si>
    <r>
      <rPr>
        <sz val="9"/>
        <color rgb="FF000000"/>
        <rFont val="Calibri"/>
        <family val="2"/>
      </rPr>
      <t>Potassium Sorbate Granular</t>
    </r>
  </si>
  <si>
    <r>
      <rPr>
        <sz val="9"/>
        <color rgb="FF000000"/>
        <rFont val="Calibri"/>
        <family val="2"/>
      </rPr>
      <t>Sunflower Lecithin Powder</t>
    </r>
  </si>
  <si>
    <r>
      <rPr>
        <sz val="9"/>
        <color rgb="FF000000"/>
        <rFont val="Calibri"/>
        <family val="2"/>
      </rPr>
      <t>50% Alpha-Glycerylphosphorylcholine (GPC) (DCP)</t>
    </r>
  </si>
  <si>
    <r>
      <rPr>
        <sz val="9"/>
        <color rgb="FF000000"/>
        <rFont val="Calibri"/>
        <family val="2"/>
      </rPr>
      <t>Dicalcium Phosphate Dihydrate</t>
    </r>
  </si>
  <si>
    <r>
      <rPr>
        <sz val="9"/>
        <color rgb="FF000000"/>
        <rFont val="Calibri"/>
        <family val="2"/>
      </rPr>
      <t>Organic Dandelion Leaf Extract 10:1</t>
    </r>
  </si>
  <si>
    <r>
      <rPr>
        <sz val="9"/>
        <color rgb="FF000000"/>
        <rFont val="Calibri"/>
        <family val="2"/>
      </rPr>
      <t>Calcium Carbonate Granular 37% Ca</t>
    </r>
  </si>
  <si>
    <r>
      <rPr>
        <sz val="9"/>
        <color rgb="FF000000"/>
        <rFont val="Calibri"/>
        <family val="2"/>
      </rPr>
      <t>Horny Goat Weed Extract (std. min.10% Icariins)</t>
    </r>
  </si>
  <si>
    <r>
      <rPr>
        <sz val="9"/>
        <color rgb="FF000000"/>
        <rFont val="Calibri"/>
        <family val="2"/>
      </rPr>
      <t>Magnesium Malate 15%</t>
    </r>
  </si>
  <si>
    <r>
      <rPr>
        <sz val="9"/>
        <color rgb="FF000000"/>
        <rFont val="Calibri"/>
        <family val="2"/>
      </rPr>
      <t>Potassium Iodide 1%</t>
    </r>
  </si>
  <si>
    <r>
      <rPr>
        <sz val="9"/>
        <color rgb="FF000000"/>
        <rFont val="Calibri"/>
        <family val="2"/>
      </rPr>
      <t>Tamarind Extract 10:1 TLC</t>
    </r>
  </si>
  <si>
    <r>
      <rPr>
        <b/>
        <sz val="9"/>
        <color rgb="FF000000"/>
        <rFont val="Calibri"/>
        <family val="2"/>
      </rPr>
      <t>Location</t>
    </r>
  </si>
  <si>
    <r>
      <rPr>
        <b/>
        <sz val="9"/>
        <color rgb="FF000000"/>
        <rFont val="Calibri"/>
        <family val="2"/>
      </rPr>
      <t xml:space="preserve">Lead
</t>
    </r>
    <r>
      <rPr>
        <b/>
        <sz val="9"/>
        <color rgb="FF000000"/>
        <rFont val="Calibri"/>
        <family val="2"/>
      </rPr>
      <t>Time</t>
    </r>
  </si>
  <si>
    <r>
      <rPr>
        <b/>
        <sz val="9"/>
        <color rgb="FF000000"/>
        <rFont val="Calibri"/>
        <family val="2"/>
      </rPr>
      <t>Ingredients</t>
    </r>
  </si>
  <si>
    <r>
      <rPr>
        <b/>
        <sz val="9"/>
        <color rgb="FF000000"/>
        <rFont val="Calibri"/>
        <family val="2"/>
      </rPr>
      <t>QTY</t>
    </r>
  </si>
  <si>
    <r>
      <rPr>
        <sz val="9"/>
        <color rgb="FF000000"/>
        <rFont val="Calibri"/>
        <family val="2"/>
      </rPr>
      <t>Dicalcium Phosphate Anhydrous</t>
    </r>
  </si>
  <si>
    <r>
      <rPr>
        <sz val="9"/>
        <color rgb="FF000000"/>
        <rFont val="Calibri"/>
        <family val="2"/>
      </rPr>
      <t>Organic cucumber juice powder</t>
    </r>
  </si>
  <si>
    <r>
      <rPr>
        <sz val="9"/>
        <color rgb="FF000000"/>
        <rFont val="Calibri"/>
        <family val="2"/>
      </rPr>
      <t>Calcium Ascorbate</t>
    </r>
  </si>
  <si>
    <r>
      <rPr>
        <sz val="9"/>
        <color rgb="FF000000"/>
        <rFont val="Calibri"/>
        <family val="2"/>
      </rPr>
      <t>Hops Extract 20:1</t>
    </r>
  </si>
  <si>
    <r>
      <rPr>
        <sz val="9"/>
        <color rgb="FF000000"/>
        <rFont val="Calibri"/>
        <family val="2"/>
      </rPr>
      <t>Magnesium L-Threonate (Patented, could not sell)</t>
    </r>
  </si>
  <si>
    <r>
      <rPr>
        <sz val="9"/>
        <color rgb="FF000000"/>
        <rFont val="Calibri"/>
        <family val="2"/>
      </rPr>
      <t>Potassium Glycinate 18%</t>
    </r>
  </si>
  <si>
    <r>
      <rPr>
        <sz val="9"/>
        <color rgb="FF000000"/>
        <rFont val="Calibri"/>
        <family val="2"/>
      </rPr>
      <t>Synthetic Daidzein (4,7-Dihydroxyisoflavone) 98%</t>
    </r>
  </si>
  <si>
    <r>
      <rPr>
        <sz val="9"/>
        <color rgb="FF000000"/>
        <rFont val="Calibri"/>
        <family val="2"/>
      </rPr>
      <t>Acerola P.E. 4:1</t>
    </r>
  </si>
  <si>
    <r>
      <rPr>
        <sz val="9"/>
        <color rgb="FF000000"/>
        <rFont val="Calibri"/>
        <family val="2"/>
      </rPr>
      <t>Dong Quai Root Powder</t>
    </r>
  </si>
  <si>
    <r>
      <rPr>
        <sz val="9"/>
        <color rgb="FF000000"/>
        <rFont val="Calibri"/>
        <family val="2"/>
      </rPr>
      <t>Organic Cramp Bark Standardized Extract</t>
    </r>
  </si>
  <si>
    <r>
      <rPr>
        <sz val="9"/>
        <color rgb="FF000000"/>
        <rFont val="Calibri"/>
        <family val="2"/>
      </rPr>
      <t>Acerola cherry powder</t>
    </r>
  </si>
  <si>
    <r>
      <rPr>
        <sz val="9"/>
        <color rgb="FF000000"/>
        <rFont val="Calibri"/>
        <family val="2"/>
      </rPr>
      <t>Calcium (As Calcium Oxide)</t>
    </r>
  </si>
  <si>
    <r>
      <rPr>
        <sz val="9"/>
        <color rgb="FF000000"/>
        <rFont val="Calibri"/>
        <family val="2"/>
      </rPr>
      <t>HOPS Ext 4:1</t>
    </r>
  </si>
  <si>
    <r>
      <rPr>
        <sz val="9"/>
        <color rgb="FF000000"/>
        <rFont val="Calibri"/>
        <family val="2"/>
      </rPr>
      <t>Magnolia Extract Honokiol 2% HPLC 20:1</t>
    </r>
  </si>
  <si>
    <r>
      <rPr>
        <sz val="9"/>
        <color rgb="FF000000"/>
        <rFont val="Calibri"/>
        <family val="2"/>
      </rPr>
      <t>Psyllium Husk Powder 95% 60 mesh</t>
    </r>
  </si>
  <si>
    <r>
      <rPr>
        <sz val="9"/>
        <color rgb="FF000000"/>
        <rFont val="Calibri"/>
        <family val="2"/>
      </rPr>
      <t>Symphytum Officinale P.E 4:1</t>
    </r>
  </si>
  <si>
    <r>
      <rPr>
        <sz val="9"/>
        <color rgb="FF000000"/>
        <rFont val="Calibri"/>
        <family val="2"/>
      </rPr>
      <t>Dong Quai Root Extract (std. min. 1% ligustilide)</t>
    </r>
  </si>
  <si>
    <r>
      <rPr>
        <sz val="9"/>
        <color rgb="FF000000"/>
        <rFont val="Calibri"/>
        <family val="2"/>
      </rPr>
      <t>Organic cordyceps sinensis powder</t>
    </r>
  </si>
  <si>
    <r>
      <rPr>
        <sz val="9"/>
        <color rgb="FF000000"/>
        <rFont val="Calibri"/>
        <family val="2"/>
      </rPr>
      <t>Sweet Wormwood Powder</t>
    </r>
  </si>
  <si>
    <r>
      <rPr>
        <sz val="9"/>
        <color rgb="FF000000"/>
        <rFont val="Calibri"/>
        <family val="2"/>
      </rPr>
      <t>Acerola Cherry Extract 25% ( Vitamin C)</t>
    </r>
  </si>
  <si>
    <r>
      <rPr>
        <sz val="9"/>
        <color rgb="FF000000"/>
        <rFont val="Calibri"/>
        <family val="2"/>
      </rPr>
      <t>Calcium Fructoborate 95%</t>
    </r>
  </si>
  <si>
    <r>
      <rPr>
        <sz val="9"/>
        <color rgb="FF000000"/>
        <rFont val="Calibri"/>
        <family val="2"/>
      </rPr>
      <t>Horse Chestnut Extract Aescin 20% UV</t>
    </r>
  </si>
  <si>
    <r>
      <rPr>
        <sz val="9"/>
        <color rgb="FF000000"/>
        <rFont val="Calibri"/>
        <family val="2"/>
      </rPr>
      <t>Magnolia Bark Extract Magnolol &amp; Honokiol 90% HPLC</t>
    </r>
  </si>
  <si>
    <r>
      <rPr>
        <sz val="9"/>
        <color rgb="FF000000"/>
        <rFont val="Calibri"/>
        <family val="2"/>
      </rPr>
      <t>Prunella Vulgaris Extract 10:1</t>
    </r>
  </si>
  <si>
    <r>
      <rPr>
        <sz val="9"/>
        <color rgb="FF000000"/>
        <rFont val="Calibri"/>
        <family val="2"/>
      </rPr>
      <t>DMAE (as Dimethylaminoethanol L-Bitartate)</t>
    </r>
  </si>
  <si>
    <r>
      <rPr>
        <sz val="9"/>
        <color rgb="FF000000"/>
        <rFont val="Calibri"/>
        <family val="2"/>
      </rPr>
      <t>Organic Echinacea Purperea Herb Powder</t>
    </r>
  </si>
  <si>
    <r>
      <rPr>
        <sz val="9"/>
        <color rgb="FF000000"/>
        <rFont val="Calibri"/>
        <family val="2"/>
      </rPr>
      <t>Tart Cherry Fruit Powder (Prunus cerasus L.)</t>
    </r>
  </si>
  <si>
    <r>
      <rPr>
        <sz val="9"/>
        <color rgb="FF000000"/>
        <rFont val="Calibri"/>
        <family val="2"/>
      </rPr>
      <t>Acai Berry Extract 10:1 TLC</t>
    </r>
  </si>
  <si>
    <r>
      <rPr>
        <sz val="9"/>
        <color rgb="FF000000"/>
        <rFont val="Calibri"/>
        <family val="2"/>
      </rPr>
      <t>Calcium Citrate Powder</t>
    </r>
  </si>
  <si>
    <r>
      <rPr>
        <sz val="9"/>
        <color rgb="FF000000"/>
        <rFont val="Calibri"/>
        <family val="2"/>
      </rPr>
      <t>Horny Goat weed powder</t>
    </r>
  </si>
  <si>
    <r>
      <rPr>
        <sz val="9"/>
        <color rgb="FF000000"/>
        <rFont val="Calibri"/>
        <family val="2"/>
      </rPr>
      <t>Magnesium Taurinate 8%</t>
    </r>
  </si>
  <si>
    <r>
      <rPr>
        <sz val="9"/>
        <color rgb="FF000000"/>
        <rFont val="Calibri"/>
        <family val="2"/>
      </rPr>
      <t>Prune Fruit Powder</t>
    </r>
  </si>
  <si>
    <r>
      <rPr>
        <sz val="9"/>
        <color rgb="FF000000"/>
        <rFont val="Calibri"/>
        <family val="2"/>
      </rPr>
      <t>DL-Phenylalanine</t>
    </r>
  </si>
  <si>
    <r>
      <rPr>
        <sz val="9"/>
        <color rgb="FF000000"/>
        <rFont val="Calibri"/>
        <family val="2"/>
      </rPr>
      <t>Organic Dong Quai Root Extract 4:1</t>
    </r>
  </si>
  <si>
    <r>
      <rPr>
        <sz val="9"/>
        <color rgb="FF000000"/>
        <rFont val="Calibri"/>
        <family val="2"/>
      </rPr>
      <t>Tart Cherry 20:1</t>
    </r>
  </si>
  <si>
    <r>
      <rPr>
        <sz val="9"/>
        <color rgb="FF000000"/>
        <rFont val="Calibri"/>
        <family val="2"/>
      </rPr>
      <t>Agaricus Blazei Mushroom Extract Polysaccharide 30% UV</t>
    </r>
  </si>
  <si>
    <r>
      <rPr>
        <sz val="9"/>
        <color rgb="FF000000"/>
        <rFont val="Calibri"/>
        <family val="2"/>
      </rPr>
      <t>Calcium Citrate 40% Ca</t>
    </r>
  </si>
  <si>
    <r>
      <rPr>
        <sz val="9"/>
        <color rgb="FF000000"/>
        <rFont val="Calibri"/>
        <family val="2"/>
      </rPr>
      <t>Horny Goat Weed Icariin 10% HPLC (Epimedium Extract Icariin 10% HPLC)</t>
    </r>
  </si>
  <si>
    <r>
      <rPr>
        <sz val="9"/>
        <color rgb="FF000000"/>
        <rFont val="Calibri"/>
        <family val="2"/>
      </rPr>
      <t>Magnesium Sulfate Heptahydrate</t>
    </r>
  </si>
  <si>
    <r>
      <rPr>
        <sz val="9"/>
        <color rgb="FF000000"/>
        <rFont val="Calibri"/>
        <family val="2"/>
      </rPr>
      <t>Propionyl-L-Carnitine HCl (PLC)</t>
    </r>
  </si>
  <si>
    <r>
      <rPr>
        <sz val="9"/>
        <color rgb="FF000000"/>
        <rFont val="Calibri"/>
        <family val="2"/>
      </rPr>
      <t>Ecdysterone powder 98% HPLC</t>
    </r>
  </si>
  <si>
    <r>
      <rPr>
        <sz val="9"/>
        <color rgb="FF000000"/>
        <rFont val="Calibri"/>
        <family val="2"/>
      </rPr>
      <t>Organic Defatted FLAX Seed Powder</t>
    </r>
  </si>
  <si>
    <r>
      <rPr>
        <sz val="9"/>
        <color rgb="FF000000"/>
        <rFont val="Calibri"/>
        <family val="2"/>
      </rPr>
      <t>Tarragon (Herba Artemisia Dracunculus - aqueous extract)</t>
    </r>
  </si>
  <si>
    <r>
      <rPr>
        <sz val="9"/>
        <color rgb="FF000000"/>
        <rFont val="Calibri"/>
        <family val="2"/>
      </rPr>
      <t>African Mango Seed Extract 7% Albumin</t>
    </r>
  </si>
  <si>
    <r>
      <rPr>
        <sz val="9"/>
        <color rgb="FF000000"/>
        <rFont val="Calibri"/>
        <family val="2"/>
      </rPr>
      <t>Calcium Chelate 20%</t>
    </r>
  </si>
  <si>
    <r>
      <rPr>
        <sz val="9"/>
        <color rgb="FF000000"/>
        <rFont val="Calibri"/>
        <family val="2"/>
      </rPr>
      <t>Horny Goat Weed Extract(std. min. 40% Icariins)(30:1)(leaf )</t>
    </r>
  </si>
  <si>
    <r>
      <rPr>
        <sz val="9"/>
        <color rgb="FF000000"/>
        <rFont val="Calibri"/>
        <family val="2"/>
      </rPr>
      <t>Maitake mushroom powder</t>
    </r>
  </si>
  <si>
    <r>
      <rPr>
        <sz val="9"/>
        <color rgb="FF000000"/>
        <rFont val="Calibri"/>
        <family val="2"/>
      </rPr>
      <t>Pumpkin Seed Protein 60%</t>
    </r>
  </si>
  <si>
    <r>
      <rPr>
        <sz val="9"/>
        <color rgb="FF000000"/>
        <rFont val="Calibri"/>
        <family val="2"/>
      </rPr>
      <t>Dulse Powder (Palmaria palmata)(red seaweed)</t>
    </r>
  </si>
  <si>
    <r>
      <rPr>
        <sz val="9"/>
        <color rgb="FF000000"/>
        <rFont val="Calibri"/>
        <family val="2"/>
      </rPr>
      <t>Organic Dandelion Root Powder</t>
    </r>
  </si>
  <si>
    <r>
      <rPr>
        <sz val="9"/>
        <color rgb="FF000000"/>
        <rFont val="Calibri"/>
        <family val="2"/>
      </rPr>
      <t>Tangerine Juice powder</t>
    </r>
  </si>
  <si>
    <r>
      <rPr>
        <sz val="9"/>
        <color rgb="FF000000"/>
        <rFont val="Calibri"/>
        <family val="2"/>
      </rPr>
      <t>African Mango Seed 4:1</t>
    </r>
  </si>
  <si>
    <r>
      <rPr>
        <sz val="9"/>
        <color rgb="FF000000"/>
        <rFont val="Calibri"/>
        <family val="2"/>
      </rPr>
      <t>Calcium(as Calcium Pyruvate)</t>
    </r>
  </si>
  <si>
    <r>
      <rPr>
        <sz val="9"/>
        <color rgb="FF000000"/>
        <rFont val="Calibri"/>
        <family val="2"/>
      </rPr>
      <t>Huperzia Serrata Extract (std.min.1% 35:1) IV</t>
    </r>
  </si>
  <si>
    <r>
      <rPr>
        <sz val="9"/>
        <color rgb="FF000000"/>
        <rFont val="Calibri"/>
        <family val="2"/>
      </rPr>
      <t>Maitake Mushroom Extract 4:1 TLC</t>
    </r>
  </si>
  <si>
    <r>
      <rPr>
        <sz val="9"/>
        <color rgb="FF000000"/>
        <rFont val="Calibri"/>
        <family val="2"/>
      </rPr>
      <t>Pumpkin Seed Extract 4:1</t>
    </r>
  </si>
  <si>
    <r>
      <rPr>
        <sz val="9"/>
        <color rgb="FF000000"/>
        <rFont val="Calibri"/>
        <family val="2"/>
      </rPr>
      <t>Drynaria Root Powder</t>
    </r>
  </si>
  <si>
    <r>
      <rPr>
        <sz val="9"/>
        <color rgb="FF000000"/>
        <rFont val="Calibri"/>
        <family val="2"/>
      </rPr>
      <t>Maitake Extract(8:1)(Fruit body)</t>
    </r>
  </si>
  <si>
    <r>
      <rPr>
        <sz val="9"/>
        <color rgb="FF000000"/>
        <rFont val="Calibri"/>
        <family val="2"/>
      </rPr>
      <t>Organic Ginger Root Powder</t>
    </r>
  </si>
  <si>
    <r>
      <rPr>
        <sz val="9"/>
        <color rgb="FF000000"/>
        <rFont val="Calibri"/>
        <family val="2"/>
      </rPr>
      <t>Theacrine 40%</t>
    </r>
  </si>
  <si>
    <r>
      <rPr>
        <sz val="9"/>
        <color rgb="FF000000"/>
        <rFont val="Calibri"/>
        <family val="2"/>
      </rPr>
      <t>Acetyl L-Carnitine Hydrochloride(L-Carnitine 67%)(ALC)</t>
    </r>
  </si>
  <si>
    <r>
      <rPr>
        <sz val="9"/>
        <color rgb="FF000000"/>
        <rFont val="Calibri"/>
        <family val="2"/>
      </rPr>
      <t>Calcium Stearate</t>
    </r>
  </si>
  <si>
    <r>
      <rPr>
        <sz val="9"/>
        <color rgb="FF000000"/>
        <rFont val="Calibri"/>
        <family val="2"/>
      </rPr>
      <t>Houttuynia cordata 10-1</t>
    </r>
  </si>
  <si>
    <r>
      <rPr>
        <sz val="9"/>
        <color rgb="FF000000"/>
        <rFont val="Calibri"/>
        <family val="2"/>
      </rPr>
      <t>Puerariae (Kudzu) root powder</t>
    </r>
  </si>
  <si>
    <r>
      <rPr>
        <sz val="9"/>
        <color rgb="FF000000"/>
        <rFont val="Calibri"/>
        <family val="2"/>
      </rPr>
      <t>Yohimbe extract (std. min. 98% yohimbine HCl )(bark)</t>
    </r>
  </si>
  <si>
    <r>
      <rPr>
        <sz val="9"/>
        <color rgb="FF000000"/>
        <rFont val="Calibri"/>
        <family val="2"/>
      </rPr>
      <t>Dried Ferrous Sulphate Powder</t>
    </r>
  </si>
  <si>
    <r>
      <rPr>
        <sz val="9"/>
        <color rgb="FF000000"/>
        <rFont val="Calibri"/>
        <family val="2"/>
      </rPr>
      <t>Magnolia Officinalis Bark Extract 20:1 TLC</t>
    </r>
  </si>
  <si>
    <r>
      <rPr>
        <sz val="9"/>
        <color rgb="FF000000"/>
        <rFont val="Calibri"/>
        <family val="2"/>
      </rPr>
      <t>Organic Garlic Powder</t>
    </r>
  </si>
  <si>
    <r>
      <rPr>
        <sz val="9"/>
        <color rgb="FF000000"/>
        <rFont val="Calibri"/>
        <family val="2"/>
      </rPr>
      <t>thaumatin 99% (sweet degree 8000)</t>
    </r>
  </si>
  <si>
    <r>
      <rPr>
        <sz val="9"/>
        <color rgb="FF000000"/>
        <rFont val="Calibri"/>
        <family val="2"/>
      </rPr>
      <t>Alfalfa Powder</t>
    </r>
  </si>
  <si>
    <r>
      <rPr>
        <sz val="9"/>
        <color rgb="FF000000"/>
        <rFont val="Calibri"/>
        <family val="2"/>
      </rPr>
      <t>Calcium Orotate Powder</t>
    </r>
  </si>
  <si>
    <r>
      <rPr>
        <sz val="9"/>
        <color rgb="FF000000"/>
        <rFont val="Calibri"/>
        <family val="2"/>
      </rPr>
      <t>Horsetail Extract 4:1</t>
    </r>
  </si>
  <si>
    <r>
      <rPr>
        <sz val="9"/>
        <color rgb="FF000000"/>
        <rFont val="Calibri"/>
        <family val="2"/>
      </rPr>
      <t>Pueraria Extract Isoflavones 40% UV (Kudzu Root Extract /Gegan Extract )</t>
    </r>
  </si>
  <si>
    <r>
      <rPr>
        <sz val="9"/>
        <color rgb="FF000000"/>
        <rFont val="Calibri"/>
        <family val="2"/>
      </rPr>
      <t>Yohimbe (std.min.6% yohimbine hydrochloride)(bark)</t>
    </r>
  </si>
  <si>
    <r>
      <rPr>
        <sz val="9"/>
        <color rgb="FF000000"/>
        <rFont val="Calibri"/>
        <family val="2"/>
      </rPr>
      <t>Echinacea Purpurea Root Extract 10:1 (Cellulose Based; non carrier)</t>
    </r>
  </si>
  <si>
    <r>
      <rPr>
        <sz val="9"/>
        <color rgb="FF000000"/>
        <rFont val="Calibri"/>
        <family val="2"/>
      </rPr>
      <t>Maltodextrin Star Dri 1015A</t>
    </r>
  </si>
  <si>
    <r>
      <rPr>
        <sz val="9"/>
        <color rgb="FF000000"/>
        <rFont val="Calibri"/>
        <family val="2"/>
      </rPr>
      <t>Organic Fennel Seed Extract (foeniculum vulgare) 4:1</t>
    </r>
  </si>
  <si>
    <r>
      <rPr>
        <sz val="9"/>
        <color rgb="FF000000"/>
        <rFont val="Calibri"/>
        <family val="2"/>
      </rPr>
      <t>Terminalia Chebula Fruit Powder</t>
    </r>
  </si>
  <si>
    <r>
      <rPr>
        <sz val="9"/>
        <color rgb="FF000000"/>
        <rFont val="Calibri"/>
        <family val="2"/>
      </rPr>
      <t>Albizia Bark Extract 8:1</t>
    </r>
  </si>
  <si>
    <r>
      <rPr>
        <sz val="9"/>
        <color rgb="FF000000"/>
        <rFont val="Calibri"/>
        <family val="2"/>
      </rPr>
      <t>Calcium HMB(Calcium�-hydroxy-�-Methyl Butyrate) (15% Ca)</t>
    </r>
  </si>
  <si>
    <r>
      <rPr>
        <sz val="9"/>
        <color rgb="FF000000"/>
        <rFont val="Calibri"/>
        <family val="2"/>
      </rPr>
      <t>Horsetail Extract (Silica 7%)</t>
    </r>
  </si>
  <si>
    <r>
      <rPr>
        <sz val="9"/>
        <color rgb="FF000000"/>
        <rFont val="Calibri"/>
        <family val="2"/>
      </rPr>
      <t>Pygeum Powder</t>
    </r>
  </si>
  <si>
    <r>
      <rPr>
        <sz val="9"/>
        <color rgb="FF000000"/>
        <rFont val="Calibri"/>
        <family val="2"/>
      </rPr>
      <t>Yerba mate leaf(llex paraguariensis) 4:1 5% caffeine</t>
    </r>
  </si>
  <si>
    <r>
      <rPr>
        <sz val="9"/>
        <color rgb="FF000000"/>
        <rFont val="Calibri"/>
        <family val="2"/>
      </rPr>
      <t>Echinacea Purpurea Extract 4%UV</t>
    </r>
  </si>
  <si>
    <r>
      <rPr>
        <sz val="9"/>
        <color rgb="FF000000"/>
        <rFont val="Calibri"/>
        <family val="2"/>
      </rPr>
      <t>Maltodextrin M-100</t>
    </r>
  </si>
  <si>
    <r>
      <rPr>
        <sz val="9"/>
        <color rgb="FF000000"/>
        <rFont val="Calibri"/>
        <family val="2"/>
      </rPr>
      <t>Organic European Elder Berry fruit powder</t>
    </r>
  </si>
  <si>
    <r>
      <rPr>
        <sz val="9"/>
        <color rgb="FF000000"/>
        <rFont val="Calibri"/>
        <family val="2"/>
      </rPr>
      <t>Taurine (Non-anticaking)</t>
    </r>
  </si>
  <si>
    <r>
      <rPr>
        <sz val="9"/>
        <color rgb="FF000000"/>
        <rFont val="Calibri"/>
        <family val="2"/>
      </rPr>
      <t>Ajuga Turkestanica Extract Turkesterone 10%</t>
    </r>
  </si>
  <si>
    <r>
      <rPr>
        <sz val="9"/>
        <color rgb="FF000000"/>
        <rFont val="Calibri"/>
        <family val="2"/>
      </rPr>
      <t>Canola Oil Powder</t>
    </r>
  </si>
  <si>
    <r>
      <rPr>
        <sz val="9"/>
        <color rgb="FF000000"/>
        <rFont val="Calibri"/>
        <family val="2"/>
      </rPr>
      <t>Hydrolyzed Bovine Collagen (Bone)</t>
    </r>
  </si>
  <si>
    <r>
      <rPr>
        <sz val="9"/>
        <color rgb="FF000000"/>
        <rFont val="Calibri"/>
        <family val="2"/>
      </rPr>
      <t>Pygeum Bark Extract (2.5% Sterols)</t>
    </r>
  </si>
  <si>
    <r>
      <rPr>
        <sz val="9"/>
        <color rgb="FF000000"/>
        <rFont val="Calibri"/>
        <family val="2"/>
      </rPr>
      <t>Yerba Mate Extract 10% Caffeine (10:1)</t>
    </r>
  </si>
  <si>
    <r>
      <rPr>
        <sz val="9"/>
        <color rgb="FF000000"/>
        <rFont val="Calibri"/>
        <family val="2"/>
      </rPr>
      <t>Echinacea Extract Cichoric Acid 1% HPLC</t>
    </r>
  </si>
  <si>
    <r>
      <rPr>
        <sz val="9"/>
        <color rgb="FF000000"/>
        <rFont val="Calibri"/>
        <family val="2"/>
      </rPr>
      <t>Maltodextrin DE17-20</t>
    </r>
  </si>
  <si>
    <r>
      <rPr>
        <sz val="9"/>
        <color rgb="FF000000"/>
        <rFont val="Calibri"/>
        <family val="2"/>
      </rPr>
      <t>Organic Gymnema Extract 4:1</t>
    </r>
  </si>
  <si>
    <r>
      <rPr>
        <sz val="9"/>
        <color rgb="FF000000"/>
        <rFont val="Calibri"/>
        <family val="2"/>
      </rPr>
      <t>Wheat Grass Powder</t>
    </r>
  </si>
  <si>
    <r>
      <rPr>
        <sz val="9"/>
        <color rgb="FF000000"/>
        <rFont val="Calibri"/>
        <family val="2"/>
      </rPr>
      <t>Aged Black Garlic Extract (1% SAC)</t>
    </r>
  </si>
  <si>
    <r>
      <rPr>
        <sz val="9"/>
        <color rgb="FF000000"/>
        <rFont val="Calibri"/>
        <family val="2"/>
      </rPr>
      <t>Candytuft Extract 4:1</t>
    </r>
  </si>
  <si>
    <r>
      <rPr>
        <sz val="9"/>
        <color rgb="FF000000"/>
        <rFont val="Calibri"/>
        <family val="2"/>
      </rPr>
      <t>Hydrangea Root Extract 10:1 TLC</t>
    </r>
  </si>
  <si>
    <r>
      <rPr>
        <sz val="9"/>
        <color rgb="FF000000"/>
        <rFont val="Calibri"/>
        <family val="2"/>
      </rPr>
      <t>Purple Chrysanthemum 4:1</t>
    </r>
  </si>
  <si>
    <r>
      <rPr>
        <sz val="9"/>
        <color rgb="FF000000"/>
        <rFont val="Calibri"/>
        <family val="2"/>
      </rPr>
      <t>Zeaxanthin 5%</t>
    </r>
  </si>
  <si>
    <r>
      <rPr>
        <sz val="9"/>
        <color rgb="FF000000"/>
        <rFont val="Calibri"/>
        <family val="2"/>
      </rPr>
      <t>Camu Camu Extract 20% Vitamin C (Ascorbic Acid)</t>
    </r>
  </si>
  <si>
    <r>
      <rPr>
        <sz val="9"/>
        <color rgb="FF000000"/>
        <rFont val="Calibri"/>
        <family val="2"/>
      </rPr>
      <t>Echinacea Angustifolia Extract 4:1</t>
    </r>
  </si>
  <si>
    <r>
      <rPr>
        <sz val="9"/>
        <color rgb="FF000000"/>
        <rFont val="Calibri"/>
        <family val="2"/>
      </rPr>
      <t>Maltodextrin (DE 8-10)</t>
    </r>
  </si>
  <si>
    <r>
      <rPr>
        <sz val="9"/>
        <color rgb="FF000000"/>
        <rFont val="Calibri"/>
        <family val="2"/>
      </rPr>
      <t>Organic Green Bell Pepper</t>
    </r>
  </si>
  <si>
    <r>
      <rPr>
        <sz val="9"/>
        <color rgb="FF000000"/>
        <rFont val="Calibri"/>
        <family val="2"/>
      </rPr>
      <t>Wheat germ extract spermidine 1%</t>
    </r>
  </si>
  <si>
    <r>
      <rPr>
        <sz val="9"/>
        <color rgb="FF000000"/>
        <rFont val="Calibri"/>
        <family val="2"/>
      </rPr>
      <t>Alpha Lipoic Acid (ALA) (Granular)</t>
    </r>
  </si>
  <si>
    <r>
      <rPr>
        <sz val="9"/>
        <color rgb="FF000000"/>
        <rFont val="Calibri"/>
        <family val="2"/>
      </rPr>
      <t>Huperzia Serrata Extract (std.min.1%) Extract 40:1 (Natural)</t>
    </r>
  </si>
  <si>
    <r>
      <rPr>
        <sz val="9"/>
        <color rgb="FF000000"/>
        <rFont val="Calibri"/>
        <family val="2"/>
      </rPr>
      <t>Pumpkin Seeds Extract 10:1</t>
    </r>
  </si>
  <si>
    <r>
      <rPr>
        <sz val="9"/>
        <color rgb="FF000000"/>
        <rFont val="Calibri"/>
        <family val="2"/>
      </rPr>
      <t>Zeaxanthin 10% Powder (CWS)</t>
    </r>
  </si>
  <si>
    <r>
      <rPr>
        <sz val="9"/>
        <color rgb="FF000000"/>
        <rFont val="Calibri"/>
        <family val="2"/>
      </rPr>
      <t>Calendula Officinalis (Garden Marigold) extract 10:1</t>
    </r>
  </si>
  <si>
    <r>
      <rPr>
        <sz val="9"/>
        <color rgb="FF000000"/>
        <rFont val="Calibri"/>
        <family val="2"/>
      </rPr>
      <t>Elderberry Fruit Powder</t>
    </r>
  </si>
  <si>
    <r>
      <rPr>
        <sz val="9"/>
        <color rgb="FF000000"/>
        <rFont val="Calibri"/>
        <family val="2"/>
      </rPr>
      <t>Mango Extract (10% Magniferin,Water Soluable)</t>
    </r>
  </si>
  <si>
    <r>
      <rPr>
        <sz val="9"/>
        <color rgb="FF000000"/>
        <rFont val="Calibri"/>
        <family val="2"/>
      </rPr>
      <t>Organic Grape Skin powder 4:1</t>
    </r>
  </si>
  <si>
    <r>
      <rPr>
        <sz val="9"/>
        <color rgb="FF000000"/>
        <rFont val="Calibri"/>
        <family val="2"/>
      </rPr>
      <t>Watermelon Powder</t>
    </r>
  </si>
  <si>
    <r>
      <rPr>
        <sz val="9"/>
        <color rgb="FF000000"/>
        <rFont val="Calibri"/>
        <family val="2"/>
      </rPr>
      <t>Alpha Alpha-Glycerylphosphorylcholine (GPC) 99%</t>
    </r>
  </si>
  <si>
    <r>
      <rPr>
        <sz val="9"/>
        <color rgb="FF000000"/>
        <rFont val="Calibri"/>
        <family val="2"/>
      </rPr>
      <t>Huperzia Serrata Extract (std.min.1%) (NH)</t>
    </r>
  </si>
  <si>
    <r>
      <rPr>
        <sz val="9"/>
        <color rgb="FF000000"/>
        <rFont val="Calibri"/>
        <family val="2"/>
      </rPr>
      <t>Shitake Mushroom 4:1</t>
    </r>
  </si>
  <si>
    <r>
      <rPr>
        <sz val="9"/>
        <color rgb="FF000000"/>
        <rFont val="Calibri"/>
        <family val="2"/>
      </rPr>
      <t>Yucca Root Extract 4:1 TLC</t>
    </r>
  </si>
  <si>
    <r>
      <rPr>
        <sz val="9"/>
        <color rgb="FF000000"/>
        <rFont val="Calibri"/>
        <family val="2"/>
      </rPr>
      <t>Caralluma (Caralluma fimbriata) Stem Pwd</t>
    </r>
  </si>
  <si>
    <r>
      <rPr>
        <sz val="9"/>
        <color rgb="FF000000"/>
        <rFont val="Calibri"/>
        <family val="2"/>
      </rPr>
      <t>Elderberry Fruit Extract 17% Anthocyanins UV</t>
    </r>
  </si>
  <si>
    <r>
      <rPr>
        <sz val="9"/>
        <color rgb="FF000000"/>
        <rFont val="Calibri"/>
        <family val="2"/>
      </rPr>
      <t>Mangiferia Indica Extract (std. min. 30% mangiferin)(mango bark)</t>
    </r>
  </si>
  <si>
    <r>
      <rPr>
        <sz val="9"/>
        <color rgb="FF000000"/>
        <rFont val="Calibri"/>
        <family val="2"/>
      </rPr>
      <t>Organic Ginkgo Biloba Leaf Extract 4:1 TLC</t>
    </r>
  </si>
  <si>
    <r>
      <rPr>
        <sz val="9"/>
        <color rgb="FF000000"/>
        <rFont val="Calibri"/>
        <family val="2"/>
      </rPr>
      <t>WaterCress Powder</t>
    </r>
  </si>
  <si>
    <r>
      <rPr>
        <sz val="9"/>
        <color rgb="FF000000"/>
        <rFont val="Calibri"/>
        <family val="2"/>
      </rPr>
      <t>Aloe Vera juice concentrate 10:1</t>
    </r>
  </si>
  <si>
    <r>
      <rPr>
        <sz val="9"/>
        <color rgb="FF000000"/>
        <rFont val="Calibri"/>
        <family val="2"/>
      </rPr>
      <t>Hydrolyzed Whey Protein HLA-198</t>
    </r>
  </si>
  <si>
    <r>
      <rPr>
        <sz val="9"/>
        <color rgb="FF000000"/>
        <rFont val="Calibri"/>
        <family val="2"/>
      </rPr>
      <t>Shilajit PE 12:1 (100% water)</t>
    </r>
  </si>
  <si>
    <r>
      <rPr>
        <sz val="9"/>
        <color rgb="FF000000"/>
        <rFont val="Calibri"/>
        <family val="2"/>
      </rPr>
      <t>Yu Wild Mushroom Extract Polysaccharides 30% UV (Pleurotus Ostreatus Extrac</t>
    </r>
  </si>
  <si>
    <r>
      <rPr>
        <sz val="9"/>
        <color rgb="FF000000"/>
        <rFont val="Calibri"/>
        <family val="2"/>
      </rPr>
      <t>Capsicum Extract 10:1</t>
    </r>
  </si>
  <si>
    <r>
      <rPr>
        <sz val="9"/>
        <color rgb="FF000000"/>
        <rFont val="Calibri"/>
        <family val="2"/>
      </rPr>
      <t>Elderberry Extract 50:1</t>
    </r>
  </si>
  <si>
    <r>
      <rPr>
        <sz val="9"/>
        <color rgb="FF000000"/>
        <rFont val="Calibri"/>
        <family val="2"/>
      </rPr>
      <t>Manganese Gluconate 11%</t>
    </r>
  </si>
  <si>
    <r>
      <rPr>
        <sz val="9"/>
        <color rgb="FF000000"/>
        <rFont val="Calibri"/>
        <family val="2"/>
      </rPr>
      <t>Passion Flower Extract 10:1</t>
    </r>
  </si>
  <si>
    <r>
      <rPr>
        <sz val="9"/>
        <color rgb="FF000000"/>
        <rFont val="Calibri"/>
        <family val="2"/>
      </rPr>
      <t>white kidney bean extract 10:1</t>
    </r>
  </si>
  <si>
    <r>
      <rPr>
        <sz val="9"/>
        <color rgb="FF000000"/>
        <rFont val="Calibri"/>
        <family val="2"/>
      </rPr>
      <t>Aloe vera 100:1</t>
    </r>
  </si>
  <si>
    <r>
      <rPr>
        <sz val="9"/>
        <color rgb="FF000000"/>
        <rFont val="Calibri"/>
        <family val="2"/>
      </rPr>
      <t>Hydrolyzed Keratin Peptide</t>
    </r>
  </si>
  <si>
    <r>
      <rPr>
        <sz val="9"/>
        <color rgb="FF000000"/>
        <rFont val="Calibri"/>
        <family val="2"/>
      </rPr>
      <t>Shilajit PE 10:1</t>
    </r>
  </si>
  <si>
    <r>
      <rPr>
        <sz val="9"/>
        <color rgb="FF000000"/>
        <rFont val="Calibri"/>
        <family val="2"/>
      </rPr>
      <t>Zinc (as zinc gluconate, 12% Zn, Pb&lt;1ppm)(Powder)</t>
    </r>
  </si>
  <si>
    <r>
      <rPr>
        <sz val="9"/>
        <color rgb="FF000000"/>
        <rFont val="Calibri"/>
        <family val="2"/>
      </rPr>
      <t>Capsaicin</t>
    </r>
  </si>
  <si>
    <r>
      <rPr>
        <sz val="9"/>
        <color rgb="FF000000"/>
        <rFont val="Calibri"/>
        <family val="2"/>
      </rPr>
      <t>Elderberry Extract 10:1</t>
    </r>
  </si>
  <si>
    <r>
      <rPr>
        <sz val="9"/>
        <color rgb="FF000000"/>
        <rFont val="Calibri"/>
        <family val="2"/>
      </rPr>
      <t>Manganese (as Manganese Sulfate Monohydrate)</t>
    </r>
  </si>
  <si>
    <r>
      <rPr>
        <sz val="9"/>
        <color rgb="FF000000"/>
        <rFont val="Calibri"/>
        <family val="2"/>
      </rPr>
      <t>Parsley Powder</t>
    </r>
  </si>
  <si>
    <r>
      <rPr>
        <sz val="9"/>
        <color rgb="FF000000"/>
        <rFont val="Calibri"/>
        <family val="2"/>
      </rPr>
      <t>White Deep Skirt Lid (Apple Green Liner)</t>
    </r>
  </si>
  <si>
    <r>
      <rPr>
        <sz val="9"/>
        <color rgb="FF000000"/>
        <rFont val="Calibri"/>
        <family val="2"/>
      </rPr>
      <t>American Ginseng Root Extract Total Ginsenosides 5% HPLC (100% Dried Root)</t>
    </r>
  </si>
  <si>
    <r>
      <rPr>
        <sz val="9"/>
        <color rgb="FF000000"/>
        <rFont val="Calibri"/>
        <family val="2"/>
      </rPr>
      <t>Hydrolyzed Fish collagen</t>
    </r>
  </si>
  <si>
    <r>
      <rPr>
        <sz val="9"/>
        <color rgb="FF000000"/>
        <rFont val="Calibri"/>
        <family val="2"/>
      </rPr>
      <t>Papaya Leaf Powder</t>
    </r>
  </si>
  <si>
    <r>
      <rPr>
        <sz val="9"/>
        <color rgb="FF000000"/>
        <rFont val="Calibri"/>
        <family val="2"/>
      </rPr>
      <t>Shilajit P.E. Powder 40% Fulvic Acid</t>
    </r>
  </si>
  <si>
    <r>
      <rPr>
        <sz val="9"/>
        <color rgb="FF000000"/>
        <rFont val="Calibri"/>
        <family val="2"/>
      </rPr>
      <t>Zinc (as zinc gluconate, 12% Zn)(Granular)</t>
    </r>
  </si>
  <si>
    <r>
      <rPr>
        <sz val="9"/>
        <color rgb="FF000000"/>
        <rFont val="Calibri"/>
        <family val="2"/>
      </rPr>
      <t>CAPE ALOE POWDER</t>
    </r>
  </si>
  <si>
    <r>
      <rPr>
        <sz val="9"/>
        <color rgb="FF000000"/>
        <rFont val="Calibri"/>
        <family val="2"/>
      </rPr>
      <t>EUCOMMIA ULMOIDES EXTRACT (LEAF) 98% CHOLOGENIC ACID</t>
    </r>
  </si>
  <si>
    <r>
      <rPr>
        <sz val="9"/>
        <color rgb="FF000000"/>
        <rFont val="Calibri"/>
        <family val="2"/>
      </rPr>
      <t>Octopamine HCL 98%</t>
    </r>
  </si>
  <si>
    <r>
      <rPr>
        <sz val="9"/>
        <color rgb="FF000000"/>
        <rFont val="Calibri"/>
        <family val="2"/>
      </rPr>
      <t>White Button Mushroom (whole mushroom)</t>
    </r>
  </si>
  <si>
    <r>
      <rPr>
        <sz val="9"/>
        <color rgb="FF000000"/>
        <rFont val="Calibri"/>
        <family val="2"/>
      </rPr>
      <t>American Ginseng Extract Total Ginsenosides 3% HPLC (Root)</t>
    </r>
  </si>
  <si>
    <r>
      <rPr>
        <sz val="9"/>
        <color rgb="FF000000"/>
        <rFont val="Calibri"/>
        <family val="2"/>
      </rPr>
      <t>Hydrolyzed Chicken Collagen Peptide Type II</t>
    </r>
  </si>
  <si>
    <r>
      <rPr>
        <sz val="9"/>
        <color rgb="FF000000"/>
        <rFont val="Calibri"/>
        <family val="2"/>
      </rPr>
      <t>Papaya Fruit PE 20:1(contain maltodextrin and silica)(fruit)</t>
    </r>
  </si>
  <si>
    <r>
      <rPr>
        <sz val="9"/>
        <color rgb="FF000000"/>
        <rFont val="Calibri"/>
        <family val="2"/>
      </rPr>
      <t>Siberian Ginseng Powder (Eleuthero Root Powder)</t>
    </r>
  </si>
  <si>
    <r>
      <rPr>
        <sz val="9"/>
        <color rgb="FF000000"/>
        <rFont val="Calibri"/>
        <family val="2"/>
      </rPr>
      <t>Zinc (as Zinc Citrate, 32% Zn)(Granular)</t>
    </r>
  </si>
  <si>
    <r>
      <rPr>
        <sz val="9"/>
        <color rgb="FF000000"/>
        <rFont val="Calibri"/>
        <family val="2"/>
      </rPr>
      <t>Carrot Extract 4:1 TLC</t>
    </r>
  </si>
  <si>
    <r>
      <rPr>
        <sz val="9"/>
        <color rgb="FF000000"/>
        <rFont val="Calibri"/>
        <family val="2"/>
      </rPr>
      <t>Eribotyra Japonica extract 10:1</t>
    </r>
  </si>
  <si>
    <r>
      <rPr>
        <sz val="9"/>
        <color rgb="FF000000"/>
        <rFont val="Calibri"/>
        <family val="2"/>
      </rPr>
      <t>Oat Straw Powder</t>
    </r>
  </si>
  <si>
    <r>
      <rPr>
        <sz val="9"/>
        <color rgb="FF000000"/>
        <rFont val="Calibri"/>
        <family val="2"/>
      </rPr>
      <t>Whey Protein Isolate 90%</t>
    </r>
  </si>
  <si>
    <r>
      <rPr>
        <sz val="9"/>
        <color rgb="FF000000"/>
        <rFont val="Calibri"/>
        <family val="2"/>
      </rPr>
      <t>American Ginseng 4:1</t>
    </r>
  </si>
  <si>
    <r>
      <rPr>
        <sz val="9"/>
        <color rgb="FF000000"/>
        <rFont val="Calibri"/>
        <family val="2"/>
      </rPr>
      <t>L-Tyrosine (Vegan)</t>
    </r>
  </si>
  <si>
    <r>
      <rPr>
        <sz val="9"/>
        <color rgb="FF000000"/>
        <rFont val="Calibri"/>
        <family val="2"/>
      </rPr>
      <t>Pea protein Isolate 80%</t>
    </r>
  </si>
  <si>
    <r>
      <rPr>
        <sz val="9"/>
        <color rgb="FF000000"/>
        <rFont val="Calibri"/>
        <family val="2"/>
      </rPr>
      <t>Siberian Ginseng Extract (Eleuthero) 4:1 TLC</t>
    </r>
  </si>
  <si>
    <r>
      <rPr>
        <sz val="9"/>
        <color rgb="FF000000"/>
        <rFont val="Calibri"/>
        <family val="2"/>
      </rPr>
      <t>Zinc (as Zinc Citrate Dihydrate 80 mesh, Pb&lt;5ppm)</t>
    </r>
  </si>
  <si>
    <r>
      <rPr>
        <sz val="9"/>
        <color rgb="FF000000"/>
        <rFont val="Calibri"/>
        <family val="2"/>
      </rPr>
      <t>Cardamom Seed Extract 4:1</t>
    </r>
  </si>
  <si>
    <r>
      <rPr>
        <sz val="9"/>
        <color rgb="FF000000"/>
        <rFont val="Calibri"/>
        <family val="2"/>
      </rPr>
      <t>Epimedium Extract Icariin 20% HPLC</t>
    </r>
  </si>
  <si>
    <r>
      <rPr>
        <sz val="9"/>
        <color rgb="FF000000"/>
        <rFont val="Calibri"/>
        <family val="2"/>
      </rPr>
      <t>Oat Straw 5:1 (AVENA SATIVA)</t>
    </r>
  </si>
  <si>
    <r>
      <rPr>
        <sz val="9"/>
        <color rgb="FF000000"/>
        <rFont val="Calibri"/>
        <family val="2"/>
      </rPr>
      <t>White Tea Extract</t>
    </r>
  </si>
  <si>
    <r>
      <rPr>
        <sz val="9"/>
        <color rgb="FF000000"/>
        <rFont val="Calibri"/>
        <family val="2"/>
      </rPr>
      <t>Alpinia Galanga Extract 4:1 TLC</t>
    </r>
  </si>
  <si>
    <r>
      <rPr>
        <sz val="9"/>
        <color rgb="FF000000"/>
        <rFont val="Calibri"/>
        <family val="2"/>
      </rPr>
      <t>L-Tryptophan powder USP (100% pass 80 MESH) (FINE POWDER)</t>
    </r>
  </si>
  <si>
    <r>
      <rPr>
        <sz val="9"/>
        <color rgb="FF000000"/>
        <rFont val="Calibri"/>
        <family val="2"/>
      </rPr>
      <t>Passionfruit Extract 4:1 (Passiflora Incarnata)</t>
    </r>
  </si>
  <si>
    <r>
      <rPr>
        <sz val="9"/>
        <color rgb="FF000000"/>
        <rFont val="Calibri"/>
        <family val="2"/>
      </rPr>
      <t>Shitake Mushroom Powder</t>
    </r>
  </si>
  <si>
    <r>
      <rPr>
        <sz val="9"/>
        <color rgb="FF000000"/>
        <rFont val="Calibri"/>
        <family val="2"/>
      </rPr>
      <t>Zinc Orotate 15%</t>
    </r>
  </si>
  <si>
    <r>
      <rPr>
        <sz val="9"/>
        <color rgb="FF000000"/>
        <rFont val="Calibri"/>
        <family val="2"/>
      </rPr>
      <t>Carbomer 940 Easygel DO</t>
    </r>
  </si>
  <si>
    <r>
      <rPr>
        <sz val="9"/>
        <color rgb="FF000000"/>
        <rFont val="Calibri"/>
        <family val="2"/>
      </rPr>
      <t>Epicatechin 90%</t>
    </r>
  </si>
  <si>
    <r>
      <rPr>
        <sz val="9"/>
        <color rgb="FF000000"/>
        <rFont val="Calibri"/>
        <family val="2"/>
      </rPr>
      <t>Oat Milk Powder</t>
    </r>
  </si>
  <si>
    <r>
      <rPr>
        <sz val="9"/>
        <color rgb="FF000000"/>
        <rFont val="Calibri"/>
        <family val="2"/>
      </rPr>
      <t>White Peony Extract 10:1 TLC</t>
    </r>
  </si>
  <si>
    <r>
      <rPr>
        <sz val="9"/>
        <color rgb="FF000000"/>
        <rFont val="Calibri"/>
        <family val="2"/>
      </rPr>
      <t>Amylase 5000 DU/g</t>
    </r>
  </si>
  <si>
    <r>
      <rPr>
        <sz val="9"/>
        <color rgb="FF000000"/>
        <rFont val="Calibri"/>
        <family val="2"/>
      </rPr>
      <t>L-Tryptophan</t>
    </r>
  </si>
  <si>
    <r>
      <rPr>
        <sz val="9"/>
        <color rgb="FF000000"/>
        <rFont val="Calibri"/>
        <family val="2"/>
      </rPr>
      <t>Passion Fruit Powder</t>
    </r>
  </si>
  <si>
    <r>
      <rPr>
        <sz val="9"/>
        <color rgb="FF000000"/>
        <rFont val="Calibri"/>
        <family val="2"/>
      </rPr>
      <t>Shitake Mushroom Extract 20% Polysaccharides</t>
    </r>
  </si>
  <si>
    <r>
      <rPr>
        <sz val="9"/>
        <color rgb="FF000000"/>
        <rFont val="Calibri"/>
        <family val="2"/>
      </rPr>
      <t>Zinc L-Carnosine</t>
    </r>
  </si>
  <si>
    <r>
      <rPr>
        <sz val="9"/>
        <color rgb="FF000000"/>
        <rFont val="Calibri"/>
        <family val="2"/>
      </rPr>
      <t>Caralluma Fimbriata 20:1</t>
    </r>
  </si>
  <si>
    <r>
      <rPr>
        <sz val="9"/>
        <color rgb="FF000000"/>
        <rFont val="Calibri"/>
        <family val="2"/>
      </rPr>
      <t>Graviola Fruit Extract 4:1 TLC</t>
    </r>
  </si>
  <si>
    <r>
      <rPr>
        <sz val="9"/>
        <color rgb="FF000000"/>
        <rFont val="Calibri"/>
        <family val="2"/>
      </rPr>
      <t>Olive Leaf Extract 10:1 TLC</t>
    </r>
  </si>
  <si>
    <r>
      <rPr>
        <sz val="9"/>
        <color rgb="FF000000"/>
        <rFont val="Calibri"/>
        <family val="2"/>
      </rPr>
      <t>White Onion Bulb Powder</t>
    </r>
  </si>
  <si>
    <r>
      <rPr>
        <sz val="9"/>
        <color rgb="FF000000"/>
        <rFont val="Calibri"/>
        <family val="2"/>
      </rPr>
      <t>AMUR CORK-TREE BARK PWD (PHELLODENDRON AMURENSE)</t>
    </r>
  </si>
  <si>
    <r>
      <rPr>
        <sz val="9"/>
        <color rgb="FF000000"/>
        <rFont val="Calibri"/>
        <family val="2"/>
      </rPr>
      <t>Gravel Root Powder</t>
    </r>
  </si>
  <si>
    <r>
      <rPr>
        <sz val="9"/>
        <color rgb="FF000000"/>
        <rFont val="Calibri"/>
        <family val="2"/>
      </rPr>
      <t>L-Theanine (Granular)</t>
    </r>
  </si>
  <si>
    <r>
      <rPr>
        <sz val="9"/>
        <color rgb="FF000000"/>
        <rFont val="Calibri"/>
        <family val="2"/>
      </rPr>
      <t>Passion Flower Powder</t>
    </r>
  </si>
  <si>
    <r>
      <rPr>
        <sz val="9"/>
        <color rgb="FF000000"/>
        <rFont val="Calibri"/>
        <family val="2"/>
      </rPr>
      <t>Slippery Elm Bark PE 4:1</t>
    </r>
  </si>
  <si>
    <r>
      <rPr>
        <sz val="9"/>
        <color rgb="FF000000"/>
        <rFont val="Calibri"/>
        <family val="2"/>
      </rPr>
      <t>Zinc Chelate (Zn 20%)</t>
    </r>
  </si>
  <si>
    <r>
      <rPr>
        <sz val="9"/>
        <color rgb="FF000000"/>
        <rFont val="Calibri"/>
        <family val="2"/>
      </rPr>
      <t>Cordyceps Extract Powder (7%)</t>
    </r>
  </si>
  <si>
    <r>
      <rPr>
        <sz val="9"/>
        <color rgb="FF000000"/>
        <rFont val="Calibri"/>
        <family val="2"/>
      </rPr>
      <t>Olive Leaf Extract (std. min. 20% Oleuropein)</t>
    </r>
  </si>
  <si>
    <r>
      <rPr>
        <sz val="9"/>
        <color rgb="FF000000"/>
        <rFont val="Calibri"/>
        <family val="2"/>
      </rPr>
      <t>White Mulberry Leaf Extract 5:1 TLC</t>
    </r>
  </si>
  <si>
    <r>
      <rPr>
        <sz val="9"/>
        <color rgb="FF000000"/>
        <rFont val="Calibri"/>
        <family val="2"/>
      </rPr>
      <t>Amla Powder</t>
    </r>
  </si>
  <si>
    <r>
      <rPr>
        <sz val="9"/>
        <color rgb="FF000000"/>
        <rFont val="Calibri"/>
        <family val="2"/>
      </rPr>
      <t>Grapefruit Seed Extract 5:1</t>
    </r>
  </si>
  <si>
    <r>
      <rPr>
        <sz val="9"/>
        <color rgb="FF000000"/>
        <rFont val="Calibri"/>
        <family val="2"/>
      </rPr>
      <t>Lactoferrin 90%</t>
    </r>
  </si>
  <si>
    <r>
      <rPr>
        <sz val="9"/>
        <color rgb="FF000000"/>
        <rFont val="Calibri"/>
        <family val="2"/>
      </rPr>
      <t>Peppermint Oil 50%</t>
    </r>
  </si>
  <si>
    <r>
      <rPr>
        <sz val="9"/>
        <color rgb="FF000000"/>
        <rFont val="Calibri"/>
        <family val="2"/>
      </rPr>
      <t>Skullcap Extract Baicalin 30% HPLC (Scutellaria Baicalensis)</t>
    </r>
  </si>
  <si>
    <r>
      <rPr>
        <sz val="9"/>
        <color rgb="FF000000"/>
        <rFont val="Calibri"/>
        <family val="2"/>
      </rPr>
      <t>Zinc Aspartate</t>
    </r>
  </si>
  <si>
    <r>
      <rPr>
        <sz val="9"/>
        <color rgb="FF000000"/>
        <rFont val="Calibri"/>
        <family val="2"/>
      </rPr>
      <t>Cordyalis Extract 4:1</t>
    </r>
  </si>
  <si>
    <r>
      <rPr>
        <sz val="9"/>
        <color rgb="FF000000"/>
        <rFont val="Calibri"/>
        <family val="2"/>
      </rPr>
      <t>Olive Leaf Extract (Olea europaea, 75% Oleanolic Acid)</t>
    </r>
  </si>
  <si>
    <r>
      <rPr>
        <sz val="9"/>
        <color rgb="FF000000"/>
        <rFont val="Calibri"/>
        <family val="2"/>
      </rPr>
      <t>Wild Mexican Yam Powder</t>
    </r>
  </si>
  <si>
    <r>
      <rPr>
        <sz val="9"/>
        <color rgb="FF000000"/>
        <rFont val="Calibri"/>
        <family val="2"/>
      </rPr>
      <t>Amla (Emblica officinalis) Fruit 5:1 PE</t>
    </r>
  </si>
  <si>
    <r>
      <rPr>
        <sz val="9"/>
        <color rgb="FF000000"/>
        <rFont val="Calibri"/>
        <family val="2"/>
      </rPr>
      <t>Grapefruit Bioflavonoid Extract 20% HPLC</t>
    </r>
  </si>
  <si>
    <r>
      <rPr>
        <sz val="9"/>
        <color rgb="FF000000"/>
        <rFont val="Calibri"/>
        <family val="2"/>
      </rPr>
      <t>Lactobacillus Acidophilus 300B CFU/g</t>
    </r>
  </si>
  <si>
    <r>
      <rPr>
        <sz val="9"/>
        <color rgb="FF000000"/>
        <rFont val="Calibri"/>
        <family val="2"/>
      </rPr>
      <t>Peppermint Leaf Extract 10:1</t>
    </r>
  </si>
  <si>
    <r>
      <rPr>
        <sz val="9"/>
        <color rgb="FF000000"/>
        <rFont val="Calibri"/>
        <family val="2"/>
      </rPr>
      <t>Silver Birch Bark Powder</t>
    </r>
  </si>
  <si>
    <r>
      <rPr>
        <sz val="9"/>
        <color rgb="FF000000"/>
        <rFont val="Calibri"/>
        <family val="2"/>
      </rPr>
      <t>Colostrum (40% IgG)</t>
    </r>
  </si>
  <si>
    <r>
      <rPr>
        <sz val="9"/>
        <color rgb="FF000000"/>
        <rFont val="Calibri"/>
        <family val="2"/>
      </rPr>
      <t>OLDENLANDIA (OLDENLANDIA DIFFUSA) HERB POWDER</t>
    </r>
  </si>
  <si>
    <r>
      <rPr>
        <sz val="9"/>
        <color rgb="FF000000"/>
        <rFont val="Calibri"/>
        <family val="2"/>
      </rPr>
      <t>Wild Jujube Extract 10:1 TLC</t>
    </r>
  </si>
  <si>
    <r>
      <rPr>
        <sz val="9"/>
        <color rgb="FF000000"/>
        <rFont val="Calibri"/>
        <family val="2"/>
      </rPr>
      <t>Black Radish (Raphanus sativus var, Niger) Root Pwd</t>
    </r>
  </si>
  <si>
    <r>
      <rPr>
        <sz val="9"/>
        <color rgb="FF000000"/>
        <rFont val="Calibri"/>
        <family val="2"/>
      </rPr>
      <t>Green Lipped Mussels Powder</t>
    </r>
  </si>
  <si>
    <r>
      <rPr>
        <sz val="9"/>
        <color rgb="FF000000"/>
        <rFont val="Calibri"/>
        <family val="2"/>
      </rPr>
      <t>LACTASE (WT) 5000 ALU/G</t>
    </r>
  </si>
  <si>
    <r>
      <rPr>
        <sz val="9"/>
        <color rgb="FF000000"/>
        <rFont val="Calibri"/>
        <family val="2"/>
      </rPr>
      <t>Pear Powder</t>
    </r>
  </si>
  <si>
    <r>
      <rPr>
        <sz val="9"/>
        <color rgb="FF000000"/>
        <rFont val="Calibri"/>
        <family val="2"/>
      </rPr>
      <t>Silicon Dioxide</t>
    </r>
  </si>
  <si>
    <r>
      <rPr>
        <sz val="9"/>
        <color rgb="FF000000"/>
        <rFont val="Calibri"/>
        <family val="2"/>
      </rPr>
      <t>Coleus Forskolii(Std. Extract)(min. 10% forskolin)(root)</t>
    </r>
  </si>
  <si>
    <r>
      <rPr>
        <sz val="9"/>
        <color rgb="FF000000"/>
        <rFont val="Calibri"/>
        <family val="2"/>
      </rPr>
      <t>Oregano leaf extract (55% carvacrol)</t>
    </r>
  </si>
  <si>
    <r>
      <rPr>
        <sz val="9"/>
        <color rgb="FF000000"/>
        <rFont val="Calibri"/>
        <family val="2"/>
      </rPr>
      <t>White Willow Bark Extract Salicin 5% HPLC</t>
    </r>
  </si>
  <si>
    <r>
      <rPr>
        <sz val="9"/>
        <color rgb="FF000000"/>
        <rFont val="Calibri"/>
        <family val="2"/>
      </rPr>
      <t>Black Pepper Fruit Extract std. min. 95% Piperine</t>
    </r>
  </si>
  <si>
    <r>
      <rPr>
        <sz val="9"/>
        <color rgb="FF000000"/>
        <rFont val="Calibri"/>
        <family val="2"/>
      </rPr>
      <t>Green Coffee Bean Powder (Arabica)</t>
    </r>
  </si>
  <si>
    <r>
      <rPr>
        <sz val="9"/>
        <color rgb="FF000000"/>
        <rFont val="Calibri"/>
        <family val="2"/>
      </rPr>
      <t>L-Valine</t>
    </r>
  </si>
  <si>
    <r>
      <rPr>
        <sz val="9"/>
        <color rgb="FF000000"/>
        <rFont val="Calibri"/>
        <family val="2"/>
      </rPr>
      <t>PEA-Palmitoylethanolamide 99%(Ultra-Micronized)</t>
    </r>
  </si>
  <si>
    <r>
      <rPr>
        <sz val="9"/>
        <color rgb="FF000000"/>
        <rFont val="Calibri"/>
        <family val="2"/>
      </rPr>
      <t>Sodium bicarbonate</t>
    </r>
  </si>
  <si>
    <r>
      <rPr>
        <sz val="9"/>
        <color rgb="FF000000"/>
        <rFont val="Calibri"/>
        <family val="2"/>
      </rPr>
      <t>Zucchini Powder</t>
    </r>
  </si>
  <si>
    <r>
      <rPr>
        <sz val="9"/>
        <color rgb="FF000000"/>
        <rFont val="Calibri"/>
        <family val="2"/>
      </rPr>
      <t>Crampbark fruit</t>
    </r>
  </si>
  <si>
    <r>
      <rPr>
        <sz val="9"/>
        <color rgb="FF000000"/>
        <rFont val="Calibri"/>
        <family val="2"/>
      </rPr>
      <t>Oolong tea extract 4:1</t>
    </r>
  </si>
  <si>
    <r>
      <rPr>
        <sz val="9"/>
        <color rgb="FF000000"/>
        <rFont val="Calibri"/>
        <family val="2"/>
      </rPr>
      <t>White Tea powder</t>
    </r>
  </si>
  <si>
    <r>
      <rPr>
        <sz val="9"/>
        <color rgb="FF000000"/>
        <rFont val="Calibri"/>
        <family val="2"/>
      </rPr>
      <t>Black Mulberry 10:1</t>
    </r>
  </si>
  <si>
    <r>
      <rPr>
        <sz val="9"/>
        <color rgb="FF000000"/>
        <rFont val="Calibri"/>
        <family val="2"/>
      </rPr>
      <t>Green Coffee Bean Extract Powder (NLT 50% Chlorogenic Acid) Robusta</t>
    </r>
  </si>
  <si>
    <r>
      <rPr>
        <sz val="9"/>
        <color rgb="FF000000"/>
        <rFont val="Calibri"/>
        <family val="2"/>
      </rPr>
      <t>Lemon Balm Grass Powder (Lemon Balm Leaf Powder)</t>
    </r>
  </si>
  <si>
    <r>
      <rPr>
        <sz val="9"/>
        <color rgb="FF000000"/>
        <rFont val="Calibri"/>
        <family val="2"/>
      </rPr>
      <t>Phellodendron Amurense Powder</t>
    </r>
  </si>
  <si>
    <r>
      <rPr>
        <sz val="9"/>
        <color rgb="FF000000"/>
        <rFont val="Calibri"/>
        <family val="2"/>
      </rPr>
      <t>Sodium Benzoate Powder</t>
    </r>
  </si>
  <si>
    <r>
      <rPr>
        <sz val="9"/>
        <color rgb="FF000000"/>
        <rFont val="Calibri"/>
        <family val="2"/>
      </rPr>
      <t>Zinc Sulfate Monohydrate</t>
    </r>
  </si>
  <si>
    <r>
      <rPr>
        <sz val="9"/>
        <color rgb="FF000000"/>
        <rFont val="Calibri"/>
        <family val="2"/>
      </rPr>
      <t>Corydalis Powder (Corydalis Yanhuosup)</t>
    </r>
  </si>
  <si>
    <r>
      <rPr>
        <sz val="9"/>
        <color rgb="FF000000"/>
        <rFont val="Calibri"/>
        <family val="2"/>
      </rPr>
      <t>Onion Extract 10:1 TLC</t>
    </r>
  </si>
  <si>
    <r>
      <rPr>
        <sz val="9"/>
        <color rgb="FF000000"/>
        <rFont val="Calibri"/>
        <family val="2"/>
      </rPr>
      <t>Sodium Ascorbyl Phosphate</t>
    </r>
  </si>
  <si>
    <r>
      <rPr>
        <sz val="9"/>
        <color rgb="FF000000"/>
        <rFont val="Calibri"/>
        <family val="2"/>
      </rPr>
      <t>Wintergreen fruit extract 10:1</t>
    </r>
  </si>
  <si>
    <r>
      <rPr>
        <sz val="9"/>
        <color rgb="FF000000"/>
        <rFont val="Calibri"/>
        <family val="2"/>
      </rPr>
      <t>Black Elderberry extract 65:1 3% Anthocyanidins</t>
    </r>
  </si>
  <si>
    <r>
      <rPr>
        <sz val="9"/>
        <color rgb="FF000000"/>
        <rFont val="Calibri"/>
        <family val="2"/>
      </rPr>
      <t>Green Coffee Bean Extract Chlorogenic Acids 5% HPLC (4:1)</t>
    </r>
  </si>
  <si>
    <r>
      <rPr>
        <sz val="9"/>
        <color rgb="FF000000"/>
        <rFont val="Calibri"/>
        <family val="2"/>
      </rPr>
      <t>Lemon Balm Extract 4:1</t>
    </r>
  </si>
  <si>
    <r>
      <rPr>
        <sz val="9"/>
        <color rgb="FF000000"/>
        <rFont val="Calibri"/>
        <family val="2"/>
      </rPr>
      <t>Periwinkle Extract 4:1 TLC</t>
    </r>
  </si>
  <si>
    <r>
      <rPr>
        <sz val="9"/>
        <color rgb="FF000000"/>
        <rFont val="Calibri"/>
        <family val="2"/>
      </rPr>
      <t>Corydalis Extract 10:1</t>
    </r>
  </si>
  <si>
    <r>
      <rPr>
        <sz val="9"/>
        <color rgb="FF000000"/>
        <rFont val="Calibri"/>
        <family val="2"/>
      </rPr>
      <t>Olive Leaf Extract 5:1</t>
    </r>
  </si>
  <si>
    <r>
      <rPr>
        <sz val="9"/>
        <color rgb="FF000000"/>
        <rFont val="Calibri"/>
        <family val="2"/>
      </rPr>
      <t>Sodium Alginate</t>
    </r>
  </si>
  <si>
    <r>
      <rPr>
        <sz val="9"/>
        <color rgb="FF000000"/>
        <rFont val="Calibri"/>
        <family val="2"/>
      </rPr>
      <t>Wild Yam Extract 4:1</t>
    </r>
  </si>
  <si>
    <r>
      <rPr>
        <sz val="9"/>
        <color rgb="FF000000"/>
        <rFont val="Calibri"/>
        <family val="2"/>
      </rPr>
      <t>Black Walnut Hull Powder (Juglans regia)</t>
    </r>
  </si>
  <si>
    <r>
      <rPr>
        <sz val="9"/>
        <color rgb="FF000000"/>
        <rFont val="Calibri"/>
        <family val="2"/>
      </rPr>
      <t>Green Tea Extract (min.30% EGCG, min. 90% Polyphenols NLT 7% caffeine)</t>
    </r>
  </si>
  <si>
    <r>
      <rPr>
        <sz val="9"/>
        <color rgb="FF000000"/>
        <rFont val="Calibri"/>
        <family val="2"/>
      </rPr>
      <t>Lavender flower powder</t>
    </r>
  </si>
  <si>
    <r>
      <rPr>
        <sz val="9"/>
        <color rgb="FF000000"/>
        <rFont val="Calibri"/>
        <family val="2"/>
      </rPr>
      <t>Perilla Seed Extract 10:1</t>
    </r>
  </si>
  <si>
    <r>
      <rPr>
        <sz val="9"/>
        <color rgb="FF000000"/>
        <rFont val="Calibri"/>
        <family val="2"/>
      </rPr>
      <t>Cordyceps Mushroom Powder</t>
    </r>
  </si>
  <si>
    <r>
      <rPr>
        <sz val="9"/>
        <color rgb="FF000000"/>
        <rFont val="Calibri"/>
        <family val="2"/>
      </rPr>
      <t>Organic Acai Juice extract 5:1</t>
    </r>
  </si>
  <si>
    <r>
      <rPr>
        <sz val="9"/>
        <color rgb="FF000000"/>
        <rFont val="Calibri"/>
        <family val="2"/>
      </rPr>
      <t>Sodium Selenate Trituration 1%</t>
    </r>
  </si>
  <si>
    <r>
      <rPr>
        <sz val="9"/>
        <color rgb="FF000000"/>
        <rFont val="Calibri"/>
        <family val="2"/>
      </rPr>
      <t>Wild Yam Extract 16% Diosgenin HPLC</t>
    </r>
  </si>
  <si>
    <r>
      <rPr>
        <sz val="9"/>
        <color rgb="FF000000"/>
        <rFont val="Calibri"/>
        <family val="2"/>
      </rPr>
      <t>Black Tea Powder</t>
    </r>
  </si>
  <si>
    <r>
      <rPr>
        <sz val="9"/>
        <color rgb="FF000000"/>
        <rFont val="Calibri"/>
        <family val="2"/>
      </rPr>
      <t>Green Tea Extract (min.15% EGCG, min. 50% Polyphenols)(leaf)</t>
    </r>
  </si>
  <si>
    <r>
      <rPr>
        <sz val="9"/>
        <color rgb="FF000000"/>
        <rFont val="Calibri"/>
        <family val="2"/>
      </rPr>
      <t>Larch tree 4:1</t>
    </r>
  </si>
  <si>
    <r>
      <rPr>
        <sz val="9"/>
        <color rgb="FF000000"/>
        <rFont val="Calibri"/>
        <family val="2"/>
      </rPr>
      <t>Pepsin 1:3000</t>
    </r>
  </si>
  <si>
    <r>
      <rPr>
        <sz val="9"/>
        <color rgb="FF000000"/>
        <rFont val="Calibri"/>
        <family val="2"/>
      </rPr>
      <t>Creatine AKG (2:1)</t>
    </r>
  </si>
  <si>
    <r>
      <rPr>
        <sz val="9"/>
        <color rgb="FF000000"/>
        <rFont val="Calibri"/>
        <family val="2"/>
      </rPr>
      <t>Organic Acai Berry Juice Powder</t>
    </r>
  </si>
  <si>
    <r>
      <rPr>
        <sz val="9"/>
        <color rgb="FF000000"/>
        <rFont val="Calibri"/>
        <family val="2"/>
      </rPr>
      <t>Sodium Hyaluronate</t>
    </r>
  </si>
  <si>
    <r>
      <rPr>
        <sz val="9"/>
        <color rgb="FF000000"/>
        <rFont val="Calibri"/>
        <family val="2"/>
      </rPr>
      <t>Wild Yam Extract 10% Diosgenin HPLC</t>
    </r>
  </si>
  <si>
    <r>
      <rPr>
        <sz val="9"/>
        <color rgb="FF000000"/>
        <rFont val="Calibri"/>
        <family val="2"/>
      </rPr>
      <t>Black tea extract 25% polyphenols</t>
    </r>
  </si>
  <si>
    <r>
      <rPr>
        <sz val="9"/>
        <color rgb="FF000000"/>
        <rFont val="Calibri"/>
        <family val="2"/>
      </rPr>
      <t>Green Tea Extract (Camellia sinensis ) 98%</t>
    </r>
  </si>
  <si>
    <r>
      <rPr>
        <sz val="9"/>
        <color rgb="FF000000"/>
        <rFont val="Calibri"/>
        <family val="2"/>
      </rPr>
      <t>Lime Juice Powder</t>
    </r>
  </si>
  <si>
    <r>
      <rPr>
        <sz val="9"/>
        <color rgb="FF000000"/>
        <rFont val="Calibri"/>
        <family val="2"/>
      </rPr>
      <t>Phosphatidylserine 50% Granule (Non-GMO Soybeans)</t>
    </r>
  </si>
  <si>
    <r>
      <rPr>
        <sz val="9"/>
        <color rgb="FF000000"/>
        <rFont val="Calibri"/>
        <family val="2"/>
      </rPr>
      <t>Cranberry Fruit Powder</t>
    </r>
  </si>
  <si>
    <r>
      <rPr>
        <sz val="9"/>
        <color rgb="FF000000"/>
        <rFont val="Calibri"/>
        <family val="2"/>
      </rPr>
      <t>Licorice Root Powder</t>
    </r>
  </si>
  <si>
    <r>
      <rPr>
        <sz val="9"/>
        <color rgb="FF000000"/>
        <rFont val="Calibri"/>
        <family val="2"/>
      </rPr>
      <t>Oregon Grape Root Powder</t>
    </r>
  </si>
  <si>
    <r>
      <rPr>
        <sz val="9"/>
        <color rgb="FF000000"/>
        <rFont val="Calibri"/>
        <family val="2"/>
      </rPr>
      <t>Sodium Copper Chlorophyllin Powder (from Mulberry Leaf, 100% natural)</t>
    </r>
  </si>
  <si>
    <r>
      <rPr>
        <sz val="9"/>
        <color rgb="FF000000"/>
        <rFont val="Calibri"/>
        <family val="2"/>
      </rPr>
      <t>Xanthan Gum 200 mesh</t>
    </r>
  </si>
  <si>
    <r>
      <rPr>
        <sz val="9"/>
        <color rgb="FF000000"/>
        <rFont val="Calibri"/>
        <family val="2"/>
      </rPr>
      <t>BLACK RADISH(RAPHANUS SATIVUS NIGER)(Seed) 10:1</t>
    </r>
  </si>
  <si>
    <r>
      <rPr>
        <sz val="9"/>
        <color rgb="FF000000"/>
        <rFont val="Calibri"/>
        <family val="2"/>
      </rPr>
      <t>Green Tea Extract (20% Caffeine)</t>
    </r>
  </si>
  <si>
    <r>
      <rPr>
        <sz val="9"/>
        <color rgb="FF000000"/>
        <rFont val="Calibri"/>
        <family val="2"/>
      </rPr>
      <t>Phosphatidylserine 20% Powder (Non-GMO Soybeans)</t>
    </r>
  </si>
  <si>
    <r>
      <rPr>
        <sz val="9"/>
        <color rgb="FF000000"/>
        <rFont val="Calibri"/>
        <family val="2"/>
      </rPr>
      <t>Cranberry Extract 4:1</t>
    </r>
  </si>
  <si>
    <r>
      <rPr>
        <sz val="9"/>
        <color rgb="FF000000"/>
        <rFont val="Calibri"/>
        <family val="2"/>
      </rPr>
      <t>Licorice Extract Glycyrrhizin Acid 6% HPLC (22% Gravimeter)</t>
    </r>
  </si>
  <si>
    <r>
      <rPr>
        <sz val="9"/>
        <color rgb="FF000000"/>
        <rFont val="Calibri"/>
        <family val="2"/>
      </rPr>
      <t>Oregano Leaf Extract 4:1 TLC</t>
    </r>
  </si>
  <si>
    <r>
      <rPr>
        <sz val="9"/>
        <color rgb="FF000000"/>
        <rFont val="Calibri"/>
        <family val="2"/>
      </rPr>
      <t>Sodium Citrate dihydrate</t>
    </r>
  </si>
  <si>
    <r>
      <rPr>
        <sz val="9"/>
        <color rgb="FF000000"/>
        <rFont val="Calibri"/>
        <family val="2"/>
      </rPr>
      <t>Wormwood Extract 10:1 TLC</t>
    </r>
  </si>
  <si>
    <r>
      <rPr>
        <sz val="9"/>
        <color rgb="FF000000"/>
        <rFont val="Calibri"/>
        <family val="2"/>
      </rPr>
      <t>Blood orange extract 10:1</t>
    </r>
  </si>
  <si>
    <r>
      <rPr>
        <sz val="9"/>
        <color rgb="FF000000"/>
        <rFont val="Calibri"/>
        <family val="2"/>
      </rPr>
      <t>Green Tea Extract 70% L-Theanine</t>
    </r>
  </si>
  <si>
    <r>
      <rPr>
        <sz val="9"/>
        <color rgb="FF000000"/>
        <rFont val="Calibri"/>
        <family val="2"/>
      </rPr>
      <t>Phosphatidylserine 20% granule (Non-GMO Soybeans)</t>
    </r>
  </si>
  <si>
    <r>
      <rPr>
        <sz val="9"/>
        <color rgb="FF000000"/>
        <rFont val="Calibri"/>
        <family val="2"/>
      </rPr>
      <t>Cranberry Extract 10:1</t>
    </r>
  </si>
  <si>
    <r>
      <rPr>
        <sz val="9"/>
        <color rgb="FF000000"/>
        <rFont val="Calibri"/>
        <family val="2"/>
      </rPr>
      <t>Lemon Powder</t>
    </r>
  </si>
  <si>
    <r>
      <rPr>
        <sz val="9"/>
        <color rgb="FF000000"/>
        <rFont val="Calibri"/>
        <family val="2"/>
      </rPr>
      <t>Organic Amla 4:1</t>
    </r>
  </si>
  <si>
    <r>
      <rPr>
        <sz val="9"/>
        <color rgb="FF000000"/>
        <rFont val="Calibri"/>
        <family val="2"/>
      </rPr>
      <t>Sophora Japonica Extract Quercetin Dihydrate (95%) HPLC granular</t>
    </r>
  </si>
  <si>
    <r>
      <rPr>
        <sz val="9"/>
        <color rgb="FF000000"/>
        <rFont val="Calibri"/>
        <family val="2"/>
      </rPr>
      <t>Wolfberry (Lycium barbarum) Fruit 4:1 PE</t>
    </r>
  </si>
  <si>
    <r>
      <rPr>
        <sz val="9"/>
        <color rgb="FF000000"/>
        <rFont val="Calibri"/>
        <family val="2"/>
      </rPr>
      <t>Blessed Thistle Extract 4:1 (Cnicus Benedictus L.) HERB</t>
    </r>
  </si>
  <si>
    <r>
      <rPr>
        <sz val="9"/>
        <color rgb="FF000000"/>
        <rFont val="Calibri"/>
        <family val="2"/>
      </rPr>
      <t>Green Tea Extract 10:1 TLC</t>
    </r>
  </si>
  <si>
    <r>
      <rPr>
        <sz val="9"/>
        <color rgb="FF000000"/>
        <rFont val="Calibri"/>
        <family val="2"/>
      </rPr>
      <t>Phenibut HCl Powder</t>
    </r>
  </si>
  <si>
    <r>
      <rPr>
        <sz val="9"/>
        <color rgb="FF000000"/>
        <rFont val="Calibri"/>
        <family val="2"/>
      </rPr>
      <t>Creatine Monohydrate (80 Mesh)</t>
    </r>
  </si>
  <si>
    <r>
      <rPr>
        <sz val="9"/>
        <color rgb="FF000000"/>
        <rFont val="Calibri"/>
        <family val="2"/>
      </rPr>
      <t>Lithium Orotate 3.8%</t>
    </r>
  </si>
  <si>
    <r>
      <rPr>
        <sz val="9"/>
        <color rgb="FF000000"/>
        <rFont val="Calibri"/>
        <family val="2"/>
      </rPr>
      <t>Organic Amaranth Sprout Powder</t>
    </r>
  </si>
  <si>
    <r>
      <rPr>
        <sz val="9"/>
        <color rgb="FF000000"/>
        <rFont val="Calibri"/>
        <family val="2"/>
      </rPr>
      <t>Sophora Japonica Extract Quercetin Anhydrous (95%) HPLC</t>
    </r>
  </si>
  <si>
    <r>
      <rPr>
        <sz val="9"/>
        <color rgb="FF000000"/>
        <rFont val="Calibri"/>
        <family val="2"/>
      </rPr>
      <t>WIntergreen Leaf Powder</t>
    </r>
  </si>
  <si>
    <r>
      <rPr>
        <sz val="9"/>
        <color rgb="FF000000"/>
        <rFont val="Calibri"/>
        <family val="2"/>
      </rPr>
      <t>BladderWrack Extract 10:1 TLC</t>
    </r>
  </si>
  <si>
    <r>
      <rPr>
        <sz val="9"/>
        <color rgb="FF000000"/>
        <rFont val="Calibri"/>
        <family val="2"/>
      </rPr>
      <t>Green Tea Extract (min.50% EGCG, min. 98% Polyphenols, less 80% Catechins)</t>
    </r>
  </si>
  <si>
    <r>
      <rPr>
        <sz val="9"/>
        <color rgb="FF000000"/>
        <rFont val="Calibri"/>
        <family val="2"/>
      </rPr>
      <t>Picrorhiza (picrohiza kurroa root) 5% kurkin</t>
    </r>
  </si>
  <si>
    <r>
      <rPr>
        <sz val="9"/>
        <color rgb="FF000000"/>
        <rFont val="Calibri"/>
        <family val="2"/>
      </rPr>
      <t>Creatine Monohydrate (200 mesh)</t>
    </r>
  </si>
  <si>
    <r>
      <rPr>
        <sz val="9"/>
        <color rgb="FF000000"/>
        <rFont val="Calibri"/>
        <family val="2"/>
      </rPr>
      <t>Lion's Mane Mushroom Powder</t>
    </r>
  </si>
  <si>
    <r>
      <rPr>
        <sz val="9"/>
        <color rgb="FF000000"/>
        <rFont val="Calibri"/>
        <family val="2"/>
      </rPr>
      <t>ORGANIC ALFALFA POWDER</t>
    </r>
  </si>
  <si>
    <r>
      <rPr>
        <sz val="9"/>
        <color rgb="FF000000"/>
        <rFont val="Calibri"/>
        <family val="2"/>
      </rPr>
      <t>Sophora Japonica Extract</t>
    </r>
  </si>
  <si>
    <r>
      <rPr>
        <sz val="9"/>
        <color rgb="FF000000"/>
        <rFont val="Calibri"/>
        <family val="2"/>
      </rPr>
      <t>Xylitol - Direct Compressible (DC)</t>
    </r>
  </si>
  <si>
    <r>
      <rPr>
        <sz val="9"/>
        <color rgb="FF000000"/>
        <rFont val="Calibri"/>
        <family val="2"/>
      </rPr>
      <t>Blackberry Fruit Extract (Rubus fruticosus) (1% Anthocyanidins)</t>
    </r>
  </si>
  <si>
    <r>
      <rPr>
        <sz val="9"/>
        <color rgb="FF000000"/>
        <rFont val="Calibri"/>
        <family val="2"/>
      </rPr>
      <t>Green Tea Extract (min.45% EGCG, min. 98% Polyphenols, 0.5% Caffeine)</t>
    </r>
  </si>
  <si>
    <r>
      <rPr>
        <sz val="9"/>
        <color rgb="FF000000"/>
        <rFont val="Calibri"/>
        <family val="2"/>
      </rPr>
      <t>Phytosterol Extract Total Sterol 95% with 40% Beta-sitosterol</t>
    </r>
  </si>
  <si>
    <r>
      <rPr>
        <sz val="9"/>
        <color rgb="FF000000"/>
        <rFont val="Calibri"/>
        <family val="2"/>
      </rPr>
      <t>Boldo leaf powder</t>
    </r>
  </si>
  <si>
    <r>
      <rPr>
        <sz val="9"/>
        <color rgb="FF000000"/>
        <rFont val="Calibri"/>
        <family val="2"/>
      </rPr>
      <t>Creatine Gluconate</t>
    </r>
  </si>
  <si>
    <r>
      <rPr>
        <sz val="9"/>
        <color rgb="FF000000"/>
        <rFont val="Calibri"/>
        <family val="2"/>
      </rPr>
      <t>Lion's Mane Mushroom Extract 10:1 TLC</t>
    </r>
  </si>
  <si>
    <r>
      <rPr>
        <sz val="9"/>
        <color rgb="FF000000"/>
        <rFont val="Calibri"/>
        <family val="2"/>
      </rPr>
      <t>Organic Acerola Extract 17% Vitamin C Titration (Brazil)</t>
    </r>
  </si>
  <si>
    <r>
      <rPr>
        <sz val="9"/>
        <color rgb="FF000000"/>
        <rFont val="Calibri"/>
        <family val="2"/>
      </rPr>
      <t>Sodium Tripolyphosphate Granular</t>
    </r>
  </si>
  <si>
    <r>
      <rPr>
        <sz val="9"/>
        <color rgb="FF000000"/>
        <rFont val="Calibri"/>
        <family val="2"/>
      </rPr>
      <t>XOS-95</t>
    </r>
  </si>
  <si>
    <r>
      <rPr>
        <sz val="9"/>
        <color rgb="FF000000"/>
        <rFont val="Calibri"/>
        <family val="2"/>
      </rPr>
      <t>Guarana Extract 9%</t>
    </r>
  </si>
  <si>
    <r>
      <rPr>
        <sz val="9"/>
        <color rgb="FF000000"/>
        <rFont val="Calibri"/>
        <family val="2"/>
      </rPr>
      <t>Phosphatidylserine 70% Powder (Non-GMO Soybeans)</t>
    </r>
  </si>
  <si>
    <r>
      <rPr>
        <sz val="9"/>
        <color rgb="FF000000"/>
        <rFont val="Calibri"/>
        <family val="2"/>
      </rPr>
      <t>Xanthoparmelia Scabrosa Extract 10:1 TLC</t>
    </r>
  </si>
  <si>
    <r>
      <rPr>
        <sz val="9"/>
        <color rgb="FF000000"/>
        <rFont val="Calibri"/>
        <family val="2"/>
      </rPr>
      <t>Blueberry Fruit Powder</t>
    </r>
  </si>
  <si>
    <r>
      <rPr>
        <sz val="9"/>
        <color rgb="FF000000"/>
        <rFont val="Calibri"/>
        <family val="2"/>
      </rPr>
      <t>Creatine Citrate 1:1</t>
    </r>
  </si>
  <si>
    <r>
      <rPr>
        <sz val="9"/>
        <color rgb="FF000000"/>
        <rFont val="Calibri"/>
        <family val="2"/>
      </rPr>
      <t>Lion's Mane Mushroom (Std. min. 30% Polysaccharides) (Mycelium)</t>
    </r>
  </si>
  <si>
    <r>
      <rPr>
        <sz val="9"/>
        <color rgb="FF000000"/>
        <rFont val="Calibri"/>
        <family val="2"/>
      </rPr>
      <t>Organic Astragalus Root Powder</t>
    </r>
  </si>
  <si>
    <r>
      <rPr>
        <sz val="9"/>
        <color rgb="FF000000"/>
        <rFont val="Calibri"/>
        <family val="2"/>
      </rPr>
      <t>Soybean Extract Total Isoflavones 40% HPLC</t>
    </r>
  </si>
  <si>
    <r>
      <rPr>
        <sz val="9"/>
        <color rgb="FF000000"/>
        <rFont val="Calibri"/>
        <family val="2"/>
      </rPr>
      <t>Guar Gum</t>
    </r>
  </si>
  <si>
    <r>
      <rPr>
        <sz val="9"/>
        <color rgb="FF000000"/>
        <rFont val="Calibri"/>
        <family val="2"/>
      </rPr>
      <t>Phosphatidylserine 50% Powder (Sunflower seeds)</t>
    </r>
  </si>
  <si>
    <r>
      <rPr>
        <sz val="9"/>
        <color rgb="FF000000"/>
        <rFont val="Calibri"/>
        <family val="2"/>
      </rPr>
      <t>Xanthan Gum Pre-Hydrated</t>
    </r>
  </si>
  <si>
    <r>
      <rPr>
        <sz val="9"/>
        <color rgb="FF000000"/>
        <rFont val="Calibri"/>
        <family val="2"/>
      </rPr>
      <t>Blueberry Extract Anthocyanidins 25% UV</t>
    </r>
  </si>
  <si>
    <r>
      <rPr>
        <sz val="9"/>
        <color rgb="FF000000"/>
        <rFont val="Calibri"/>
        <family val="2"/>
      </rPr>
      <t>Cyclic Dextrin</t>
    </r>
  </si>
  <si>
    <r>
      <rPr>
        <sz val="9"/>
        <color rgb="FF000000"/>
        <rFont val="Calibri"/>
        <family val="2"/>
      </rPr>
      <t>Low Viscosity Hydroxypropyl methyl cellulose (HPMC)</t>
    </r>
  </si>
  <si>
    <r>
      <rPr>
        <sz val="9"/>
        <color rgb="FF000000"/>
        <rFont val="Calibri"/>
        <family val="2"/>
      </rPr>
      <t>Organic Ashwagandha Root Powder</t>
    </r>
  </si>
  <si>
    <r>
      <rPr>
        <sz val="9"/>
        <color rgb="FF000000"/>
        <rFont val="Calibri"/>
        <family val="2"/>
      </rPr>
      <t>Soy Protein Concentrate 69% protein</t>
    </r>
  </si>
  <si>
    <r>
      <rPr>
        <sz val="9"/>
        <color rgb="FF000000"/>
        <rFont val="Calibri"/>
        <family val="2"/>
      </rPr>
      <t>Green Tea(Camellia Sinensis Ext 50% Catechins 25-30% EGCG, 12-15% Caffeine</t>
    </r>
  </si>
  <si>
    <r>
      <rPr>
        <sz val="9"/>
        <color rgb="FF000000"/>
        <rFont val="Calibri"/>
        <family val="2"/>
      </rPr>
      <t>Pineapple extract 4:1</t>
    </r>
  </si>
  <si>
    <r>
      <rPr>
        <sz val="9"/>
        <color rgb="FF000000"/>
        <rFont val="Calibri"/>
        <family val="2"/>
      </rPr>
      <t>Yellow Dock Root Powder</t>
    </r>
  </si>
  <si>
    <r>
      <rPr>
        <sz val="9"/>
        <color rgb="FF000000"/>
        <rFont val="Calibri"/>
        <family val="2"/>
      </rPr>
      <t>Blueberry Extract 10:1</t>
    </r>
  </si>
  <si>
    <r>
      <rPr>
        <sz val="9"/>
        <color rgb="FF000000"/>
        <rFont val="Calibri"/>
        <family val="2"/>
      </rPr>
      <t>Cuscuta seed extract (Dodder seed) (Cuscutae chinensis) 4:1</t>
    </r>
  </si>
  <si>
    <r>
      <rPr>
        <sz val="9"/>
        <color rgb="FF000000"/>
        <rFont val="Calibri"/>
        <family val="2"/>
      </rPr>
      <t>Lotus Seed Extract</t>
    </r>
  </si>
  <si>
    <r>
      <rPr>
        <sz val="9"/>
        <color rgb="FF000000"/>
        <rFont val="Calibri"/>
        <family val="2"/>
      </rPr>
      <t>Organic aronia berry powder</t>
    </r>
  </si>
  <si>
    <r>
      <rPr>
        <sz val="9"/>
        <color rgb="FF000000"/>
        <rFont val="Calibri"/>
        <family val="2"/>
      </rPr>
      <t>Soy lecithin liquid garner 14</t>
    </r>
  </si>
  <si>
    <r>
      <rPr>
        <sz val="9"/>
        <color rgb="FF000000"/>
        <rFont val="Calibri"/>
        <family val="2"/>
      </rPr>
      <t>Green Tea Extract 98%(EGCG)</t>
    </r>
  </si>
  <si>
    <r>
      <rPr>
        <sz val="9"/>
        <color rgb="FF000000"/>
        <rFont val="Calibri"/>
        <family val="2"/>
      </rPr>
      <t>Pine Bark Extract 4:1</t>
    </r>
  </si>
  <si>
    <r>
      <rPr>
        <sz val="9"/>
        <color rgb="FF000000"/>
        <rFont val="Calibri"/>
        <family val="2"/>
      </rPr>
      <t>Yellow Dock 10:1</t>
    </r>
  </si>
  <si>
    <r>
      <rPr>
        <sz val="9"/>
        <color rgb="FF000000"/>
        <rFont val="Calibri"/>
        <family val="2"/>
      </rPr>
      <t>Broccoli (Sprout) extract (standardize to 2% sulforaphane)</t>
    </r>
  </si>
  <si>
    <r>
      <rPr>
        <sz val="9"/>
        <color rgb="FF000000"/>
        <rFont val="Calibri"/>
        <family val="2"/>
      </rPr>
      <t>Curcuminoids 4:1</t>
    </r>
  </si>
  <si>
    <r>
      <rPr>
        <sz val="9"/>
        <color rgb="FF000000"/>
        <rFont val="Calibri"/>
        <family val="2"/>
      </rPr>
      <t>Loquat Extract 10:1 TLC</t>
    </r>
  </si>
  <si>
    <r>
      <rPr>
        <sz val="9"/>
        <color rgb="FF000000"/>
        <rFont val="Calibri"/>
        <family val="2"/>
      </rPr>
      <t>Organic Apple Cider Vinegar Powder 5% Total acids</t>
    </r>
  </si>
  <si>
    <r>
      <rPr>
        <sz val="9"/>
        <color rgb="FF000000"/>
        <rFont val="Calibri"/>
        <family val="2"/>
      </rPr>
      <t>Soy Isoflavones 5%</t>
    </r>
  </si>
  <si>
    <r>
      <rPr>
        <sz val="9"/>
        <color rgb="FF000000"/>
        <rFont val="Calibri"/>
        <family val="2"/>
      </rPr>
      <t>Guayusa Powder</t>
    </r>
  </si>
  <si>
    <r>
      <rPr>
        <sz val="9"/>
        <color rgb="FF000000"/>
        <rFont val="Calibri"/>
        <family val="2"/>
      </rPr>
      <t>Pine Bark Extract 10:1</t>
    </r>
  </si>
  <si>
    <r>
      <rPr>
        <sz val="9"/>
        <color rgb="FF000000"/>
        <rFont val="Calibri"/>
        <family val="2"/>
      </rPr>
      <t>Yeast Extract</t>
    </r>
  </si>
  <si>
    <r>
      <rPr>
        <sz val="9"/>
        <color rgb="FF000000"/>
        <rFont val="Calibri"/>
        <family val="2"/>
      </rPr>
      <t>Bovine Colostrum Powder 15% IgG</t>
    </r>
  </si>
  <si>
    <r>
      <rPr>
        <sz val="9"/>
        <color rgb="FF000000"/>
        <rFont val="Calibri"/>
        <family val="2"/>
      </rPr>
      <t>Croscarmellose Sodium</t>
    </r>
  </si>
  <si>
    <r>
      <rPr>
        <sz val="9"/>
        <color rgb="FF000000"/>
        <rFont val="Calibri"/>
        <family val="2"/>
      </rPr>
      <t>Longjack Extract (100:1) (Euricoma Longifolia)(root)</t>
    </r>
  </si>
  <si>
    <r>
      <rPr>
        <sz val="9"/>
        <color rgb="FF000000"/>
        <rFont val="Calibri"/>
        <family val="2"/>
      </rPr>
      <t>Organic beet root powder</t>
    </r>
  </si>
  <si>
    <r>
      <rPr>
        <sz val="9"/>
        <color rgb="FF000000"/>
        <rFont val="Calibri"/>
        <family val="2"/>
      </rPr>
      <t>Spine Date Seed Extract</t>
    </r>
  </si>
  <si>
    <r>
      <rPr>
        <sz val="9"/>
        <color rgb="FF000000"/>
        <rFont val="Calibri"/>
        <family val="2"/>
      </rPr>
      <t>Guava Fruit Powder</t>
    </r>
  </si>
  <si>
    <r>
      <rPr>
        <sz val="9"/>
        <color rgb="FF000000"/>
        <rFont val="Calibri"/>
        <family val="2"/>
      </rPr>
      <t>Organic Barley Grass Powder</t>
    </r>
  </si>
  <si>
    <r>
      <rPr>
        <sz val="9"/>
        <color rgb="FF000000"/>
        <rFont val="Calibri"/>
        <family val="2"/>
      </rPr>
      <t>Pine Bark 95% OPC</t>
    </r>
  </si>
  <si>
    <r>
      <rPr>
        <sz val="9"/>
        <color rgb="FF000000"/>
        <rFont val="Calibri"/>
        <family val="2"/>
      </rPr>
      <t>Yarrow Extract 10:1</t>
    </r>
  </si>
  <si>
    <r>
      <rPr>
        <sz val="9"/>
        <color rgb="FF000000"/>
        <rFont val="Calibri"/>
        <family val="2"/>
      </rPr>
      <t>Boswellia Serrata (65% Boswellic Acid)</t>
    </r>
  </si>
  <si>
    <r>
      <rPr>
        <sz val="9"/>
        <color rgb="FF000000"/>
        <rFont val="Calibri"/>
        <family val="2"/>
      </rPr>
      <t>D-Aspartic acid calcium chelate (20% Ca, 80% DAA)</t>
    </r>
  </si>
  <si>
    <r>
      <rPr>
        <sz val="9"/>
        <color rgb="FF000000"/>
        <rFont val="Calibri"/>
        <family val="2"/>
      </rPr>
      <t>Lycopene Beadlets 10%</t>
    </r>
  </si>
  <si>
    <r>
      <rPr>
        <sz val="9"/>
        <color rgb="FF000000"/>
        <rFont val="Calibri"/>
        <family val="2"/>
      </rPr>
      <t>Spinach Extract 4:1 TLC</t>
    </r>
  </si>
  <si>
    <r>
      <rPr>
        <sz val="9"/>
        <color rgb="FF000000"/>
        <rFont val="Calibri"/>
        <family val="2"/>
      </rPr>
      <t>Guarana seed extract (min. 22% caffeine)(seed)</t>
    </r>
  </si>
  <si>
    <r>
      <rPr>
        <sz val="9"/>
        <color rgb="FF000000"/>
        <rFont val="Calibri"/>
        <family val="2"/>
      </rPr>
      <t>Organic Bamboo Silica</t>
    </r>
  </si>
  <si>
    <r>
      <rPr>
        <sz val="9"/>
        <color rgb="FF000000"/>
        <rFont val="Calibri"/>
        <family val="2"/>
      </rPr>
      <t>Policosanol</t>
    </r>
  </si>
  <si>
    <r>
      <rPr>
        <sz val="9"/>
        <color rgb="FF000000"/>
        <rFont val="Calibri"/>
        <family val="2"/>
      </rPr>
      <t>Vine Tea Extract Dihydromyricetin 98% HPLC</t>
    </r>
  </si>
  <si>
    <r>
      <rPr>
        <sz val="9"/>
        <color rgb="FF000000"/>
        <rFont val="Calibri"/>
        <family val="2"/>
      </rPr>
      <t>Boswellia Extract 10:1</t>
    </r>
  </si>
  <si>
    <r>
      <rPr>
        <sz val="9"/>
        <color rgb="FF000000"/>
        <rFont val="Calibri"/>
        <family val="2"/>
      </rPr>
      <t>D-Aspartic Acid 100mesh</t>
    </r>
  </si>
  <si>
    <r>
      <rPr>
        <sz val="9"/>
        <color rgb="FF000000"/>
        <rFont val="Calibri"/>
        <family val="2"/>
      </rPr>
      <t>Lycopene (10%)</t>
    </r>
  </si>
  <si>
    <r>
      <rPr>
        <sz val="9"/>
        <color rgb="FF000000"/>
        <rFont val="Calibri"/>
        <family val="2"/>
      </rPr>
      <t>Spermidine Trihydrochloride 99%</t>
    </r>
  </si>
  <si>
    <r>
      <rPr>
        <sz val="9"/>
        <color rgb="FF000000"/>
        <rFont val="Calibri"/>
        <family val="2"/>
      </rPr>
      <t>Guarana Fruit Extracts 22% Caffeine</t>
    </r>
  </si>
  <si>
    <r>
      <rPr>
        <sz val="9"/>
        <color rgb="FF000000"/>
        <rFont val="Calibri"/>
        <family val="2"/>
      </rPr>
      <t>Organic Bacopa powder</t>
    </r>
  </si>
  <si>
    <r>
      <rPr>
        <sz val="9"/>
        <color rgb="FF000000"/>
        <rFont val="Calibri"/>
        <family val="2"/>
      </rPr>
      <t>Plantago Quata Extract 4:1 TLC</t>
    </r>
  </si>
  <si>
    <r>
      <rPr>
        <sz val="9"/>
        <color rgb="FF000000"/>
        <rFont val="Calibri"/>
        <family val="2"/>
      </rPr>
      <t>VegiZest&amp;#65533; Pumpkin Seed Protein 70%</t>
    </r>
  </si>
  <si>
    <r>
      <rPr>
        <sz val="9"/>
        <color rgb="FF000000"/>
        <rFont val="Calibri"/>
        <family val="2"/>
      </rPr>
      <t>Broccoli Seed Extract 5% Glucoraphanin</t>
    </r>
  </si>
  <si>
    <r>
      <rPr>
        <sz val="9"/>
        <color rgb="FF000000"/>
        <rFont val="Calibri"/>
        <family val="2"/>
      </rPr>
      <t>Cyperus Rotundus Powder</t>
    </r>
  </si>
  <si>
    <r>
      <rPr>
        <sz val="9"/>
        <color rgb="FF000000"/>
        <rFont val="Calibri"/>
        <family val="2"/>
      </rPr>
      <t>Lychee Fruit Extract 10:1</t>
    </r>
  </si>
  <si>
    <r>
      <rPr>
        <sz val="9"/>
        <color rgb="FF000000"/>
        <rFont val="Calibri"/>
        <family val="2"/>
      </rPr>
      <t>Spearmint Leaf Powder</t>
    </r>
  </si>
  <si>
    <r>
      <rPr>
        <sz val="9"/>
        <color rgb="FF000000"/>
        <rFont val="Calibri"/>
        <family val="2"/>
      </rPr>
      <t>Gymnema Sylvestre Extract Gymnemic Acids 25% Gravimetry</t>
    </r>
  </si>
  <si>
    <r>
      <rPr>
        <sz val="9"/>
        <color rgb="FF000000"/>
        <rFont val="Calibri"/>
        <family val="2"/>
      </rPr>
      <t>Organic Blessed Thistle</t>
    </r>
  </si>
  <si>
    <r>
      <rPr>
        <sz val="9"/>
        <color rgb="FF000000"/>
        <rFont val="Calibri"/>
        <family val="2"/>
      </rPr>
      <t>Pinus Sylvestris Extract 4:1</t>
    </r>
  </si>
  <si>
    <r>
      <rPr>
        <sz val="9"/>
        <color rgb="FF000000"/>
        <rFont val="Calibri"/>
        <family val="2"/>
      </rPr>
      <t>VegiZest Watermelon Seed Protein 75%</t>
    </r>
  </si>
  <si>
    <r>
      <rPr>
        <sz val="9"/>
        <color rgb="FF000000"/>
        <rFont val="Calibri"/>
        <family val="2"/>
      </rPr>
      <t>Broccoli Seed Extract 0.5% Sulforaphane</t>
    </r>
  </si>
  <si>
    <r>
      <rPr>
        <sz val="9"/>
        <color rgb="FF000000"/>
        <rFont val="Calibri"/>
        <family val="2"/>
      </rPr>
      <t>Cymbidium Goeringii</t>
    </r>
  </si>
  <si>
    <r>
      <rPr>
        <sz val="9"/>
        <color rgb="FF000000"/>
        <rFont val="Calibri"/>
        <family val="2"/>
      </rPr>
      <t>Lutein 5% (Tagetes erecta L.)</t>
    </r>
  </si>
  <si>
    <r>
      <rPr>
        <sz val="9"/>
        <color rgb="FF000000"/>
        <rFont val="Calibri"/>
        <family val="2"/>
      </rPr>
      <t>Rubus Chingii Root extract 4:1</t>
    </r>
  </si>
  <si>
    <r>
      <rPr>
        <sz val="9"/>
        <color rgb="FF000000"/>
        <rFont val="Calibri"/>
        <family val="2"/>
      </rPr>
      <t>Gymnema Sylvestre Extract 10:1 TLC</t>
    </r>
  </si>
  <si>
    <r>
      <rPr>
        <sz val="9"/>
        <color rgb="FF000000"/>
        <rFont val="Calibri"/>
        <family val="2"/>
      </rPr>
      <t>Organic Black Walnut Hull</t>
    </r>
  </si>
  <si>
    <r>
      <rPr>
        <sz val="9"/>
        <color rgb="FF000000"/>
        <rFont val="Calibri"/>
        <family val="2"/>
      </rPr>
      <t>Pinus Halepensis Extract 4:1</t>
    </r>
  </si>
  <si>
    <r>
      <rPr>
        <sz val="9"/>
        <color rgb="FF000000"/>
        <rFont val="Calibri"/>
        <family val="2"/>
      </rPr>
      <t>Vanillin</t>
    </r>
  </si>
  <si>
    <r>
      <rPr>
        <sz val="9"/>
        <color rgb="FF000000"/>
        <rFont val="Calibri"/>
        <family val="2"/>
      </rPr>
      <t>Broccoli Extract 4:1 TLC</t>
    </r>
  </si>
  <si>
    <r>
      <rPr>
        <sz val="9"/>
        <color rgb="FF000000"/>
        <rFont val="Calibri"/>
        <family val="2"/>
      </rPr>
      <t>D-Xylose</t>
    </r>
  </si>
  <si>
    <r>
      <rPr>
        <sz val="9"/>
        <color rgb="FF000000"/>
        <rFont val="Calibri"/>
        <family val="2"/>
      </rPr>
      <t>Magnesium (as Magnesium Aspartate, 20% Mg) Granular</t>
    </r>
  </si>
  <si>
    <r>
      <rPr>
        <sz val="9"/>
        <color rgb="FF000000"/>
        <rFont val="Calibri"/>
        <family val="2"/>
      </rPr>
      <t>Rosmarinic acid 18%</t>
    </r>
  </si>
  <si>
    <r>
      <rPr>
        <sz val="9"/>
        <color rgb="FF000000"/>
        <rFont val="Calibri"/>
        <family val="2"/>
      </rPr>
      <t>D-mannose Fine Powder</t>
    </r>
  </si>
  <si>
    <r>
      <rPr>
        <sz val="9"/>
        <color rgb="FF000000"/>
        <rFont val="Calibri"/>
        <family val="2"/>
      </rPr>
      <t>Guggul Extract(Commiphora Mukul) (std. min. 2.5% Guggulsterones) HPLC</t>
    </r>
  </si>
  <si>
    <r>
      <rPr>
        <sz val="9"/>
        <color rgb="FF000000"/>
        <rFont val="Calibri"/>
        <family val="2"/>
      </rPr>
      <t>Organic Black Pepper 4:1</t>
    </r>
  </si>
  <si>
    <r>
      <rPr>
        <sz val="9"/>
        <color rgb="FF000000"/>
        <rFont val="Calibri"/>
        <family val="2"/>
      </rPr>
      <t>Organic Rose Hips Powder</t>
    </r>
  </si>
  <si>
    <r>
      <rPr>
        <sz val="9"/>
        <color rgb="FF000000"/>
        <rFont val="Calibri"/>
        <family val="2"/>
      </rPr>
      <t>Vitamin A (as Palmitate 500,000 IU/g )</t>
    </r>
  </si>
  <si>
    <r>
      <rPr>
        <sz val="9"/>
        <color rgb="FF000000"/>
        <rFont val="Calibri"/>
        <family val="2"/>
      </rPr>
      <t>Broccoli Extract 10:1 TLC</t>
    </r>
  </si>
  <si>
    <r>
      <rPr>
        <sz val="9"/>
        <color rgb="FF000000"/>
        <rFont val="Calibri"/>
        <family val="2"/>
      </rPr>
      <t>Maca Root Extract (standardized to 5% Macamides)</t>
    </r>
  </si>
  <si>
    <r>
      <rPr>
        <sz val="9"/>
        <color rgb="FF000000"/>
        <rFont val="Calibri"/>
        <family val="2"/>
      </rPr>
      <t>Rosemary Leaf extract ( std. min. 25% Ursolic acid)</t>
    </r>
  </si>
  <si>
    <r>
      <rPr>
        <sz val="9"/>
        <color rgb="FF000000"/>
        <rFont val="Calibri"/>
        <family val="2"/>
      </rPr>
      <t>D-Maltitol</t>
    </r>
  </si>
  <si>
    <r>
      <rPr>
        <sz val="9"/>
        <color rgb="FF000000"/>
        <rFont val="Calibri"/>
        <family val="2"/>
      </rPr>
      <t>Guggul Extract Guggulsterones 2.5% UV</t>
    </r>
  </si>
  <si>
    <r>
      <rPr>
        <sz val="9"/>
        <color rgb="FF000000"/>
        <rFont val="Calibri"/>
        <family val="2"/>
      </rPr>
      <t>Organic Black Elderberry Extract 10:1</t>
    </r>
  </si>
  <si>
    <r>
      <rPr>
        <sz val="9"/>
        <color rgb="FF000000"/>
        <rFont val="Calibri"/>
        <family val="2"/>
      </rPr>
      <t>Organic rice protein 80%</t>
    </r>
  </si>
  <si>
    <r>
      <rPr>
        <sz val="9"/>
        <color rgb="FF000000"/>
        <rFont val="Calibri"/>
        <family val="2"/>
      </rPr>
      <t>Vitamin A (as Palmitate 250 CWS)</t>
    </r>
  </si>
  <si>
    <r>
      <rPr>
        <sz val="9"/>
        <color rgb="FF000000"/>
        <rFont val="Calibri"/>
        <family val="2"/>
      </rPr>
      <t>Buchu leaf 4:1</t>
    </r>
  </si>
  <si>
    <r>
      <rPr>
        <sz val="9"/>
        <color rgb="FF000000"/>
        <rFont val="Calibri"/>
        <family val="2"/>
      </rPr>
      <t>Maca Powder</t>
    </r>
  </si>
  <si>
    <r>
      <rPr>
        <sz val="9"/>
        <color rgb="FF000000"/>
        <rFont val="Calibri"/>
        <family val="2"/>
      </rPr>
      <t>Rosemary Extract 4:1 TLC</t>
    </r>
  </si>
  <si>
    <r>
      <rPr>
        <sz val="9"/>
        <color rgb="FF000000"/>
        <rFont val="Calibri"/>
        <family val="2"/>
      </rPr>
      <t>D-Aspartic Acid Powder (DAA Powder)</t>
    </r>
  </si>
  <si>
    <r>
      <rPr>
        <sz val="9"/>
        <color rgb="FF000000"/>
        <rFont val="Calibri"/>
        <family val="2"/>
      </rPr>
      <t>Hawthorn Berry Extract Flavone 2% UV</t>
    </r>
  </si>
  <si>
    <r>
      <rPr>
        <sz val="9"/>
        <color rgb="FF000000"/>
        <rFont val="Calibri"/>
        <family val="2"/>
      </rPr>
      <t>Muira Puama Extract 10:1 TLC (Stem)</t>
    </r>
  </si>
  <si>
    <r>
      <rPr>
        <sz val="9"/>
        <color rgb="FF000000"/>
        <rFont val="Calibri"/>
        <family val="2"/>
      </rPr>
      <t>Organic Rhubarb Root Powder</t>
    </r>
  </si>
  <si>
    <r>
      <rPr>
        <sz val="9"/>
        <color rgb="FF000000"/>
        <rFont val="Calibri"/>
        <family val="2"/>
      </rPr>
      <t>Vitamin A (as Beta Carotene 20% beadlet CWS)</t>
    </r>
  </si>
  <si>
    <r>
      <rPr>
        <sz val="9"/>
        <color rgb="FF000000"/>
        <rFont val="Calibri"/>
        <family val="2"/>
      </rPr>
      <t>Brussel Sprout (Brassica oleracea var. gemmifera Zenker) Pwd</t>
    </r>
  </si>
  <si>
    <r>
      <rPr>
        <sz val="9"/>
        <color rgb="FF000000"/>
        <rFont val="Calibri"/>
        <family val="2"/>
      </rPr>
      <t>Maca Extract 2.6% Macamides+Macaedes UV</t>
    </r>
  </si>
  <si>
    <r>
      <rPr>
        <sz val="9"/>
        <color rgb="FF000000"/>
        <rFont val="Calibri"/>
        <family val="2"/>
      </rPr>
      <t>Saffron Extract 4:1</t>
    </r>
  </si>
  <si>
    <r>
      <rPr>
        <sz val="9"/>
        <color rgb="FF000000"/>
        <rFont val="Calibri"/>
        <family val="2"/>
      </rPr>
      <t>Dark Pink Himalayan Salt</t>
    </r>
  </si>
  <si>
    <r>
      <rPr>
        <sz val="9"/>
        <color rgb="FF000000"/>
        <rFont val="Calibri"/>
        <family val="2"/>
      </rPr>
      <t>Harada (Terminalia chebula) Fruit 6:1 PE</t>
    </r>
  </si>
  <si>
    <r>
      <rPr>
        <sz val="9"/>
        <color rgb="FF000000"/>
        <rFont val="Calibri"/>
        <family val="2"/>
      </rPr>
      <t>MUGWORTH EXTRACT 4:1</t>
    </r>
  </si>
  <si>
    <r>
      <rPr>
        <sz val="9"/>
        <color rgb="FF000000"/>
        <rFont val="Calibri"/>
        <family val="2"/>
      </rPr>
      <t>Organic Reishi Mushroom Extract Polysaccharides 40% UV</t>
    </r>
  </si>
  <si>
    <r>
      <rPr>
        <sz val="9"/>
        <color rgb="FF000000"/>
        <rFont val="Calibri"/>
        <family val="2"/>
      </rPr>
      <t>Vitamin A (as Beta Carotene 1%)</t>
    </r>
  </si>
  <si>
    <r>
      <rPr>
        <sz val="9"/>
        <color rgb="FF000000"/>
        <rFont val="Calibri"/>
        <family val="2"/>
      </rPr>
      <t>Bromelain 80 GDU</t>
    </r>
  </si>
  <si>
    <r>
      <rPr>
        <sz val="9"/>
        <color rgb="FF000000"/>
        <rFont val="Calibri"/>
        <family val="2"/>
      </rPr>
      <t>L-Arginine Base (Fermented)</t>
    </r>
  </si>
  <si>
    <r>
      <rPr>
        <sz val="9"/>
        <color rgb="FF000000"/>
        <rFont val="Calibri"/>
        <family val="2"/>
      </rPr>
      <t>Safflower powder</t>
    </r>
  </si>
  <si>
    <r>
      <rPr>
        <sz val="9"/>
        <color rgb="FF000000"/>
        <rFont val="Calibri"/>
        <family val="2"/>
      </rPr>
      <t>Dandelion Root extract 4:1</t>
    </r>
  </si>
  <si>
    <r>
      <rPr>
        <sz val="9"/>
        <color rgb="FF000000"/>
        <rFont val="Calibri"/>
        <family val="2"/>
      </rPr>
      <t>Gynostemma Pentaphyllum Extract 10:1</t>
    </r>
  </si>
  <si>
    <r>
      <rPr>
        <sz val="9"/>
        <color rgb="FF000000"/>
        <rFont val="Calibri"/>
        <family val="2"/>
      </rPr>
      <t>Mucuna Pruriens Powder</t>
    </r>
  </si>
  <si>
    <r>
      <rPr>
        <sz val="9"/>
        <color rgb="FF000000"/>
        <rFont val="Calibri"/>
        <family val="2"/>
      </rPr>
      <t>Organic Spinach Leaf Powder</t>
    </r>
  </si>
  <si>
    <r>
      <rPr>
        <sz val="9"/>
        <color rgb="FF000000"/>
        <rFont val="Calibri"/>
        <family val="2"/>
      </rPr>
      <t>Vitamin B1 (as Thiamine Mononitrate)</t>
    </r>
  </si>
  <si>
    <r>
      <rPr>
        <sz val="9"/>
        <color rgb="FF000000"/>
        <rFont val="Calibri"/>
        <family val="2"/>
      </rPr>
      <t>Bromelain 2400GDU</t>
    </r>
  </si>
  <si>
    <r>
      <rPr>
        <sz val="9"/>
        <color rgb="FF000000"/>
        <rFont val="Calibri"/>
        <family val="2"/>
      </rPr>
      <t>L-Arginine AKG 1:1 (AAKG)</t>
    </r>
  </si>
  <si>
    <r>
      <rPr>
        <sz val="9"/>
        <color rgb="FF000000"/>
        <rFont val="Calibri"/>
        <family val="2"/>
      </rPr>
      <t>Organic Shitake Mushroom Extract 4:1</t>
    </r>
  </si>
  <si>
    <r>
      <rPr>
        <sz val="9"/>
        <color rgb="FF000000"/>
        <rFont val="Calibri"/>
        <family val="2"/>
      </rPr>
      <t>S-Acetyl-L-Glutathione</t>
    </r>
  </si>
  <si>
    <r>
      <rPr>
        <sz val="9"/>
        <color rgb="FF000000"/>
        <rFont val="Calibri"/>
        <family val="2"/>
      </rPr>
      <t>Dandelion leaf extract 10:1</t>
    </r>
  </si>
  <si>
    <r>
      <rPr>
        <sz val="9"/>
        <color rgb="FF000000"/>
        <rFont val="Calibri"/>
        <family val="2"/>
      </rPr>
      <t>Gynostemma Leaf Powder</t>
    </r>
  </si>
  <si>
    <r>
      <rPr>
        <sz val="9"/>
        <color rgb="FF000000"/>
        <rFont val="Calibri"/>
        <family val="2"/>
      </rPr>
      <t>Mucuna Pruriens Extract 4:1 TLC</t>
    </r>
  </si>
  <si>
    <r>
      <rPr>
        <sz val="9"/>
        <color rgb="FF000000"/>
        <rFont val="Calibri"/>
        <family val="2"/>
      </rPr>
      <t>Vitamin B1 (as Benfotiamine)</t>
    </r>
  </si>
  <si>
    <r>
      <rPr>
        <sz val="9"/>
        <color rgb="FF000000"/>
        <rFont val="Calibri"/>
        <family val="2"/>
      </rPr>
      <t>Burdock (Arctium lappa) Root Extract 20:1</t>
    </r>
  </si>
  <si>
    <r>
      <rPr>
        <sz val="9"/>
        <color rgb="FF000000"/>
        <rFont val="Calibri"/>
        <family val="2"/>
      </rPr>
      <t>L-Alanyl-L-Glutamine</t>
    </r>
  </si>
  <si>
    <r>
      <rPr>
        <sz val="9"/>
        <color rgb="FF000000"/>
        <rFont val="Calibri"/>
        <family val="2"/>
      </rPr>
      <t>Organic Shatavari Root</t>
    </r>
  </si>
  <si>
    <r>
      <rPr>
        <sz val="9"/>
        <color rgb="FF000000"/>
        <rFont val="Calibri"/>
        <family val="2"/>
      </rPr>
      <t>Rutin (peppermint extract)</t>
    </r>
  </si>
  <si>
    <r>
      <rPr>
        <sz val="9"/>
        <color rgb="FF000000"/>
        <rFont val="Calibri"/>
        <family val="2"/>
      </rPr>
      <t>Damiana Extract 4:1 TLC</t>
    </r>
  </si>
  <si>
    <r>
      <rPr>
        <sz val="9"/>
        <color rgb="FF000000"/>
        <rFont val="Calibri"/>
        <family val="2"/>
      </rPr>
      <t>Garlic Powder</t>
    </r>
  </si>
  <si>
    <r>
      <rPr>
        <sz val="9"/>
        <color rgb="FF000000"/>
        <rFont val="Calibri"/>
        <family val="2"/>
      </rPr>
      <t>Mullein Extract 10:1 TLC</t>
    </r>
  </si>
  <si>
    <r>
      <rPr>
        <sz val="9"/>
        <color rgb="FF000000"/>
        <rFont val="Calibri"/>
        <family val="2"/>
      </rPr>
      <t>Vitamin A Acetate 500 000 IU/G</t>
    </r>
  </si>
  <si>
    <r>
      <rPr>
        <sz val="9"/>
        <color rgb="FF000000"/>
        <rFont val="Calibri"/>
        <family val="2"/>
      </rPr>
      <t>Bulbine natalensis Stem Powder</t>
    </r>
  </si>
  <si>
    <r>
      <rPr>
        <sz val="9"/>
        <color rgb="FF000000"/>
        <rFont val="Calibri"/>
        <family val="2"/>
      </rPr>
      <t>L-5-Methyltetrahydrofolate Glucosamine Salt (5-MTHF)</t>
    </r>
  </si>
  <si>
    <r>
      <rPr>
        <sz val="9"/>
        <color rgb="FF000000"/>
        <rFont val="Calibri"/>
        <family val="2"/>
      </rPr>
      <t>Organic Schisandra Powder</t>
    </r>
  </si>
  <si>
    <r>
      <rPr>
        <sz val="9"/>
        <color rgb="FF000000"/>
        <rFont val="Calibri"/>
        <family val="2"/>
      </rPr>
      <t>Sarsaparilla Extract 4:1 TLC</t>
    </r>
  </si>
  <si>
    <r>
      <rPr>
        <sz val="9"/>
        <color rgb="FF000000"/>
        <rFont val="Calibri"/>
        <family val="2"/>
      </rPr>
      <t>Cinnamon Bark Extract Polyphenols 5% UV</t>
    </r>
  </si>
  <si>
    <r>
      <rPr>
        <sz val="9"/>
        <color rgb="FF000000"/>
        <rFont val="Calibri"/>
        <family val="2"/>
      </rPr>
      <t>Garlic Extract 4:1 (Odor Reduced)</t>
    </r>
  </si>
  <si>
    <r>
      <rPr>
        <sz val="9"/>
        <color rgb="FF000000"/>
        <rFont val="Calibri"/>
        <family val="2"/>
      </rPr>
      <t>Mulberry Leaf Extract 1% 1-deoxynojirimycin HPLC</t>
    </r>
  </si>
  <si>
    <r>
      <rPr>
        <sz val="9"/>
        <color rgb="FF000000"/>
        <rFont val="Calibri"/>
        <family val="2"/>
      </rPr>
      <t>Vitamin A (as Retinyl Palmitate) 500,000 IU</t>
    </r>
  </si>
  <si>
    <r>
      <rPr>
        <sz val="9"/>
        <color rgb="FF000000"/>
        <rFont val="Calibri"/>
        <family val="2"/>
      </rPr>
      <t>Bulbine Natalensis Extract 10:1</t>
    </r>
  </si>
  <si>
    <r>
      <rPr>
        <sz val="9"/>
        <color rgb="FF000000"/>
        <rFont val="Calibri"/>
        <family val="2"/>
      </rPr>
      <t>L-Aspartic acid</t>
    </r>
  </si>
  <si>
    <r>
      <rPr>
        <sz val="9"/>
        <color rgb="FF000000"/>
        <rFont val="Calibri"/>
        <family val="2"/>
      </rPr>
      <t>Organic Stevia Extract RA 97%</t>
    </r>
  </si>
  <si>
    <r>
      <rPr>
        <sz val="9"/>
        <color rgb="FF000000"/>
        <rFont val="Calibri"/>
        <family val="2"/>
      </rPr>
      <t>Salvia Miltiorrhiza Extract 4:1 TLC (Red Sage Root Extract)</t>
    </r>
  </si>
  <si>
    <r>
      <rPr>
        <sz val="9"/>
        <color rgb="FF000000"/>
        <rFont val="Calibri"/>
        <family val="2"/>
      </rPr>
      <t>Cinnamomum bark powder 4:1 (wilsonii gamble)</t>
    </r>
  </si>
  <si>
    <r>
      <rPr>
        <sz val="9"/>
        <color rgb="FF000000"/>
        <rFont val="Calibri"/>
        <family val="2"/>
      </rPr>
      <t>Garlic Extract 10:1 TLC</t>
    </r>
  </si>
  <si>
    <r>
      <rPr>
        <sz val="9"/>
        <color rgb="FF000000"/>
        <rFont val="Calibri"/>
        <family val="2"/>
      </rPr>
      <t>Mulberry fruit Extract 10:1</t>
    </r>
  </si>
  <si>
    <r>
      <rPr>
        <sz val="9"/>
        <color rgb="FF000000"/>
        <rFont val="Calibri"/>
        <family val="2"/>
      </rPr>
      <t>Vitamin B2 (as Riboflavin)</t>
    </r>
  </si>
  <si>
    <r>
      <rPr>
        <sz val="9"/>
        <color rgb="FF000000"/>
        <rFont val="Calibri"/>
        <family val="2"/>
      </rPr>
      <t>Buckwheat (Fagopyrum esculentum Moench) Pwd</t>
    </r>
  </si>
  <si>
    <r>
      <rPr>
        <sz val="9"/>
        <color rgb="FF000000"/>
        <rFont val="Calibri"/>
        <family val="2"/>
      </rPr>
      <t>L-Arginine Nitrate</t>
    </r>
  </si>
  <si>
    <r>
      <rPr>
        <sz val="9"/>
        <color rgb="FF000000"/>
        <rFont val="Calibri"/>
        <family val="2"/>
      </rPr>
      <t>Organic Stevia Extract 90%</t>
    </r>
  </si>
  <si>
    <r>
      <rPr>
        <sz val="9"/>
        <color rgb="FF000000"/>
        <rFont val="Calibri"/>
        <family val="2"/>
      </rPr>
      <t>Salacia Reticulata Extract 4:1</t>
    </r>
  </si>
  <si>
    <r>
      <rPr>
        <sz val="9"/>
        <color rgb="FF000000"/>
        <rFont val="Calibri"/>
        <family val="2"/>
      </rPr>
      <t>Cilantro Leaf Powder</t>
    </r>
  </si>
  <si>
    <r>
      <rPr>
        <sz val="9"/>
        <color rgb="FF000000"/>
        <rFont val="Calibri"/>
        <family val="2"/>
      </rPr>
      <t>Gardenia Fruit Powder</t>
    </r>
  </si>
  <si>
    <r>
      <rPr>
        <sz val="9"/>
        <color rgb="FF000000"/>
        <rFont val="Calibri"/>
        <family val="2"/>
      </rPr>
      <t>Mulberry 4:1</t>
    </r>
  </si>
  <si>
    <r>
      <rPr>
        <sz val="9"/>
        <color rgb="FF000000"/>
        <rFont val="Calibri"/>
        <family val="2"/>
      </rPr>
      <t>Vitamin B12 (as Methylcobalamin) (1% on mannitol)</t>
    </r>
  </si>
  <si>
    <r>
      <rPr>
        <sz val="9"/>
        <color rgb="FF000000"/>
        <rFont val="Calibri"/>
        <family val="2"/>
      </rPr>
      <t>Banaba Leaf Extract Corosolic Acid 15% HPLC</t>
    </r>
  </si>
  <si>
    <r>
      <rPr>
        <sz val="9"/>
        <color rgb="FF000000"/>
        <rFont val="Calibri"/>
        <family val="2"/>
      </rPr>
      <t>Ginger Root Extract (10:1)</t>
    </r>
  </si>
  <si>
    <r>
      <rPr>
        <sz val="9"/>
        <color rgb="FF000000"/>
        <rFont val="Calibri"/>
        <family val="2"/>
      </rPr>
      <t>L-Arginine HCL (Fermented)</t>
    </r>
  </si>
  <si>
    <r>
      <rPr>
        <sz val="9"/>
        <color rgb="FF000000"/>
        <rFont val="Calibri"/>
        <family val="2"/>
      </rPr>
      <t>Organic Sprouted Cumin Seed Powder</t>
    </r>
  </si>
  <si>
    <r>
      <rPr>
        <sz val="9"/>
        <color rgb="FF000000"/>
        <rFont val="Calibri"/>
        <family val="2"/>
      </rPr>
      <t>Sakura Flower Extract 4:1</t>
    </r>
  </si>
  <si>
    <r>
      <rPr>
        <sz val="9"/>
        <color rgb="FF000000"/>
        <rFont val="Calibri"/>
        <family val="2"/>
      </rPr>
      <t>Chrysin Powder 98%</t>
    </r>
  </si>
  <si>
    <r>
      <rPr>
        <sz val="9"/>
        <color rgb="FF000000"/>
        <rFont val="Calibri"/>
        <family val="2"/>
      </rPr>
      <t>N-Acetyl L-Tyrosine (NAT) Hydrolyzed</t>
    </r>
  </si>
  <si>
    <r>
      <rPr>
        <sz val="9"/>
        <color rgb="FF000000"/>
        <rFont val="Calibri"/>
        <family val="2"/>
      </rPr>
      <t>Vitamin B12 (as Methylcobalamin)</t>
    </r>
  </si>
  <si>
    <r>
      <rPr>
        <sz val="9"/>
        <color rgb="FF000000"/>
        <rFont val="Calibri"/>
        <family val="2"/>
      </rPr>
      <t>Banaba extract 2% corosolic acid (Cellulose Based, No Carrier)</t>
    </r>
  </si>
  <si>
    <r>
      <rPr>
        <sz val="9"/>
        <color rgb="FF000000"/>
        <rFont val="Calibri"/>
        <family val="2"/>
      </rPr>
      <t>Gentian Root Extract 4:1 TLC</t>
    </r>
  </si>
  <si>
    <r>
      <rPr>
        <sz val="9"/>
        <color rgb="FF000000"/>
        <rFont val="Calibri"/>
        <family val="2"/>
      </rPr>
      <t>L-Arginine Base (Hydrolyzed)</t>
    </r>
  </si>
  <si>
    <r>
      <rPr>
        <sz val="9"/>
        <color rgb="FF000000"/>
        <rFont val="Calibri"/>
        <family val="2"/>
      </rPr>
      <t>Organic spirulina powder</t>
    </r>
  </si>
  <si>
    <r>
      <rPr>
        <sz val="9"/>
        <color rgb="FF000000"/>
        <rFont val="Calibri"/>
        <family val="2"/>
      </rPr>
      <t>Saw Palmetto Berry Powder</t>
    </r>
  </si>
  <si>
    <r>
      <rPr>
        <sz val="9"/>
        <color rgb="FF000000"/>
        <rFont val="Calibri"/>
        <family val="2"/>
      </rPr>
      <t>Cissus Quadrangularis Extract Powder (40% Ketosterones)</t>
    </r>
  </si>
  <si>
    <r>
      <rPr>
        <sz val="9"/>
        <color rgb="FF000000"/>
        <rFont val="Calibri"/>
        <family val="2"/>
      </rPr>
      <t>N-Acetyl L-Methionine</t>
    </r>
  </si>
  <si>
    <r>
      <rPr>
        <sz val="9"/>
        <color rgb="FF000000"/>
        <rFont val="Calibri"/>
        <family val="2"/>
      </rPr>
      <t>Vitamin B12 (as Cyanocobalamin)(1% on DCP)</t>
    </r>
  </si>
  <si>
    <r>
      <rPr>
        <sz val="9"/>
        <color rgb="FF000000"/>
        <rFont val="Calibri"/>
        <family val="2"/>
      </rPr>
      <t>Bamboo (Bambusoideae) (Stem &amp; Leaves) Extract (7% Silica)</t>
    </r>
  </si>
  <si>
    <r>
      <rPr>
        <sz val="9"/>
        <color rgb="FF000000"/>
        <rFont val="Calibri"/>
        <family val="2"/>
      </rPr>
      <t>GBC 50 w/ 50% NAR (Grapefruit Bioflavonoid Complex 50% Naringin)</t>
    </r>
  </si>
  <si>
    <r>
      <rPr>
        <sz val="9"/>
        <color rgb="FF000000"/>
        <rFont val="Calibri"/>
        <family val="2"/>
      </rPr>
      <t>L-Carnosine Powder</t>
    </r>
  </si>
  <si>
    <r>
      <rPr>
        <sz val="9"/>
        <color rgb="FF000000"/>
        <rFont val="Calibri"/>
        <family val="2"/>
      </rPr>
      <t>Organic Sweet Potato Powder</t>
    </r>
  </si>
  <si>
    <r>
      <rPr>
        <sz val="9"/>
        <color rgb="FF000000"/>
        <rFont val="Calibri"/>
        <family val="2"/>
      </rPr>
      <t>Saw Palmetto Berry Extract 5:1 TLC</t>
    </r>
  </si>
  <si>
    <r>
      <rPr>
        <sz val="9"/>
        <color rgb="FF000000"/>
        <rFont val="Calibri"/>
        <family val="2"/>
      </rPr>
      <t>Cissus Quadrangularis Extract (10:1)(std. min. 5% Ketosteroids)</t>
    </r>
  </si>
  <si>
    <r>
      <rPr>
        <sz val="9"/>
        <color rgb="FF000000"/>
        <rFont val="Calibri"/>
        <family val="2"/>
      </rPr>
      <t>N,N-Dimethylglycine hydrochloride</t>
    </r>
  </si>
  <si>
    <r>
      <rPr>
        <sz val="9"/>
        <color rgb="FF000000"/>
        <rFont val="Calibri"/>
        <family val="2"/>
      </rPr>
      <t>Vitamin B7 (as Biotin 99%)</t>
    </r>
  </si>
  <si>
    <r>
      <rPr>
        <sz val="9"/>
        <color rgb="FF000000"/>
        <rFont val="Calibri"/>
        <family val="2"/>
      </rPr>
      <t>Bacopa monnieri Whole Plant Extract 20:1</t>
    </r>
  </si>
  <si>
    <r>
      <rPr>
        <sz val="9"/>
        <color rgb="FF000000"/>
        <rFont val="Calibri"/>
        <family val="2"/>
      </rPr>
      <t>Garlic Powder 5000ppm</t>
    </r>
  </si>
  <si>
    <r>
      <rPr>
        <sz val="9"/>
        <color rgb="FF000000"/>
        <rFont val="Calibri"/>
        <family val="2"/>
      </rPr>
      <t>L-Carnitine-L-Tartrate (LCLT)</t>
    </r>
  </si>
  <si>
    <r>
      <rPr>
        <sz val="9"/>
        <color rgb="FF000000"/>
        <rFont val="Calibri"/>
        <family val="2"/>
      </rPr>
      <t>Organic Sunflower Seed Powder 50% Protein</t>
    </r>
  </si>
  <si>
    <r>
      <rPr>
        <sz val="9"/>
        <color rgb="FF000000"/>
        <rFont val="Calibri"/>
        <family val="2"/>
      </rPr>
      <t>Saw Palmetto Berry Extract 10:1 TLC</t>
    </r>
  </si>
  <si>
    <r>
      <rPr>
        <sz val="9"/>
        <color rgb="FF000000"/>
        <rFont val="Calibri"/>
        <family val="2"/>
      </rPr>
      <t>Cissus quadrangularis (Stem) Extract (2.5% 3-Ketosterone)</t>
    </r>
  </si>
  <si>
    <r>
      <rPr>
        <sz val="9"/>
        <color rgb="FF000000"/>
        <rFont val="Calibri"/>
        <family val="2"/>
      </rPr>
      <t>Mullein Powder</t>
    </r>
  </si>
  <si>
    <r>
      <rPr>
        <sz val="9"/>
        <color rgb="FF000000"/>
        <rFont val="Calibri"/>
        <family val="2"/>
      </rPr>
      <t>Vitamin B6 (as Pyridoxine Hydrochloride)</t>
    </r>
  </si>
  <si>
    <r>
      <rPr>
        <sz val="9"/>
        <color rgb="FF000000"/>
        <rFont val="Calibri"/>
        <family val="2"/>
      </rPr>
      <t>Bee Propolis Extract Powder 70%</t>
    </r>
  </si>
  <si>
    <r>
      <rPr>
        <sz val="9"/>
        <color rgb="FF000000"/>
        <rFont val="Calibri"/>
        <family val="2"/>
      </rPr>
      <t>GINKGO BILOBA P.E. 24/6 (VEG) WITH &lt;1 PPM GINKGOLIC ACID USP 41</t>
    </r>
  </si>
  <si>
    <r>
      <rPr>
        <sz val="9"/>
        <color rgb="FF000000"/>
        <rFont val="Calibri"/>
        <family val="2"/>
      </rPr>
      <t>L-Carnitine HCL</t>
    </r>
  </si>
  <si>
    <r>
      <rPr>
        <sz val="9"/>
        <color rgb="FF000000"/>
        <rFont val="Calibri"/>
        <family val="2"/>
      </rPr>
      <t>Organic Strawberry Juice Powder</t>
    </r>
  </si>
  <si>
    <r>
      <rPr>
        <sz val="9"/>
        <color rgb="FF000000"/>
        <rFont val="Calibri"/>
        <family val="2"/>
      </rPr>
      <t>Sarsaparilla Root Extract 10:1 TLC</t>
    </r>
  </si>
  <si>
    <r>
      <rPr>
        <sz val="9"/>
        <color rgb="FF000000"/>
        <rFont val="Calibri"/>
        <family val="2"/>
      </rPr>
      <t>Cinnamon Extract 10:1 TLC</t>
    </r>
  </si>
  <si>
    <r>
      <rPr>
        <sz val="9"/>
        <color rgb="FF000000"/>
        <rFont val="Calibri"/>
        <family val="2"/>
      </rPr>
      <t>N-Palmitoylethanolamide</t>
    </r>
  </si>
  <si>
    <r>
      <rPr>
        <sz val="9"/>
        <color rgb="FF000000"/>
        <rFont val="Calibri"/>
        <family val="2"/>
      </rPr>
      <t>Vitamin B5 (as Calcium-D-Pantothenate)(92% Pantothenic Acid)</t>
    </r>
  </si>
  <si>
    <r>
      <rPr>
        <sz val="9"/>
        <color rgb="FF000000"/>
        <rFont val="Calibri"/>
        <family val="2"/>
      </rPr>
      <t>Bauhinia Ext 10:1</t>
    </r>
  </si>
  <si>
    <r>
      <rPr>
        <sz val="9"/>
        <color rgb="FF000000"/>
        <rFont val="Calibri"/>
        <family val="2"/>
      </rPr>
      <t>Ginkgo Biloba Leaf Extract 4:1 TLC</t>
    </r>
  </si>
  <si>
    <r>
      <rPr>
        <sz val="9"/>
        <color rgb="FF000000"/>
        <rFont val="Calibri"/>
        <family val="2"/>
      </rPr>
      <t>L-Carnitine Base</t>
    </r>
  </si>
  <si>
    <r>
      <rPr>
        <sz val="9"/>
        <color rgb="FF000000"/>
        <rFont val="Calibri"/>
        <family val="2"/>
      </rPr>
      <t>Organic Stevia Reb M 95%</t>
    </r>
  </si>
  <si>
    <r>
      <rPr>
        <sz val="9"/>
        <color rgb="FF000000"/>
        <rFont val="Calibri"/>
        <family val="2"/>
      </rPr>
      <t>Schisandra Fruit Extract Schizandrins 20% UV</t>
    </r>
  </si>
  <si>
    <r>
      <rPr>
        <sz val="9"/>
        <color rgb="FF000000"/>
        <rFont val="Calibri"/>
        <family val="2"/>
      </rPr>
      <t>Citrus Aurantium Extract Bioflavonoids 15% HPLC</t>
    </r>
  </si>
  <si>
    <r>
      <rPr>
        <sz val="9"/>
        <color rgb="FF000000"/>
        <rFont val="Calibri"/>
        <family val="2"/>
      </rPr>
      <t>N-Methyl-L-Tyramine hydrochloride</t>
    </r>
  </si>
  <si>
    <r>
      <rPr>
        <sz val="9"/>
        <color rgb="FF000000"/>
        <rFont val="Calibri"/>
        <family val="2"/>
      </rPr>
      <t>Schisandra Fruit Extract Schizandrins 2% HPLC</t>
    </r>
  </si>
  <si>
    <r>
      <rPr>
        <sz val="9"/>
        <color rgb="FF000000"/>
        <rFont val="Calibri"/>
        <family val="2"/>
      </rPr>
      <t>Vitamin B3 (as Niacin) Granular</t>
    </r>
  </si>
  <si>
    <r>
      <rPr>
        <sz val="9"/>
        <color rgb="FF000000"/>
        <rFont val="Calibri"/>
        <family val="2"/>
      </rPr>
      <t>Barberry Root Powder</t>
    </r>
  </si>
  <si>
    <r>
      <rPr>
        <sz val="9"/>
        <color rgb="FF000000"/>
        <rFont val="Calibri"/>
        <family val="2"/>
      </rPr>
      <t>Ginkgo Biloba Extract 24% Flavonoids HPLC</t>
    </r>
  </si>
  <si>
    <r>
      <rPr>
        <sz val="9"/>
        <color rgb="FF000000"/>
        <rFont val="Calibri"/>
        <family val="2"/>
      </rPr>
      <t>L-Cysteine Hydrochloride Monohydrate</t>
    </r>
  </si>
  <si>
    <r>
      <rPr>
        <sz val="9"/>
        <color rgb="FF000000"/>
        <rFont val="Calibri"/>
        <family val="2"/>
      </rPr>
      <t>Organic Watermelon Powder</t>
    </r>
  </si>
  <si>
    <r>
      <rPr>
        <sz val="9"/>
        <color rgb="FF000000"/>
        <rFont val="Calibri"/>
        <family val="2"/>
      </rPr>
      <t>Citrus Aurantium (Std.Extract)(min.30% Synephrine)</t>
    </r>
  </si>
  <si>
    <r>
      <rPr>
        <sz val="9"/>
        <color rgb="FF000000"/>
        <rFont val="Calibri"/>
        <family val="2"/>
      </rPr>
      <t>N-Acetyl-L-Cysteine Ethyl Ester</t>
    </r>
  </si>
  <si>
    <r>
      <rPr>
        <sz val="9"/>
        <color rgb="FF000000"/>
        <rFont val="Calibri"/>
        <family val="2"/>
      </rPr>
      <t>Schisandra chinensis extract 9% Schisandrins</t>
    </r>
  </si>
  <si>
    <r>
      <rPr>
        <sz val="9"/>
        <color rgb="FF000000"/>
        <rFont val="Calibri"/>
        <family val="2"/>
      </rPr>
      <t>Vitamin D2 powder 400000IU/g</t>
    </r>
  </si>
  <si>
    <r>
      <rPr>
        <sz val="9"/>
        <color rgb="FF000000"/>
        <rFont val="Calibri"/>
        <family val="2"/>
      </rPr>
      <t>Barberry Extract 10:1</t>
    </r>
  </si>
  <si>
    <r>
      <rPr>
        <sz val="9"/>
        <color rgb="FF000000"/>
        <rFont val="Calibri"/>
        <family val="2"/>
      </rPr>
      <t>Ginger root powder</t>
    </r>
  </si>
  <si>
    <r>
      <rPr>
        <sz val="9"/>
        <color rgb="FF000000"/>
        <rFont val="Calibri"/>
        <family val="2"/>
      </rPr>
      <t>L-Cysteine Base</t>
    </r>
  </si>
  <si>
    <r>
      <rPr>
        <sz val="9"/>
        <color rgb="FF000000"/>
        <rFont val="Calibri"/>
        <family val="2"/>
      </rPr>
      <t>Organic Turmeric Root Powder Fermented</t>
    </r>
  </si>
  <si>
    <r>
      <rPr>
        <sz val="9"/>
        <color rgb="FF000000"/>
        <rFont val="Calibri"/>
        <family val="2"/>
      </rPr>
      <t>Citric Acid Anhydrous USP 30-100 Mesh</t>
    </r>
  </si>
  <si>
    <r>
      <rPr>
        <sz val="9"/>
        <color rgb="FF000000"/>
        <rFont val="Calibri"/>
        <family val="2"/>
      </rPr>
      <t>N-Acetyl-L-Cysteine (NAC) Fermented</t>
    </r>
  </si>
  <si>
    <r>
      <rPr>
        <sz val="9"/>
        <color rgb="FF000000"/>
        <rFont val="Calibri"/>
        <family val="2"/>
      </rPr>
      <t>Schisandra Berry Powder</t>
    </r>
  </si>
  <si>
    <r>
      <rPr>
        <sz val="9"/>
        <color rgb="FF000000"/>
        <rFont val="Calibri"/>
        <family val="2"/>
      </rPr>
      <t>Vitamin C (DC 97)</t>
    </r>
  </si>
  <si>
    <r>
      <rPr>
        <sz val="9"/>
        <color rgb="FF000000"/>
        <rFont val="Calibri"/>
        <family val="2"/>
      </rPr>
      <t>Berberine HCL 97% HPLC</t>
    </r>
  </si>
  <si>
    <r>
      <rPr>
        <sz val="9"/>
        <color rgb="FF000000"/>
        <rFont val="Calibri"/>
        <family val="2"/>
      </rPr>
      <t>Glucosamine Sulfate 2KCL DC</t>
    </r>
  </si>
  <si>
    <r>
      <rPr>
        <sz val="9"/>
        <color rgb="FF000000"/>
        <rFont val="Calibri"/>
        <family val="2"/>
      </rPr>
      <t>L-Citrulline Malate(2:1)</t>
    </r>
  </si>
  <si>
    <r>
      <rPr>
        <sz val="9"/>
        <color rgb="FF000000"/>
        <rFont val="Calibri"/>
        <family val="2"/>
      </rPr>
      <t>Organic Turkey Tail Powder</t>
    </r>
  </si>
  <si>
    <r>
      <rPr>
        <sz val="9"/>
        <color rgb="FF000000"/>
        <rFont val="Calibri"/>
        <family val="2"/>
      </rPr>
      <t>Cistanche tubulosa extract 10:1</t>
    </r>
  </si>
  <si>
    <r>
      <rPr>
        <sz val="9"/>
        <color rgb="FF000000"/>
        <rFont val="Calibri"/>
        <family val="2"/>
      </rPr>
      <t>Natural Caffeine Anhydrous 98% (from Robusta Coffee Bean)</t>
    </r>
  </si>
  <si>
    <r>
      <rPr>
        <sz val="9"/>
        <color rgb="FF000000"/>
        <rFont val="Calibri"/>
        <family val="2"/>
      </rPr>
      <t>Sea Buckthorn Berry Extract Flavone 5%</t>
    </r>
  </si>
  <si>
    <r>
      <rPr>
        <sz val="9"/>
        <color rgb="FF000000"/>
        <rFont val="Calibri"/>
        <family val="2"/>
      </rPr>
      <t>Vitamin C (as Ascorbic Acid)</t>
    </r>
  </si>
  <si>
    <r>
      <rPr>
        <sz val="9"/>
        <color rgb="FF000000"/>
        <rFont val="Calibri"/>
        <family val="2"/>
      </rPr>
      <t>Beet Root Juice Powder</t>
    </r>
  </si>
  <si>
    <r>
      <rPr>
        <sz val="9"/>
        <color rgb="FF000000"/>
        <rFont val="Calibri"/>
        <family val="2"/>
      </rPr>
      <t>Glucosamine HCL 80 mesh</t>
    </r>
  </si>
  <si>
    <r>
      <rPr>
        <sz val="9"/>
        <color rgb="FF000000"/>
        <rFont val="Calibri"/>
        <family val="2"/>
      </rPr>
      <t>L-Citrulline (Bulk Density 0.54-0.602 )</t>
    </r>
  </si>
  <si>
    <r>
      <rPr>
        <sz val="9"/>
        <color rgb="FF000000"/>
        <rFont val="Calibri"/>
        <family val="2"/>
      </rPr>
      <t>Organic Tomato Powder</t>
    </r>
  </si>
  <si>
    <r>
      <rPr>
        <sz val="9"/>
        <color rgb="FF000000"/>
        <rFont val="Calibri"/>
        <family val="2"/>
      </rPr>
      <t>Citrus Aurantium Powder</t>
    </r>
  </si>
  <si>
    <r>
      <rPr>
        <sz val="9"/>
        <color rgb="FF000000"/>
        <rFont val="Calibri"/>
        <family val="2"/>
      </rPr>
      <t>L-Histidine base</t>
    </r>
  </si>
  <si>
    <r>
      <rPr>
        <sz val="9"/>
        <color rgb="FF000000"/>
        <rFont val="Calibri"/>
        <family val="2"/>
      </rPr>
      <t>Natural Caffeine Anhydrous 98% (from Arabica Coffee Bean)</t>
    </r>
  </si>
  <si>
    <r>
      <rPr>
        <sz val="9"/>
        <color rgb="FF000000"/>
        <rFont val="Calibri"/>
        <family val="2"/>
      </rPr>
      <t>Scutellaria Baicalensis Extract Baicalin 80% HPLC (Skullcap Extract Baicali</t>
    </r>
  </si>
  <si>
    <r>
      <rPr>
        <sz val="9"/>
        <color rgb="FF000000"/>
        <rFont val="Calibri"/>
        <family val="2"/>
      </rPr>
      <t>Vitamin B9 (as Folic Acid)</t>
    </r>
  </si>
  <si>
    <r>
      <rPr>
        <sz val="9"/>
        <color rgb="FF000000"/>
        <rFont val="Calibri"/>
        <family val="2"/>
      </rPr>
      <t>Beet Root Extract 4:1TLC</t>
    </r>
  </si>
  <si>
    <r>
      <rPr>
        <sz val="9"/>
        <color rgb="FF000000"/>
        <rFont val="Calibri"/>
        <family val="2"/>
      </rPr>
      <t>Glucomannan Extract 95% Fiber &amp; 95% Glucomannan UV</t>
    </r>
  </si>
  <si>
    <r>
      <rPr>
        <sz val="9"/>
        <color rgb="FF000000"/>
        <rFont val="Calibri"/>
        <family val="2"/>
      </rPr>
      <t>Panax Ginseng 80% Ginsenosides UV</t>
    </r>
  </si>
  <si>
    <r>
      <rPr>
        <sz val="9"/>
        <color rgb="FF000000"/>
        <rFont val="Calibri"/>
        <family val="2"/>
      </rPr>
      <t>Citrus Aurantium Extract Naringin 98% HPLC</t>
    </r>
  </si>
  <si>
    <r>
      <rPr>
        <sz val="9"/>
        <color rgb="FF000000"/>
        <rFont val="Calibri"/>
        <family val="2"/>
      </rPr>
      <t>L-Glycine</t>
    </r>
  </si>
  <si>
    <r>
      <rPr>
        <sz val="9"/>
        <color rgb="FF000000"/>
        <rFont val="Calibri"/>
        <family val="2"/>
      </rPr>
      <t>Natural Caffeine Anhydrous 90% (from coffee bean)</t>
    </r>
  </si>
  <si>
    <r>
      <rPr>
        <sz val="9"/>
        <color rgb="FF000000"/>
        <rFont val="Calibri"/>
        <family val="2"/>
      </rPr>
      <t>Schizandra Fruit Powder</t>
    </r>
  </si>
  <si>
    <r>
      <rPr>
        <sz val="9"/>
        <color rgb="FF000000"/>
        <rFont val="Calibri"/>
        <family val="2"/>
      </rPr>
      <t>Vitamin E Acetate 40-50% (D-Alpha Tocopherol 40-50%)</t>
    </r>
  </si>
  <si>
    <r>
      <rPr>
        <sz val="9"/>
        <color rgb="FF000000"/>
        <rFont val="Calibri"/>
        <family val="2"/>
      </rPr>
      <t>Beet Root Extract 10:1</t>
    </r>
  </si>
  <si>
    <r>
      <rPr>
        <sz val="9"/>
        <color rgb="FF000000"/>
        <rFont val="Calibri"/>
        <family val="2"/>
      </rPr>
      <t>Glucomannan Extract 90% Glucomannan HPLC</t>
    </r>
  </si>
  <si>
    <r>
      <rPr>
        <sz val="9"/>
        <color rgb="FF000000"/>
        <rFont val="Calibri"/>
        <family val="2"/>
      </rPr>
      <t>Palatinose (TM) (min. 98% isomaltulose)</t>
    </r>
  </si>
  <si>
    <r>
      <rPr>
        <sz val="9"/>
        <color rgb="FF000000"/>
        <rFont val="Calibri"/>
        <family val="2"/>
      </rPr>
      <t>Citrus Aurantium Extract Hesperidin 50% HPLC</t>
    </r>
  </si>
  <si>
    <r>
      <rPr>
        <sz val="9"/>
        <color rgb="FF000000"/>
        <rFont val="Calibri"/>
        <family val="2"/>
      </rPr>
      <t>L-Glutamine AKG 2:1</t>
    </r>
  </si>
  <si>
    <r>
      <rPr>
        <sz val="9"/>
        <color rgb="FF000000"/>
        <rFont val="Calibri"/>
        <family val="2"/>
      </rPr>
      <t>Naringin 98%</t>
    </r>
  </si>
  <si>
    <r>
      <rPr>
        <sz val="9"/>
        <color rgb="FF000000"/>
        <rFont val="Calibri"/>
        <family val="2"/>
      </rPr>
      <t>Schizandra A (2% Schizandrins)</t>
    </r>
  </si>
  <si>
    <r>
      <rPr>
        <sz val="9"/>
        <color rgb="FF000000"/>
        <rFont val="Calibri"/>
        <family val="2"/>
      </rPr>
      <t>Vitamin E 50% (as DL-Alpha-Tocopheryl Acetate)</t>
    </r>
  </si>
  <si>
    <r>
      <rPr>
        <sz val="9"/>
        <color rgb="FF000000"/>
        <rFont val="Calibri"/>
        <family val="2"/>
      </rPr>
      <t>Beta Glucan (1,3/1,6) 85%</t>
    </r>
  </si>
  <si>
    <r>
      <rPr>
        <sz val="9"/>
        <color rgb="FF000000"/>
        <rFont val="Calibri"/>
        <family val="2"/>
      </rPr>
      <t>Goji Berry Extract 10:1 TLC</t>
    </r>
  </si>
  <si>
    <r>
      <rPr>
        <sz val="9"/>
        <color rgb="FF000000"/>
        <rFont val="Calibri"/>
        <family val="2"/>
      </rPr>
      <t>Oyster Mushroom Powder</t>
    </r>
  </si>
  <si>
    <r>
      <rPr>
        <sz val="9"/>
        <color rgb="FF000000"/>
        <rFont val="Calibri"/>
        <family val="2"/>
      </rPr>
      <t>Citrus Aurantium Extract Bioflavonoids 50% HPLC</t>
    </r>
  </si>
  <si>
    <r>
      <rPr>
        <sz val="9"/>
        <color rgb="FF000000"/>
        <rFont val="Calibri"/>
        <family val="2"/>
      </rPr>
      <t>L-Glutamic Acid Hydrochloride</t>
    </r>
  </si>
  <si>
    <r>
      <rPr>
        <sz val="9"/>
        <color rgb="FF000000"/>
        <rFont val="Calibri"/>
        <family val="2"/>
      </rPr>
      <t>Nettle Root Extract 10:1 TLC</t>
    </r>
  </si>
  <si>
    <r>
      <rPr>
        <sz val="9"/>
        <color rgb="FF000000"/>
        <rFont val="Calibri"/>
        <family val="2"/>
      </rPr>
      <t>Selenium(as Selenium Citrate)(1%)</t>
    </r>
  </si>
  <si>
    <r>
      <rPr>
        <sz val="9"/>
        <color rgb="FF000000"/>
        <rFont val="Calibri"/>
        <family val="2"/>
      </rPr>
      <t>Vitamin E (Natural D-Alpha Tocopheryl Succinate 1185)</t>
    </r>
  </si>
  <si>
    <r>
      <rPr>
        <sz val="9"/>
        <color rgb="FF000000"/>
        <rFont val="Calibri"/>
        <family val="2"/>
      </rPr>
      <t>Beta Alanine (NB)</t>
    </r>
  </si>
  <si>
    <r>
      <rPr>
        <sz val="9"/>
        <color rgb="FF000000"/>
        <rFont val="Calibri"/>
        <family val="2"/>
      </rPr>
      <t>Glycerol Monostearate</t>
    </r>
  </si>
  <si>
    <r>
      <rPr>
        <sz val="9"/>
        <color rgb="FF000000"/>
        <rFont val="Calibri"/>
        <family val="2"/>
      </rPr>
      <t>Organic Wheat Grass Juice Powder</t>
    </r>
  </si>
  <si>
    <r>
      <rPr>
        <sz val="9"/>
        <color rgb="FF000000"/>
        <rFont val="Calibri"/>
        <family val="2"/>
      </rPr>
      <t>CLA (Conjugated Linoleic Acid ) 80% FFA (Oil)</t>
    </r>
  </si>
  <si>
    <r>
      <rPr>
        <sz val="9"/>
        <color rgb="FF000000"/>
        <rFont val="Calibri"/>
        <family val="2"/>
      </rPr>
      <t>L-Lysine 60 Mesh</t>
    </r>
  </si>
  <si>
    <r>
      <rPr>
        <sz val="9"/>
        <color rgb="FF000000"/>
        <rFont val="Calibri"/>
        <family val="2"/>
      </rPr>
      <t>Nettle leaf extract 10:1</t>
    </r>
  </si>
  <si>
    <r>
      <rPr>
        <sz val="9"/>
        <color rgb="FF000000"/>
        <rFont val="Calibri"/>
        <family val="2"/>
      </rPr>
      <t>Selenium Glycinate 1%</t>
    </r>
  </si>
  <si>
    <r>
      <rPr>
        <sz val="9"/>
        <color rgb="FF000000"/>
        <rFont val="Calibri"/>
        <family val="2"/>
      </rPr>
      <t>Vitamin D3 crystal with 40 million u/g</t>
    </r>
  </si>
  <si>
    <r>
      <rPr>
        <sz val="9"/>
        <color rgb="FF000000"/>
        <rFont val="Calibri"/>
        <family val="2"/>
      </rPr>
      <t>Beta Alanine</t>
    </r>
  </si>
  <si>
    <r>
      <rPr>
        <sz val="9"/>
        <color rgb="FF000000"/>
        <rFont val="Calibri"/>
        <family val="2"/>
      </rPr>
      <t>Glutamine Alpha Ketoglutarate</t>
    </r>
  </si>
  <si>
    <r>
      <rPr>
        <sz val="9"/>
        <color rgb="FF000000"/>
        <rFont val="Calibri"/>
        <family val="2"/>
      </rPr>
      <t>Panax Ginseng Root Extract 4:1</t>
    </r>
  </si>
  <si>
    <r>
      <rPr>
        <sz val="9"/>
        <color rgb="FF000000"/>
        <rFont val="Calibri"/>
        <family val="2"/>
      </rPr>
      <t>Berberine HCL 97% Titration</t>
    </r>
  </si>
  <si>
    <r>
      <rPr>
        <sz val="9"/>
        <color rgb="FF000000"/>
        <rFont val="Calibri"/>
        <family val="2"/>
      </rPr>
      <t>Citrus Extract Hesperidin 40%</t>
    </r>
  </si>
  <si>
    <r>
      <rPr>
        <sz val="9"/>
        <color rgb="FF000000"/>
        <rFont val="Calibri"/>
        <family val="2"/>
      </rPr>
      <t>L-Leucine (Hydrolyzed)</t>
    </r>
  </si>
  <si>
    <r>
      <rPr>
        <sz val="9"/>
        <color rgb="FF000000"/>
        <rFont val="Calibri"/>
        <family val="2"/>
      </rPr>
      <t>Nettle Extract Beta sitosterol 0.8%</t>
    </r>
  </si>
  <si>
    <r>
      <rPr>
        <sz val="9"/>
        <color rgb="FF000000"/>
        <rFont val="Calibri"/>
        <family val="2"/>
      </rPr>
      <t>Selenium Amino Acid Chelate 0.2%</t>
    </r>
  </si>
  <si>
    <r>
      <rPr>
        <sz val="9"/>
        <color rgb="FF000000"/>
        <rFont val="Calibri"/>
        <family val="2"/>
      </rPr>
      <t>Wakame Powder</t>
    </r>
  </si>
  <si>
    <r>
      <rPr>
        <sz val="9"/>
        <color rgb="FF000000"/>
        <rFont val="Calibri"/>
        <family val="2"/>
      </rPr>
      <t>Glucosamine sulfate sodium chloride DC 95%</t>
    </r>
  </si>
  <si>
    <r>
      <rPr>
        <sz val="9"/>
        <color rgb="FF000000"/>
        <rFont val="Calibri"/>
        <family val="2"/>
      </rPr>
      <t>Panax Ginseng Extract Ginsenosides 5% UV (Stems &amp; Leaves)</t>
    </r>
  </si>
  <si>
    <r>
      <rPr>
        <sz val="9"/>
        <color rgb="FF000000"/>
        <rFont val="Calibri"/>
        <family val="2"/>
      </rPr>
      <t>Vitamin K2 MK4 1.3% oil</t>
    </r>
  </si>
  <si>
    <r>
      <rPr>
        <sz val="9"/>
        <color rgb="FF000000"/>
        <rFont val="Calibri"/>
        <family val="2"/>
      </rPr>
      <t>Bilberry Extract 6% Anthocyanidins</t>
    </r>
  </si>
  <si>
    <r>
      <rPr>
        <sz val="9"/>
        <color rgb="FF000000"/>
        <rFont val="Calibri"/>
        <family val="2"/>
      </rPr>
      <t>Citrus Bioflavonoids 25% (citrus spp.)(fruit)</t>
    </r>
  </si>
  <si>
    <r>
      <rPr>
        <sz val="9"/>
        <color rgb="FF000000"/>
        <rFont val="Calibri"/>
        <family val="2"/>
      </rPr>
      <t>L-Leucine (Fermented)</t>
    </r>
  </si>
  <si>
    <r>
      <rPr>
        <sz val="9"/>
        <color rgb="FF000000"/>
        <rFont val="Calibri"/>
        <family val="2"/>
      </rPr>
      <t>Nectarine Juice Pwd</t>
    </r>
  </si>
  <si>
    <r>
      <rPr>
        <sz val="9"/>
        <color rgb="FF000000"/>
        <rFont val="Calibri"/>
        <family val="2"/>
      </rPr>
      <t>Sea Moss Extract 10:1</t>
    </r>
  </si>
  <si>
    <r>
      <rPr>
        <sz val="9"/>
        <color rgb="FF000000"/>
        <rFont val="Calibri"/>
        <family val="2"/>
      </rPr>
      <t>Goldenseal Extract 4:1 (root)</t>
    </r>
  </si>
  <si>
    <r>
      <rPr>
        <sz val="9"/>
        <color rgb="FF000000"/>
        <rFont val="Calibri"/>
        <family val="2"/>
      </rPr>
      <t>Panax Ginseng Extract Ginsenosides 20%</t>
    </r>
  </si>
  <si>
    <r>
      <rPr>
        <sz val="9"/>
        <color rgb="FF000000"/>
        <rFont val="Calibri"/>
        <family val="2"/>
      </rPr>
      <t>Vitamin K2 MK-7 0.5% Powder</t>
    </r>
  </si>
  <si>
    <r>
      <rPr>
        <sz val="9"/>
        <color rgb="FF000000"/>
        <rFont val="Calibri"/>
        <family val="2"/>
      </rPr>
      <t>Bilberry Extract 10:1</t>
    </r>
  </si>
  <si>
    <r>
      <rPr>
        <sz val="9"/>
        <color rgb="FF000000"/>
        <rFont val="Calibri"/>
        <family val="2"/>
      </rPr>
      <t>Citrus Bergamot 25:1</t>
    </r>
  </si>
  <si>
    <r>
      <rPr>
        <sz val="9"/>
        <color rgb="FF000000"/>
        <rFont val="Calibri"/>
        <family val="2"/>
      </rPr>
      <t>L-Hydroxyproline Powder</t>
    </r>
  </si>
  <si>
    <r>
      <rPr>
        <sz val="9"/>
        <color rgb="FF000000"/>
        <rFont val="Calibri"/>
        <family val="2"/>
      </rPr>
      <t>Noni Fruit Extract 10:1 TLC</t>
    </r>
  </si>
  <si>
    <r>
      <rPr>
        <sz val="9"/>
        <color rgb="FF000000"/>
        <rFont val="Calibri"/>
        <family val="2"/>
      </rPr>
      <t>Shilajit Extract Powder 20% Fulvic Acid</t>
    </r>
  </si>
  <si>
    <r>
      <rPr>
        <sz val="9"/>
        <color rgb="FF000000"/>
        <rFont val="Calibri"/>
        <family val="2"/>
      </rPr>
      <t>Golden flaxseed powder -Smash</t>
    </r>
  </si>
  <si>
    <r>
      <rPr>
        <sz val="9"/>
        <color rgb="FF000000"/>
        <rFont val="Calibri"/>
        <family val="2"/>
      </rPr>
      <t>Panax Ginseng Extract Ginsenosides 10% HPLC (Root &amp; Stem)</t>
    </r>
  </si>
  <si>
    <r>
      <rPr>
        <sz val="9"/>
        <color rgb="FF000000"/>
        <rFont val="Calibri"/>
        <family val="2"/>
      </rPr>
      <t>VITAMIN E D-ALPHA TOCOPHEROL SUCCINATE</t>
    </r>
  </si>
  <si>
    <r>
      <rPr>
        <sz val="9"/>
        <color rgb="FF000000"/>
        <rFont val="Calibri"/>
        <family val="2"/>
      </rPr>
      <t>Betaine HCl</t>
    </r>
  </si>
  <si>
    <r>
      <rPr>
        <sz val="9"/>
        <color rgb="FF000000"/>
        <rFont val="Calibri"/>
        <family val="2"/>
      </rPr>
      <t>Cocoa Extract 10% Theobromine</t>
    </r>
  </si>
  <si>
    <r>
      <rPr>
        <sz val="9"/>
        <color rgb="FF000000"/>
        <rFont val="Calibri"/>
        <family val="2"/>
      </rPr>
      <t>L-Ornithine HCL</t>
    </r>
  </si>
  <si>
    <r>
      <rPr>
        <sz val="9"/>
        <color rgb="FF000000"/>
        <rFont val="Calibri"/>
        <family val="2"/>
      </rPr>
      <t>Nigella Seed powder</t>
    </r>
  </si>
  <si>
    <r>
      <rPr>
        <sz val="9"/>
        <color rgb="FF000000"/>
        <rFont val="Calibri"/>
        <family val="2"/>
      </rPr>
      <t>serratula sogdiana extract 10:1</t>
    </r>
  </si>
  <si>
    <r>
      <rPr>
        <sz val="9"/>
        <color rgb="FF000000"/>
        <rFont val="Calibri"/>
        <family val="2"/>
      </rPr>
      <t>Goji Berry Powder</t>
    </r>
  </si>
  <si>
    <r>
      <rPr>
        <sz val="9"/>
        <color rgb="FF000000"/>
        <rFont val="Calibri"/>
        <family val="2"/>
      </rPr>
      <t>Papain 6000 USP</t>
    </r>
  </si>
  <si>
    <r>
      <rPr>
        <sz val="9"/>
        <color rgb="FF000000"/>
        <rFont val="Calibri"/>
        <family val="2"/>
      </rPr>
      <t>Beta-Nicotinamide Mononucleotide (NMN)</t>
    </r>
  </si>
  <si>
    <r>
      <rPr>
        <sz val="9"/>
        <color rgb="FF000000"/>
        <rFont val="Calibri"/>
        <family val="2"/>
      </rPr>
      <t>Cnidium monnieri extract 10:1</t>
    </r>
  </si>
  <si>
    <r>
      <rPr>
        <sz val="9"/>
        <color rgb="FF000000"/>
        <rFont val="Calibri"/>
        <family val="2"/>
      </rPr>
      <t>L-Ornithine AKG 1:1</t>
    </r>
  </si>
  <si>
    <r>
      <rPr>
        <sz val="9"/>
        <color rgb="FF000000"/>
        <rFont val="Calibri"/>
        <family val="2"/>
      </rPr>
      <t>Nicotinamide Riboside (NR)</t>
    </r>
  </si>
  <si>
    <r>
      <rPr>
        <sz val="9"/>
        <color rgb="FF000000"/>
        <rFont val="Calibri"/>
        <family val="2"/>
      </rPr>
      <t>Senna Leaf Extract Sennosides 20% UV</t>
    </r>
  </si>
  <si>
    <r>
      <rPr>
        <sz val="9"/>
        <color rgb="FF000000"/>
        <rFont val="Calibri"/>
        <family val="2"/>
      </rPr>
      <t>Goji Berry Extract Polysaccharide 50% UV</t>
    </r>
  </si>
  <si>
    <r>
      <rPr>
        <sz val="9"/>
        <color rgb="FF000000"/>
        <rFont val="Calibri"/>
        <family val="2"/>
      </rPr>
      <t>Pantethine 55%</t>
    </r>
  </si>
  <si>
    <r>
      <rPr>
        <sz val="9"/>
        <color rgb="FF000000"/>
        <rFont val="Calibri"/>
        <family val="2"/>
      </rPr>
      <t>Bitter Melon Ext. (10% Charantin)</t>
    </r>
  </si>
  <si>
    <r>
      <rPr>
        <sz val="9"/>
        <color rgb="FF000000"/>
        <rFont val="Calibri"/>
        <family val="2"/>
      </rPr>
      <t>Clostridium Butyricum 10B</t>
    </r>
  </si>
  <si>
    <r>
      <rPr>
        <sz val="9"/>
        <color rgb="FF000000"/>
        <rFont val="Calibri"/>
        <family val="2"/>
      </rPr>
      <t>L-Methylfolate Calcium Salt</t>
    </r>
  </si>
  <si>
    <r>
      <rPr>
        <sz val="9"/>
        <color rgb="FF000000"/>
        <rFont val="Calibri"/>
        <family val="2"/>
      </rPr>
      <t>Nettle root extract standardized to beta sitosterol 5%</t>
    </r>
  </si>
  <si>
    <r>
      <rPr>
        <sz val="9"/>
        <color rgb="FF000000"/>
        <rFont val="Calibri"/>
        <family val="2"/>
      </rPr>
      <t>Senna Leaf 4:1 Extract</t>
    </r>
  </si>
  <si>
    <r>
      <rPr>
        <sz val="9"/>
        <color rgb="FF000000"/>
        <rFont val="Calibri"/>
        <family val="2"/>
      </rPr>
      <t>Grape fruit Powder</t>
    </r>
  </si>
  <si>
    <r>
      <rPr>
        <sz val="9"/>
        <color rgb="FF000000"/>
        <rFont val="Calibri"/>
        <family val="2"/>
      </rPr>
      <t>Nori seaweed powder</t>
    </r>
  </si>
  <si>
    <r>
      <rPr>
        <sz val="9"/>
        <color rgb="FF000000"/>
        <rFont val="Calibri"/>
        <family val="2"/>
      </rPr>
      <t>Panax Notoginseng Root Extract 4:1 TLC</t>
    </r>
  </si>
  <si>
    <r>
      <rPr>
        <sz val="9"/>
        <color rgb="FF000000"/>
        <rFont val="Calibri"/>
        <family val="2"/>
      </rPr>
      <t>Birch Bark Extract with Betulinic Acid 10% HPLC</t>
    </r>
  </si>
  <si>
    <r>
      <rPr>
        <sz val="9"/>
        <color rgb="FF000000"/>
        <rFont val="Calibri"/>
        <family val="2"/>
      </rPr>
      <t>CLA Powder (Conjugated Linoleic Acid) 60% TG WDP</t>
    </r>
  </si>
  <si>
    <r>
      <rPr>
        <sz val="9"/>
        <color rgb="FF000000"/>
        <rFont val="Calibri"/>
        <family val="2"/>
      </rPr>
      <t>L-Lysine Mono HCl Granular</t>
    </r>
  </si>
  <si>
    <r>
      <rPr>
        <sz val="9"/>
        <color rgb="FF000000"/>
        <rFont val="Calibri"/>
        <family val="2"/>
      </rPr>
      <t>Tokyo Violet Herb Extract 4-1 (Viola yedoensis)</t>
    </r>
  </si>
  <si>
    <r>
      <rPr>
        <sz val="9"/>
        <color rgb="FF000000"/>
        <rFont val="Calibri"/>
        <family val="2"/>
      </rPr>
      <t>Gotu Kola Extract 4:1 TLC (Centella Asiatica Extract)</t>
    </r>
  </si>
  <si>
    <r>
      <rPr>
        <sz val="9"/>
        <color rgb="FF000000"/>
        <rFont val="Calibri"/>
        <family val="2"/>
      </rPr>
      <t>Nopal Castus powder</t>
    </r>
  </si>
  <si>
    <r>
      <rPr>
        <sz val="9"/>
        <color rgb="FF000000"/>
        <rFont val="Calibri"/>
        <family val="2"/>
      </rPr>
      <t>Panax Ginseng Root Powder</t>
    </r>
  </si>
  <si>
    <r>
      <rPr>
        <sz val="9"/>
        <color rgb="FF000000"/>
        <rFont val="Calibri"/>
        <family val="2"/>
      </rPr>
      <t>Bilberry leaf Powder</t>
    </r>
  </si>
  <si>
    <r>
      <rPr>
        <sz val="9"/>
        <color rgb="FF000000"/>
        <rFont val="Calibri"/>
        <family val="2"/>
      </rPr>
      <t>Coconut Oil Powder 50% (DK-FG)</t>
    </r>
  </si>
  <si>
    <r>
      <rPr>
        <sz val="9"/>
        <color rgb="FF000000"/>
        <rFont val="Calibri"/>
        <family val="2"/>
      </rPr>
      <t>L-Theanine</t>
    </r>
  </si>
  <si>
    <r>
      <rPr>
        <sz val="9"/>
        <color rgb="FF000000"/>
        <rFont val="Calibri"/>
        <family val="2"/>
      </rPr>
      <t>Titanium Dioxide</t>
    </r>
  </si>
  <si>
    <r>
      <rPr>
        <sz val="9"/>
        <color rgb="FF000000"/>
        <rFont val="Calibri"/>
        <family val="2"/>
      </rPr>
      <t>Gotu Kola (Centella Asiatica) Powder</t>
    </r>
  </si>
  <si>
    <r>
      <rPr>
        <sz val="9"/>
        <color rgb="FF000000"/>
        <rFont val="Calibri"/>
        <family val="2"/>
      </rPr>
      <t>Nopal Cactus 10:1 Extract</t>
    </r>
  </si>
  <si>
    <r>
      <rPr>
        <sz val="9"/>
        <color rgb="FF000000"/>
        <rFont val="Calibri"/>
        <family val="2"/>
      </rPr>
      <t>Raspberry Ketone P.E. 4%</t>
    </r>
  </si>
  <si>
    <r>
      <rPr>
        <sz val="9"/>
        <color rgb="FF000000"/>
        <rFont val="Calibri"/>
        <family val="2"/>
      </rPr>
      <t>Bilberry Extract European Anthocyanins 25% HPLC</t>
    </r>
  </si>
  <si>
    <r>
      <rPr>
        <sz val="9"/>
        <color rgb="FF000000"/>
        <rFont val="Calibri"/>
        <family val="2"/>
      </rPr>
      <t>Coconut MCT Oil Powder 70% (DK-FG)</t>
    </r>
  </si>
  <si>
    <r>
      <rPr>
        <sz val="9"/>
        <color rgb="FF000000"/>
        <rFont val="Calibri"/>
        <family val="2"/>
      </rPr>
      <t>L-Serine</t>
    </r>
  </si>
  <si>
    <r>
      <rPr>
        <sz val="9"/>
        <color rgb="FF000000"/>
        <rFont val="Calibri"/>
        <family val="2"/>
      </rPr>
      <t>Thyme (standardized to thymol) 10%</t>
    </r>
  </si>
  <si>
    <r>
      <rPr>
        <sz val="9"/>
        <color rgb="FF000000"/>
        <rFont val="Calibri"/>
        <family val="2"/>
      </rPr>
      <t>Goldenseal Root Powder</t>
    </r>
  </si>
  <si>
    <r>
      <rPr>
        <sz val="9"/>
        <color rgb="FF000000"/>
        <rFont val="Calibri"/>
        <family val="2"/>
      </rPr>
      <t>Noni Root and Stem Extract 10:1</t>
    </r>
  </si>
  <si>
    <r>
      <rPr>
        <sz val="9"/>
        <color rgb="FF000000"/>
        <rFont val="Calibri"/>
        <family val="2"/>
      </rPr>
      <t>Raspberry Extract 10:1 TLC</t>
    </r>
  </si>
  <si>
    <r>
      <rPr>
        <sz val="9"/>
        <color rgb="FF000000"/>
        <rFont val="Calibri"/>
        <family val="2"/>
      </rPr>
      <t>Black Carrot Extract Anthocyanidins 10% UV (CP Standard)</t>
    </r>
  </si>
  <si>
    <r>
      <rPr>
        <sz val="9"/>
        <color rgb="FF000000"/>
        <rFont val="Calibri"/>
        <family val="2"/>
      </rPr>
      <t>Cocoa Extract 99% Theobromine</t>
    </r>
  </si>
  <si>
    <r>
      <rPr>
        <sz val="9"/>
        <color rgb="FF000000"/>
        <rFont val="Calibri"/>
        <family val="2"/>
      </rPr>
      <t>L-Pyroglutamic Acid</t>
    </r>
  </si>
  <si>
    <r>
      <rPr>
        <sz val="9"/>
        <color rgb="FF000000"/>
        <rFont val="Calibri"/>
        <family val="2"/>
      </rPr>
      <t>Theobromine 99% (synthetic)</t>
    </r>
  </si>
  <si>
    <r>
      <rPr>
        <sz val="9"/>
        <color rgb="FF000000"/>
        <rFont val="Calibri"/>
        <family val="2"/>
      </rPr>
      <t>Grape Skin Extract 40% Polyphenol UV</t>
    </r>
  </si>
  <si>
    <r>
      <rPr>
        <sz val="9"/>
        <color rgb="FF000000"/>
        <rFont val="Calibri"/>
        <family val="2"/>
      </rPr>
      <t>Organic Holy Basil Powder</t>
    </r>
  </si>
  <si>
    <r>
      <rPr>
        <sz val="9"/>
        <color rgb="FF000000"/>
        <rFont val="Calibri"/>
        <family val="2"/>
      </rPr>
      <t>R-Alpha Lipoic Acid Sodium</t>
    </r>
  </si>
  <si>
    <r>
      <rPr>
        <sz val="9"/>
        <color rgb="FF000000"/>
        <rFont val="Calibri"/>
        <family val="2"/>
      </rPr>
      <t>Bitter Orange Peel Powder</t>
    </r>
  </si>
  <si>
    <r>
      <rPr>
        <sz val="9"/>
        <color rgb="FF000000"/>
        <rFont val="Calibri"/>
        <family val="2"/>
      </rPr>
      <t>Cocoa Extract 40% Theobromine</t>
    </r>
  </si>
  <si>
    <r>
      <rPr>
        <sz val="9"/>
        <color rgb="FF000000"/>
        <rFont val="Calibri"/>
        <family val="2"/>
      </rPr>
      <t>L-Phenylalanine</t>
    </r>
  </si>
  <si>
    <r>
      <rPr>
        <sz val="9"/>
        <color rgb="FF000000"/>
        <rFont val="Calibri"/>
        <family val="2"/>
      </rPr>
      <t>Trehalose</t>
    </r>
  </si>
  <si>
    <r>
      <rPr>
        <sz val="9"/>
        <color rgb="FF000000"/>
        <rFont val="Calibri"/>
        <family val="2"/>
      </rPr>
      <t>Coleus Forskohlii Extract Forskolin 1% HPLC (Plectranthus Barbatus Extract,</t>
    </r>
  </si>
  <si>
    <r>
      <rPr>
        <sz val="9"/>
        <color rgb="FF000000"/>
        <rFont val="Calibri"/>
        <family val="2"/>
      </rPr>
      <t>Grape Seed Extract 5:1</t>
    </r>
  </si>
  <si>
    <r>
      <rPr>
        <sz val="9"/>
        <color rgb="FF000000"/>
        <rFont val="Calibri"/>
        <family val="2"/>
      </rPr>
      <t>Organic Hibiscus extract</t>
    </r>
  </si>
  <si>
    <r>
      <rPr>
        <sz val="9"/>
        <color rgb="FF000000"/>
        <rFont val="Calibri"/>
        <family val="2"/>
      </rPr>
      <t>Quinoa Powder</t>
    </r>
  </si>
  <si>
    <r>
      <rPr>
        <sz val="9"/>
        <color rgb="FF000000"/>
        <rFont val="Calibri"/>
        <family val="2"/>
      </rPr>
      <t>Bitter Orange Extract 10:1</t>
    </r>
  </si>
  <si>
    <r>
      <rPr>
        <sz val="9"/>
        <color rgb="FF000000"/>
        <rFont val="Calibri"/>
        <family val="2"/>
      </rPr>
      <t>Marigold Extract 20% Oil</t>
    </r>
  </si>
  <si>
    <r>
      <rPr>
        <sz val="9"/>
        <color rgb="FF000000"/>
        <rFont val="Calibri"/>
        <family val="2"/>
      </rPr>
      <t>Tongkat Ali Root Extract 200:1 TLC (Eurycoma Longifolia Jack Extract)</t>
    </r>
  </si>
  <si>
    <r>
      <rPr>
        <sz val="9"/>
        <color rgb="FF000000"/>
        <rFont val="Calibri"/>
        <family val="2"/>
      </rPr>
      <t>Coleus Forskohlii (std. extract)(min.20% forskolin)(root)</t>
    </r>
  </si>
  <si>
    <r>
      <rPr>
        <sz val="9"/>
        <color rgb="FF000000"/>
        <rFont val="Calibri"/>
        <family val="2"/>
      </rPr>
      <t>Grape Seed Extract 4:1</t>
    </r>
  </si>
  <si>
    <r>
      <rPr>
        <sz val="9"/>
        <color rgb="FF000000"/>
        <rFont val="Calibri"/>
        <family val="2"/>
      </rPr>
      <t>Organic Hemp Protein 55%</t>
    </r>
  </si>
  <si>
    <r>
      <rPr>
        <sz val="9"/>
        <color rgb="FF000000"/>
        <rFont val="Calibri"/>
        <family val="2"/>
      </rPr>
      <t>Red Clover Blossom Powder</t>
    </r>
  </si>
  <si>
    <r>
      <rPr>
        <sz val="9"/>
        <color rgb="FF000000"/>
        <rFont val="Calibri"/>
        <family val="2"/>
      </rPr>
      <t>Bitter Melon Extract Momordicoside 10% UV</t>
    </r>
  </si>
  <si>
    <r>
      <rPr>
        <sz val="9"/>
        <color rgb="FF000000"/>
        <rFont val="Calibri"/>
        <family val="2"/>
      </rPr>
      <t>Maqui Berry Extract 4:1</t>
    </r>
  </si>
  <si>
    <r>
      <rPr>
        <sz val="9"/>
        <color rgb="FF000000"/>
        <rFont val="Calibri"/>
        <family val="2"/>
      </rPr>
      <t>Tongkat Ali Powder</t>
    </r>
  </si>
  <si>
    <r>
      <rPr>
        <sz val="9"/>
        <color rgb="FF000000"/>
        <rFont val="Calibri"/>
        <family val="2"/>
      </rPr>
      <t>Coenzyme Q10 6%</t>
    </r>
  </si>
  <si>
    <r>
      <rPr>
        <sz val="9"/>
        <color rgb="FF000000"/>
        <rFont val="Calibri"/>
        <family val="2"/>
      </rPr>
      <t>Grape Seed Extract (90% Polyphenol, 25% Monomers)</t>
    </r>
  </si>
  <si>
    <r>
      <rPr>
        <sz val="9"/>
        <color rgb="FF000000"/>
        <rFont val="Calibri"/>
        <family val="2"/>
      </rPr>
      <t>Organic Hawthorn Berry Powder</t>
    </r>
  </si>
  <si>
    <r>
      <rPr>
        <sz val="9"/>
        <color rgb="FF000000"/>
        <rFont val="Calibri"/>
        <family val="2"/>
      </rPr>
      <t>Rauwolfia Vomitoria Root PE (90% Alpha Yohimbe)</t>
    </r>
  </si>
  <si>
    <r>
      <rPr>
        <sz val="9"/>
        <color rgb="FF000000"/>
        <rFont val="Calibri"/>
        <family val="2"/>
      </rPr>
      <t>Black Currant Fruit Powder</t>
    </r>
  </si>
  <si>
    <r>
      <rPr>
        <sz val="9"/>
        <color rgb="FF000000"/>
        <rFont val="Calibri"/>
        <family val="2"/>
      </rPr>
      <t>Mangosteen Extract 10:1 TLC</t>
    </r>
  </si>
  <si>
    <r>
      <rPr>
        <sz val="9"/>
        <color rgb="FF000000"/>
        <rFont val="Calibri"/>
        <family val="2"/>
      </rPr>
      <t>Tongkat Ali Extract 2% Eurycomanone</t>
    </r>
  </si>
  <si>
    <r>
      <rPr>
        <sz val="9"/>
        <color rgb="FF000000"/>
        <rFont val="Calibri"/>
        <family val="2"/>
      </rPr>
      <t>Coconut Water Powder</t>
    </r>
  </si>
  <si>
    <r>
      <rPr>
        <sz val="9"/>
        <color rgb="FF000000"/>
        <rFont val="Calibri"/>
        <family val="2"/>
      </rPr>
      <t>IBCAA 2:1:1 (Granular)</t>
    </r>
  </si>
  <si>
    <r>
      <rPr>
        <sz val="9"/>
        <color rgb="FF000000"/>
        <rFont val="Calibri"/>
        <family val="2"/>
      </rPr>
      <t>Organic Kiwi powder</t>
    </r>
  </si>
  <si>
    <r>
      <rPr>
        <sz val="9"/>
        <color rgb="FF000000"/>
        <rFont val="Calibri"/>
        <family val="2"/>
      </rPr>
      <t>Rauwolfia Plant PE (90% Alpha Yohimbe)</t>
    </r>
  </si>
  <si>
    <r>
      <rPr>
        <sz val="9"/>
        <color rgb="FF000000"/>
        <rFont val="Calibri"/>
        <family val="2"/>
      </rPr>
      <t>Black Cumin Seed Powder (Nigella Sativa)</t>
    </r>
  </si>
  <si>
    <r>
      <rPr>
        <sz val="9"/>
        <color rgb="FF000000"/>
        <rFont val="Calibri"/>
        <family val="2"/>
      </rPr>
      <t>Mango Powder</t>
    </r>
  </si>
  <si>
    <r>
      <rPr>
        <sz val="9"/>
        <color rgb="FF000000"/>
        <rFont val="Calibri"/>
        <family val="2"/>
      </rPr>
      <t>Tribulus Terrestris Extract 10:1 TLC</t>
    </r>
  </si>
  <si>
    <r>
      <rPr>
        <sz val="9"/>
        <color rgb="FF000000"/>
        <rFont val="Calibri"/>
        <family val="2"/>
      </rPr>
      <t>Eyebright Herb Extract 4:1</t>
    </r>
  </si>
  <si>
    <r>
      <rPr>
        <sz val="9"/>
        <color rgb="FF000000"/>
        <rFont val="Calibri"/>
        <family val="2"/>
      </rPr>
      <t>IBCAA 2:1:1 (Fermented) (NB)</t>
    </r>
  </si>
  <si>
    <r>
      <rPr>
        <sz val="9"/>
        <color rgb="FF000000"/>
        <rFont val="Calibri"/>
        <family val="2"/>
      </rPr>
      <t>Organic Kale Powder</t>
    </r>
  </si>
  <si>
    <r>
      <rPr>
        <sz val="9"/>
        <color rgb="FF000000"/>
        <rFont val="Calibri"/>
        <family val="2"/>
      </rPr>
      <t>Raspberry Leaf Powder</t>
    </r>
  </si>
  <si>
    <r>
      <rPr>
        <sz val="9"/>
        <color rgb="FF000000"/>
        <rFont val="Calibri"/>
        <family val="2"/>
      </rPr>
      <t>Black Cohosh Extract Total Triterpene Sapoins 2.5% HPLC</t>
    </r>
  </si>
  <si>
    <r>
      <rPr>
        <sz val="9"/>
        <color rgb="FF000000"/>
        <rFont val="Calibri"/>
        <family val="2"/>
      </rPr>
      <t>Marshmallow Root Powder</t>
    </r>
  </si>
  <si>
    <r>
      <rPr>
        <sz val="9"/>
        <color rgb="FF000000"/>
        <rFont val="Calibri"/>
        <family val="2"/>
      </rPr>
      <t>Red Spinach 4:1</t>
    </r>
  </si>
  <si>
    <r>
      <rPr>
        <sz val="9"/>
        <color rgb="FF000000"/>
        <rFont val="Calibri"/>
        <family val="2"/>
      </rPr>
      <t>Tribulus Terrestris (90% Saponins)</t>
    </r>
  </si>
  <si>
    <r>
      <rPr>
        <sz val="9"/>
        <color rgb="FF000000"/>
        <rFont val="Calibri"/>
        <family val="2"/>
      </rPr>
      <t>Evodiamine 98%</t>
    </r>
  </si>
  <si>
    <r>
      <rPr>
        <sz val="9"/>
        <color rgb="FF000000"/>
        <rFont val="Calibri"/>
        <family val="2"/>
      </rPr>
      <t>Hyssop Powder</t>
    </r>
  </si>
  <si>
    <r>
      <rPr>
        <sz val="9"/>
        <color rgb="FF000000"/>
        <rFont val="Calibri"/>
        <family val="2"/>
      </rPr>
      <t>Organic Irish Moss Powder</t>
    </r>
  </si>
  <si>
    <r>
      <rPr>
        <sz val="9"/>
        <color rgb="FF000000"/>
        <rFont val="Calibri"/>
        <family val="2"/>
      </rPr>
      <t>Black Cherry Extract 10:1</t>
    </r>
  </si>
  <si>
    <r>
      <rPr>
        <sz val="9"/>
        <color rgb="FF000000"/>
        <rFont val="Calibri"/>
        <family val="2"/>
      </rPr>
      <t>Marshmallow Extract 10:1 TLC</t>
    </r>
  </si>
  <si>
    <r>
      <rPr>
        <sz val="9"/>
        <color rgb="FF000000"/>
        <rFont val="Calibri"/>
        <family val="2"/>
      </rPr>
      <t>Red Root Powder (cenothus americanus)</t>
    </r>
  </si>
  <si>
    <r>
      <rPr>
        <sz val="9"/>
        <color rgb="FF000000"/>
        <rFont val="Calibri"/>
        <family val="2"/>
      </rPr>
      <t>Tribulus P.E. 20% Saponins</t>
    </r>
  </si>
  <si>
    <r>
      <rPr>
        <sz val="9"/>
        <color rgb="FF000000"/>
        <rFont val="Calibri"/>
        <family val="2"/>
      </rPr>
      <t>Evodiae Extract 10:1 TLC</t>
    </r>
  </si>
  <si>
    <r>
      <rPr>
        <sz val="9"/>
        <color rgb="FF000000"/>
        <rFont val="Calibri"/>
        <family val="2"/>
      </rPr>
      <t>Hydroxymethylfurfural</t>
    </r>
  </si>
  <si>
    <r>
      <rPr>
        <sz val="9"/>
        <color rgb="FF000000"/>
        <rFont val="Calibri"/>
        <family val="2"/>
      </rPr>
      <t>Organic Inulin (Chicory)</t>
    </r>
  </si>
  <si>
    <r>
      <rPr>
        <sz val="9"/>
        <color rgb="FF000000"/>
        <rFont val="Calibri"/>
        <family val="2"/>
      </rPr>
      <t>cassia seed extract 10:1</t>
    </r>
  </si>
  <si>
    <r>
      <rPr>
        <sz val="9"/>
        <color rgb="FF000000"/>
        <rFont val="Calibri"/>
        <family val="2"/>
      </rPr>
      <t>Marigold Flower Extract 5% Lutein HPLC</t>
    </r>
  </si>
  <si>
    <r>
      <rPr>
        <sz val="9"/>
        <color rgb="FF000000"/>
        <rFont val="Calibri"/>
        <family val="2"/>
      </rPr>
      <t>Red Marine Algae 4:1</t>
    </r>
  </si>
  <si>
    <r>
      <rPr>
        <sz val="9"/>
        <color rgb="FF000000"/>
        <rFont val="Calibri"/>
        <family val="2"/>
      </rPr>
      <t>Tribulus (Tribulus terrestris) Fruit 4:1 PE</t>
    </r>
  </si>
  <si>
    <r>
      <rPr>
        <sz val="9"/>
        <color rgb="FF000000"/>
        <rFont val="Calibri"/>
        <family val="2"/>
      </rPr>
      <t>Eucommia Ulmoides Leaf Extract Chlorogenic Acid 20% HPLC</t>
    </r>
  </si>
  <si>
    <r>
      <rPr>
        <sz val="9"/>
        <color rgb="FF000000"/>
        <rFont val="Calibri"/>
        <family val="2"/>
      </rPr>
      <t>Inositol Niacinate</t>
    </r>
  </si>
  <si>
    <r>
      <rPr>
        <sz val="9"/>
        <color rgb="FF000000"/>
        <rFont val="Calibri"/>
        <family val="2"/>
      </rPr>
      <t>Organic Maca Root Powder</t>
    </r>
  </si>
  <si>
    <r>
      <rPr>
        <sz val="9"/>
        <color rgb="FF000000"/>
        <rFont val="Calibri"/>
        <family val="2"/>
      </rPr>
      <t>Cascara Sagrada 4:1</t>
    </r>
  </si>
  <si>
    <r>
      <rPr>
        <sz val="9"/>
        <color rgb="FF000000"/>
        <rFont val="Calibri"/>
        <family val="2"/>
      </rPr>
      <t>Marigold Flower Extract 20% Lutein 2% Zeaxanthin HPLC</t>
    </r>
  </si>
  <si>
    <r>
      <rPr>
        <sz val="9"/>
        <color rgb="FF000000"/>
        <rFont val="Calibri"/>
        <family val="2"/>
      </rPr>
      <t>Red Gensing 5% Ginsenosides HPLC</t>
    </r>
  </si>
  <si>
    <r>
      <rPr>
        <sz val="9"/>
        <color rgb="FF000000"/>
        <rFont val="Calibri"/>
        <family val="2"/>
      </rPr>
      <t>Tripila extract 4:1</t>
    </r>
  </si>
  <si>
    <r>
      <rPr>
        <sz val="9"/>
        <color rgb="FF000000"/>
        <rFont val="Calibri"/>
        <family val="2"/>
      </rPr>
      <t>Apple Cider Vinegar Powder (Total Acids 5%)</t>
    </r>
  </si>
  <si>
    <r>
      <rPr>
        <sz val="9"/>
        <color rgb="FF000000"/>
        <rFont val="Calibri"/>
        <family val="2"/>
      </rPr>
      <t>Fennel (Foeniculum vulgare) Seed Extract 4:1</t>
    </r>
  </si>
  <si>
    <r>
      <rPr>
        <sz val="9"/>
        <color rgb="FF000000"/>
        <rFont val="Calibri"/>
        <family val="2"/>
      </rPr>
      <t>Inositol Granular</t>
    </r>
  </si>
  <si>
    <r>
      <rPr>
        <sz val="9"/>
        <color rgb="FF000000"/>
        <rFont val="Calibri"/>
        <family val="2"/>
      </rPr>
      <t>Organic Lion's Mane Mushroom Powder</t>
    </r>
  </si>
  <si>
    <r>
      <rPr>
        <sz val="9"/>
        <color rgb="FF000000"/>
        <rFont val="Calibri"/>
        <family val="2"/>
      </rPr>
      <t>Cascara 10% Hydroxyanthracene</t>
    </r>
  </si>
  <si>
    <r>
      <rPr>
        <sz val="9"/>
        <color rgb="FF000000"/>
        <rFont val="Calibri"/>
        <family val="2"/>
      </rPr>
      <t>MCT Powder 40% WDP</t>
    </r>
  </si>
  <si>
    <r>
      <rPr>
        <sz val="9"/>
        <color rgb="FF000000"/>
        <rFont val="Calibri"/>
        <family val="2"/>
      </rPr>
      <t>Resveratrol 3%</t>
    </r>
  </si>
  <si>
    <r>
      <rPr>
        <sz val="9"/>
        <color rgb="FF000000"/>
        <rFont val="Calibri"/>
        <family val="2"/>
      </rPr>
      <t>Triphala Extract 40% Tannins</t>
    </r>
  </si>
  <si>
    <r>
      <rPr>
        <sz val="9"/>
        <color rgb="FF000000"/>
        <rFont val="Calibri"/>
        <family val="2"/>
      </rPr>
      <t>Apple Cider Vinegar Powder (Malus pumila) 50%</t>
    </r>
  </si>
  <si>
    <r>
      <rPr>
        <sz val="9"/>
        <color rgb="FF000000"/>
        <rFont val="Calibri"/>
        <family val="2"/>
      </rPr>
      <t>Fadogia Agrestis Powder</t>
    </r>
  </si>
  <si>
    <r>
      <rPr>
        <sz val="9"/>
        <color rgb="FF000000"/>
        <rFont val="Calibri"/>
        <family val="2"/>
      </rPr>
      <t>Indole - 3 - Carbinole</t>
    </r>
  </si>
  <si>
    <r>
      <rPr>
        <sz val="9"/>
        <color rgb="FF000000"/>
        <rFont val="Calibri"/>
        <family val="2"/>
      </rPr>
      <t>Organic Lemongrass Powder</t>
    </r>
  </si>
  <si>
    <r>
      <rPr>
        <sz val="9"/>
        <color rgb="FF000000"/>
        <rFont val="Calibri"/>
        <family val="2"/>
      </rPr>
      <t>Carrot Granules -8+40</t>
    </r>
  </si>
  <si>
    <r>
      <rPr>
        <sz val="9"/>
        <color rgb="FF000000"/>
        <rFont val="Calibri"/>
        <family val="2"/>
      </rPr>
      <t>IBCAA 2:1:1 (Hydrolyzed) (NB)</t>
    </r>
  </si>
  <si>
    <r>
      <rPr>
        <sz val="9"/>
        <color rgb="FF000000"/>
        <rFont val="Calibri"/>
        <family val="2"/>
      </rPr>
      <t>MCT Oil Powder 70% (DK-FG)</t>
    </r>
  </si>
  <si>
    <r>
      <rPr>
        <sz val="9"/>
        <color rgb="FF000000"/>
        <rFont val="Calibri"/>
        <family val="2"/>
      </rPr>
      <t>Reishi mushroom powder</t>
    </r>
  </si>
  <si>
    <r>
      <rPr>
        <sz val="9"/>
        <color rgb="FF000000"/>
        <rFont val="Calibri"/>
        <family val="2"/>
      </rPr>
      <t>TriCalcium Phosphate</t>
    </r>
  </si>
  <si>
    <r>
      <rPr>
        <sz val="9"/>
        <color rgb="FF000000"/>
        <rFont val="Calibri"/>
        <family val="2"/>
      </rPr>
      <t>Andrographis Paniculata Extract 10:1 TLC</t>
    </r>
  </si>
  <si>
    <r>
      <rPr>
        <sz val="9"/>
        <color rgb="FF000000"/>
        <rFont val="Calibri"/>
        <family val="2"/>
      </rPr>
      <t>Fadogia Agrestis Extract 30:1</t>
    </r>
  </si>
  <si>
    <r>
      <rPr>
        <sz val="9"/>
        <color rgb="FF000000"/>
        <rFont val="Calibri"/>
        <family val="2"/>
      </rPr>
      <t>Organic Lemon Fruit Powder</t>
    </r>
  </si>
  <si>
    <r>
      <rPr>
        <sz val="9"/>
        <color rgb="FF000000"/>
        <rFont val="Calibri"/>
        <family val="2"/>
      </rPr>
      <t>Catuaba Bark Extract 4:1</t>
    </r>
  </si>
  <si>
    <r>
      <rPr>
        <sz val="9"/>
        <color rgb="FF000000"/>
        <rFont val="Calibri"/>
        <family val="2"/>
      </rPr>
      <t>Iron (as Ferrous Fumarate)</t>
    </r>
  </si>
  <si>
    <r>
      <rPr>
        <sz val="9"/>
        <color rgb="FF000000"/>
        <rFont val="Calibri"/>
        <family val="2"/>
      </rPr>
      <t>MCT Oil Powder 50% (DK-FG)</t>
    </r>
  </si>
  <si>
    <r>
      <rPr>
        <sz val="9"/>
        <color rgb="FF000000"/>
        <rFont val="Calibri"/>
        <family val="2"/>
      </rPr>
      <t>Reishi Mushroom Extract Polysaccharides 30% UV</t>
    </r>
  </si>
  <si>
    <r>
      <rPr>
        <sz val="9"/>
        <color rgb="FF000000"/>
        <rFont val="Calibri"/>
        <family val="2"/>
      </rPr>
      <t>Tribulus Terrestris Fruit Powder</t>
    </r>
  </si>
  <si>
    <r>
      <rPr>
        <sz val="9"/>
        <color rgb="FF000000"/>
        <rFont val="Calibri"/>
        <family val="2"/>
      </rPr>
      <t>Andrographis Extract 50%</t>
    </r>
  </si>
  <si>
    <r>
      <rPr>
        <sz val="9"/>
        <color rgb="FF000000"/>
        <rFont val="Calibri"/>
        <family val="2"/>
      </rPr>
      <t>Fadogia Agrestis Extract 10:1 (Stem)</t>
    </r>
  </si>
  <si>
    <r>
      <rPr>
        <sz val="9"/>
        <color rgb="FF000000"/>
        <rFont val="Calibri"/>
        <family val="2"/>
      </rPr>
      <t>Organic Millet Sprout Powder</t>
    </r>
  </si>
  <si>
    <r>
      <rPr>
        <sz val="9"/>
        <color rgb="FF000000"/>
        <rFont val="Calibri"/>
        <family val="2"/>
      </rPr>
      <t>Catuaba Bark Extract 20:1 TLC (Erythroxylum Catuaba)</t>
    </r>
  </si>
  <si>
    <r>
      <rPr>
        <sz val="9"/>
        <color rgb="FF000000"/>
        <rFont val="Calibri"/>
        <family val="2"/>
      </rPr>
      <t>IPRIFLAVONE (99%)</t>
    </r>
  </si>
  <si>
    <r>
      <rPr>
        <sz val="9"/>
        <color rgb="FF000000"/>
        <rFont val="Calibri"/>
        <family val="2"/>
      </rPr>
      <t>Matcha Green Tea (Matcha Tea Powder)</t>
    </r>
  </si>
  <si>
    <r>
      <rPr>
        <sz val="9"/>
        <color rgb="FF000000"/>
        <rFont val="Calibri"/>
        <family val="2"/>
      </rPr>
      <t>Red Yeast Rice Extract Monacolin-K 0.2% HPLC</t>
    </r>
  </si>
  <si>
    <r>
      <rPr>
        <sz val="9"/>
        <color rgb="FF000000"/>
        <rFont val="Calibri"/>
        <family val="2"/>
      </rPr>
      <t>Turkey Tail Mushroom Extract 50%</t>
    </r>
  </si>
  <si>
    <r>
      <rPr>
        <sz val="9"/>
        <color rgb="FF000000"/>
        <rFont val="Calibri"/>
        <family val="2"/>
      </rPr>
      <t>Aronia Extract 10:1 TLC</t>
    </r>
  </si>
  <si>
    <r>
      <rPr>
        <sz val="9"/>
        <color rgb="FF000000"/>
        <rFont val="Calibri"/>
        <family val="2"/>
      </rPr>
      <t>Fenugreek Seed Powder</t>
    </r>
  </si>
  <si>
    <r>
      <rPr>
        <sz val="9"/>
        <color rgb="FF000000"/>
        <rFont val="Calibri"/>
        <family val="2"/>
      </rPr>
      <t>Organic Matcha Green Tea Powder</t>
    </r>
  </si>
  <si>
    <r>
      <rPr>
        <sz val="9"/>
        <color rgb="FF000000"/>
        <rFont val="Calibri"/>
        <family val="2"/>
      </rPr>
      <t>Cat's Claw Extract (Alkaloids 3% UV)</t>
    </r>
  </si>
  <si>
    <r>
      <rPr>
        <sz val="9"/>
        <color rgb="FF000000"/>
        <rFont val="Calibri"/>
        <family val="2"/>
      </rPr>
      <t>Inulin 90% (chicory root)</t>
    </r>
  </si>
  <si>
    <r>
      <rPr>
        <sz val="9"/>
        <color rgb="FF000000"/>
        <rFont val="Calibri"/>
        <family val="2"/>
      </rPr>
      <t>Microcrystalline Cellulose 101 Powder</t>
    </r>
  </si>
  <si>
    <r>
      <rPr>
        <sz val="9"/>
        <color rgb="FF000000"/>
        <rFont val="Calibri"/>
        <family val="2"/>
      </rPr>
      <t>Rheum Rhaponticum Extract 4:1</t>
    </r>
  </si>
  <si>
    <r>
      <rPr>
        <sz val="9"/>
        <color rgb="FF000000"/>
        <rFont val="Calibri"/>
        <family val="2"/>
      </rPr>
      <t>Turkestanica Extract Turkesterone 10%</t>
    </r>
  </si>
  <si>
    <r>
      <rPr>
        <sz val="9"/>
        <color rgb="FF000000"/>
        <rFont val="Calibri"/>
        <family val="2"/>
      </rPr>
      <t>ARABINOGALACTAN SOLUBLE ( LARCH TREE 4:1)</t>
    </r>
  </si>
  <si>
    <r>
      <rPr>
        <sz val="9"/>
        <color rgb="FF000000"/>
        <rFont val="Calibri"/>
        <family val="2"/>
      </rPr>
      <t>Fenugreek Seed Extract 10:1 TLC</t>
    </r>
  </si>
  <si>
    <r>
      <rPr>
        <sz val="9"/>
        <color rgb="FF000000"/>
        <rFont val="Calibri"/>
        <family val="2"/>
      </rPr>
      <t>Organic Marshmallow Extract 10:1</t>
    </r>
  </si>
  <si>
    <r>
      <rPr>
        <sz val="9"/>
        <color rgb="FF000000"/>
        <rFont val="Calibri"/>
        <family val="2"/>
      </rPr>
      <t>Cat's Claw Bark Extract 4:1 TLC</t>
    </r>
  </si>
  <si>
    <r>
      <rPr>
        <sz val="9"/>
        <color rgb="FF000000"/>
        <rFont val="Calibri"/>
        <family val="2"/>
      </rPr>
      <t>Instant L-Leucine (Fermented)</t>
    </r>
  </si>
  <si>
    <r>
      <rPr>
        <sz val="9"/>
        <color rgb="FF000000"/>
        <rFont val="Calibri"/>
        <family val="2"/>
      </rPr>
      <t>Methylsulfonylmethane (MSM) 40-80 Mesh</t>
    </r>
  </si>
  <si>
    <r>
      <rPr>
        <sz val="9"/>
        <color rgb="FF000000"/>
        <rFont val="Calibri"/>
        <family val="2"/>
      </rPr>
      <t>ResVive 98 TM (Fermented)</t>
    </r>
  </si>
  <si>
    <r>
      <rPr>
        <sz val="9"/>
        <color rgb="FF000000"/>
        <rFont val="Calibri"/>
        <family val="2"/>
      </rPr>
      <t>TUDCA (as Tauroursodeoxycholic Acid)</t>
    </r>
  </si>
  <si>
    <r>
      <rPr>
        <sz val="9"/>
        <color rgb="FF000000"/>
        <rFont val="Calibri"/>
        <family val="2"/>
      </rPr>
      <t>Apple Pectin Powder</t>
    </r>
  </si>
  <si>
    <r>
      <rPr>
        <sz val="9"/>
        <color rgb="FF000000"/>
        <rFont val="Calibri"/>
        <family val="2"/>
      </rPr>
      <t>Fenugreek Extract (std. min 50% Saponins)(seed)</t>
    </r>
  </si>
  <si>
    <r>
      <rPr>
        <sz val="9"/>
        <color rgb="FF000000"/>
        <rFont val="Calibri"/>
        <family val="2"/>
      </rPr>
      <t>Organic Maitake Powder</t>
    </r>
  </si>
  <si>
    <r>
      <rPr>
        <sz val="9"/>
        <color rgb="FF000000"/>
        <rFont val="Calibri"/>
        <family val="2"/>
      </rPr>
      <t>TriSodium Phosphate Dodecahydrate</t>
    </r>
  </si>
  <si>
    <r>
      <rPr>
        <sz val="9"/>
        <color rgb="FF000000"/>
        <rFont val="Calibri"/>
        <family val="2"/>
      </rPr>
      <t>Apple Fiber</t>
    </r>
  </si>
  <si>
    <r>
      <rPr>
        <sz val="9"/>
        <color rgb="FF000000"/>
        <rFont val="Calibri"/>
        <family val="2"/>
      </rPr>
      <t>Celastrus Paniculatus 10:1</t>
    </r>
  </si>
  <si>
    <r>
      <rPr>
        <sz val="9"/>
        <color rgb="FF000000"/>
        <rFont val="Calibri"/>
        <family val="2"/>
      </rPr>
      <t>Juglandis Walnut Powder</t>
    </r>
  </si>
  <si>
    <r>
      <rPr>
        <sz val="9"/>
        <color rgb="FF000000"/>
        <rFont val="Calibri"/>
        <family val="2"/>
      </rPr>
      <t>Methylsulfonylmethane (MSM) 20-40 Mesh</t>
    </r>
  </si>
  <si>
    <r>
      <rPr>
        <sz val="9"/>
        <color rgb="FF000000"/>
        <rFont val="Calibri"/>
        <family val="2"/>
      </rPr>
      <t>Resveratrol 98% HPLC (Synthetic)</t>
    </r>
  </si>
  <si>
    <r>
      <rPr>
        <sz val="9"/>
        <color rgb="FF000000"/>
        <rFont val="Calibri"/>
        <family val="2"/>
      </rPr>
      <t>Fennel Seed Extract 10:1</t>
    </r>
  </si>
  <si>
    <r>
      <rPr>
        <sz val="9"/>
        <color rgb="FF000000"/>
        <rFont val="Calibri"/>
        <family val="2"/>
      </rPr>
      <t>Organic Nettle leaf Powder</t>
    </r>
  </si>
  <si>
    <r>
      <rPr>
        <sz val="9"/>
        <color rgb="FF000000"/>
        <rFont val="Calibri"/>
        <family val="2"/>
      </rPr>
      <t>Turmeric Extract Powder (Std. min. 95% curcuminoids)(root)(NH)</t>
    </r>
  </si>
  <si>
    <r>
      <rPr>
        <sz val="9"/>
        <color rgb="FF000000"/>
        <rFont val="Calibri"/>
        <family val="2"/>
      </rPr>
      <t>Ascophyllum nodosum (Kelp)</t>
    </r>
  </si>
  <si>
    <r>
      <rPr>
        <sz val="9"/>
        <color rgb="FF000000"/>
        <rFont val="Calibri"/>
        <family val="2"/>
      </rPr>
      <t>CDP Choline Sodium (Citicoline Sodium)</t>
    </r>
  </si>
  <si>
    <r>
      <rPr>
        <sz val="9"/>
        <color rgb="FF000000"/>
        <rFont val="Calibri"/>
        <family val="2"/>
      </rPr>
      <t>Japanese aralia root extract 30% Saponins (aralia elata)</t>
    </r>
  </si>
  <si>
    <r>
      <rPr>
        <sz val="9"/>
        <color rgb="FF000000"/>
        <rFont val="Calibri"/>
        <family val="2"/>
      </rPr>
      <t>Melatonin</t>
    </r>
  </si>
  <si>
    <r>
      <rPr>
        <sz val="9"/>
        <color rgb="FF000000"/>
        <rFont val="Calibri"/>
        <family val="2"/>
      </rPr>
      <t>Resveratrol 8% HPLC (Polygonum cuspidatum)</t>
    </r>
  </si>
  <si>
    <r>
      <rPr>
        <sz val="9"/>
        <color rgb="FF000000"/>
        <rFont val="Calibri"/>
        <family val="2"/>
      </rPr>
      <t>Flax Seed Extract 4% Lignans (Cellulose Based, No Carrier)</t>
    </r>
  </si>
  <si>
    <r>
      <rPr>
        <sz val="9"/>
        <color rgb="FF000000"/>
        <rFont val="Calibri"/>
        <family val="2"/>
      </rPr>
      <t>Organic Neem Leaf</t>
    </r>
  </si>
  <si>
    <r>
      <rPr>
        <sz val="9"/>
        <color rgb="FF000000"/>
        <rFont val="Calibri"/>
        <family val="2"/>
      </rPr>
      <t>Turmeric Extract Granular (Std. min. 95% curcuminoids)-Natural</t>
    </r>
  </si>
  <si>
    <r>
      <rPr>
        <sz val="9"/>
        <color rgb="FF000000"/>
        <rFont val="Calibri"/>
        <family val="2"/>
      </rPr>
      <t>Artichoke Extract Cynarin 5% UV</t>
    </r>
  </si>
  <si>
    <r>
      <rPr>
        <sz val="9"/>
        <color rgb="FF000000"/>
        <rFont val="Calibri"/>
        <family val="2"/>
      </rPr>
      <t>Cayenne pepper powder 4:1</t>
    </r>
  </si>
  <si>
    <r>
      <rPr>
        <sz val="9"/>
        <color rgb="FF000000"/>
        <rFont val="Calibri"/>
        <family val="2"/>
      </rPr>
      <t>Ivy Extract Hederacosides 10% HPLC (leaf)</t>
    </r>
  </si>
  <si>
    <r>
      <rPr>
        <sz val="9"/>
        <color rgb="FF000000"/>
        <rFont val="Calibri"/>
        <family val="2"/>
      </rPr>
      <t>Milk Thistle Extract Silymarin 80% UV (Silybin 30% HPLC)</t>
    </r>
  </si>
  <si>
    <r>
      <rPr>
        <sz val="9"/>
        <color rgb="FF000000"/>
        <rFont val="Calibri"/>
        <family val="2"/>
      </rPr>
      <t>Rhodiola Rosea Extract (Rosavins 3% Salidroside 1% HPLC)</t>
    </r>
  </si>
  <si>
    <r>
      <rPr>
        <sz val="9"/>
        <color rgb="FF000000"/>
        <rFont val="Calibri"/>
        <family val="2"/>
      </rPr>
      <t>Flax seed Extract 10:1</t>
    </r>
  </si>
  <si>
    <r>
      <rPr>
        <sz val="9"/>
        <color rgb="FF000000"/>
        <rFont val="Calibri"/>
        <family val="2"/>
      </rPr>
      <t>Organic mulberry powder</t>
    </r>
  </si>
  <si>
    <r>
      <rPr>
        <sz val="9"/>
        <color rgb="FF000000"/>
        <rFont val="Calibri"/>
        <family val="2"/>
      </rPr>
      <t>Turmeric Extract 20:1</t>
    </r>
  </si>
  <si>
    <r>
      <rPr>
        <sz val="9"/>
        <color rgb="FF000000"/>
        <rFont val="Calibri"/>
        <family val="2"/>
      </rPr>
      <t>Artichoke Extract 4:1 TLC (Canada)</t>
    </r>
  </si>
  <si>
    <r>
      <rPr>
        <sz val="9"/>
        <color rgb="FF000000"/>
        <rFont val="Calibri"/>
        <family val="2"/>
      </rPr>
      <t>Cayenne Pepper Extract 30,000 HU min</t>
    </r>
  </si>
  <si>
    <r>
      <rPr>
        <sz val="9"/>
        <color rgb="FF000000"/>
        <rFont val="Calibri"/>
        <family val="2"/>
      </rPr>
      <t>Isatis Root Extract 10:1 TLC</t>
    </r>
  </si>
  <si>
    <r>
      <rPr>
        <sz val="9"/>
        <color rgb="FF000000"/>
        <rFont val="Calibri"/>
        <family val="2"/>
      </rPr>
      <t>Milk Thistle Extract Silymarin 80% UV</t>
    </r>
  </si>
  <si>
    <r>
      <rPr>
        <sz val="9"/>
        <color rgb="FF000000"/>
        <rFont val="Calibri"/>
        <family val="2"/>
      </rPr>
      <t>Rhodiola Rosea 4:1</t>
    </r>
  </si>
  <si>
    <r>
      <rPr>
        <sz val="9"/>
        <color rgb="FF000000"/>
        <rFont val="Calibri"/>
        <family val="2"/>
      </rPr>
      <t>Fisetin 50%</t>
    </r>
  </si>
  <si>
    <r>
      <rPr>
        <sz val="9"/>
        <color rgb="FF000000"/>
        <rFont val="Calibri"/>
        <family val="2"/>
      </rPr>
      <t>Organic Monk Fruit Extract (50% Mogroside V)</t>
    </r>
  </si>
  <si>
    <r>
      <rPr>
        <sz val="9"/>
        <color rgb="FF000000"/>
        <rFont val="Calibri"/>
        <family val="2"/>
      </rPr>
      <t>Turmeric (Curcuma longa) Root 22-60:1 PE (95% Curcuminoids) (100%ethyl ace)</t>
    </r>
  </si>
  <si>
    <r>
      <rPr>
        <sz val="9"/>
        <color rgb="FF000000"/>
        <rFont val="Calibri"/>
        <family val="2"/>
      </rPr>
      <t>Artichoke Extract 4:1</t>
    </r>
  </si>
  <si>
    <r>
      <rPr>
        <sz val="9"/>
        <color rgb="FF000000"/>
        <rFont val="Calibri"/>
        <family val="2"/>
      </rPr>
      <t>Ceylon Cinnamon Powder</t>
    </r>
  </si>
  <si>
    <r>
      <rPr>
        <sz val="9"/>
        <color rgb="FF000000"/>
        <rFont val="Calibri"/>
        <family val="2"/>
      </rPr>
      <t>KALE POWDER</t>
    </r>
  </si>
  <si>
    <r>
      <rPr>
        <sz val="9"/>
        <color rgb="FF000000"/>
        <rFont val="Calibri"/>
        <family val="2"/>
      </rPr>
      <t>Milk Thistle Extract (4:1)(seed)</t>
    </r>
  </si>
  <si>
    <r>
      <rPr>
        <sz val="9"/>
        <color rgb="FF000000"/>
        <rFont val="Calibri"/>
        <family val="2"/>
      </rPr>
      <t>Rhodiola Rosea 10:1</t>
    </r>
  </si>
  <si>
    <r>
      <rPr>
        <sz val="9"/>
        <color rgb="FF000000"/>
        <rFont val="Calibri"/>
        <family val="2"/>
      </rPr>
      <t>Feverfew Extract 10:1 TLC</t>
    </r>
  </si>
  <si>
    <r>
      <rPr>
        <sz val="9"/>
        <color rgb="FF000000"/>
        <rFont val="Calibri"/>
        <family val="2"/>
      </rPr>
      <t>Micronized BCAA 2:1:1 200 mesh</t>
    </r>
  </si>
  <si>
    <r>
      <rPr>
        <sz val="9"/>
        <color rgb="FF000000"/>
        <rFont val="Calibri"/>
        <family val="2"/>
      </rPr>
      <t>Organic pea protein 80%</t>
    </r>
  </si>
  <si>
    <r>
      <rPr>
        <sz val="9"/>
        <color rgb="FF000000"/>
        <rFont val="Calibri"/>
        <family val="2"/>
      </rPr>
      <t>Uva Ursi Leaf Powder</t>
    </r>
  </si>
  <si>
    <r>
      <rPr>
        <sz val="9"/>
        <color rgb="FF000000"/>
        <rFont val="Calibri"/>
        <family val="2"/>
      </rPr>
      <t>Ashwagandha Extract Withanolides 5% HPLC (India)</t>
    </r>
  </si>
  <si>
    <r>
      <rPr>
        <sz val="9"/>
        <color rgb="FF000000"/>
        <rFont val="Calibri"/>
        <family val="2"/>
      </rPr>
      <t>Ceramide 1%</t>
    </r>
  </si>
  <si>
    <r>
      <rPr>
        <sz val="9"/>
        <color rgb="FF000000"/>
        <rFont val="Calibri"/>
        <family val="2"/>
      </rPr>
      <t>Kacip fatimah (Labisia pumila)(10:1)</t>
    </r>
  </si>
  <si>
    <r>
      <rPr>
        <sz val="9"/>
        <color rgb="FF000000"/>
        <rFont val="Calibri"/>
        <family val="2"/>
      </rPr>
      <t>Rhodiola (Rhodiola Crenulat) Root ext (3% Salidroside)</t>
    </r>
  </si>
  <si>
    <r>
      <rPr>
        <sz val="9"/>
        <color rgb="FF000000"/>
        <rFont val="Calibri"/>
        <family val="2"/>
      </rPr>
      <t>Flaxseed powder</t>
    </r>
  </si>
  <si>
    <r>
      <rPr>
        <sz val="9"/>
        <color rgb="FF000000"/>
        <rFont val="Calibri"/>
        <family val="2"/>
      </rPr>
      <t>Monk Fruit Ext(40% Mogroside V)</t>
    </r>
  </si>
  <si>
    <r>
      <rPr>
        <sz val="9"/>
        <color rgb="FF000000"/>
        <rFont val="Calibri"/>
        <family val="2"/>
      </rPr>
      <t>Organic papaya powder</t>
    </r>
  </si>
  <si>
    <r>
      <rPr>
        <sz val="9"/>
        <color rgb="FF000000"/>
        <rFont val="Calibri"/>
        <family val="2"/>
      </rPr>
      <t>Uva Ursi Extract(std. min. 20% Arbutin)(leaf)</t>
    </r>
  </si>
  <si>
    <r>
      <rPr>
        <sz val="9"/>
        <color rgb="FF000000"/>
        <rFont val="Calibri"/>
        <family val="2"/>
      </rPr>
      <t>Ashwagandha Extract 8% Withanolides</t>
    </r>
  </si>
  <si>
    <r>
      <rPr>
        <sz val="9"/>
        <color rgb="FF000000"/>
        <rFont val="Calibri"/>
        <family val="2"/>
      </rPr>
      <t>Celery Seed Extract 10:1</t>
    </r>
  </si>
  <si>
    <r>
      <rPr>
        <sz val="9"/>
        <color rgb="FF000000"/>
        <rFont val="Calibri"/>
        <family val="2"/>
      </rPr>
      <t>Juniper Berry Extract 4:1</t>
    </r>
  </si>
  <si>
    <r>
      <rPr>
        <sz val="9"/>
        <color rgb="FF000000"/>
        <rFont val="Calibri"/>
        <family val="2"/>
      </rPr>
      <t>Rhubarb Root Extract 10:1 TLC</t>
    </r>
  </si>
  <si>
    <r>
      <rPr>
        <sz val="9"/>
        <color rgb="FF000000"/>
        <rFont val="Calibri"/>
        <family val="2"/>
      </rPr>
      <t>Flaxseed Oil (Linseed Oil) 70% ALA (Oil)</t>
    </r>
  </si>
  <si>
    <r>
      <rPr>
        <sz val="9"/>
        <color rgb="FF000000"/>
        <rFont val="Calibri"/>
        <family val="2"/>
      </rPr>
      <t>Monk Fruit Ext (80% Mogrosides, 25% Mogroside-V)</t>
    </r>
  </si>
  <si>
    <r>
      <rPr>
        <sz val="9"/>
        <color rgb="FF000000"/>
        <rFont val="Calibri"/>
        <family val="2"/>
      </rPr>
      <t>Organic Oyster Mushroom Powder</t>
    </r>
  </si>
  <si>
    <r>
      <rPr>
        <sz val="9"/>
        <color rgb="FF000000"/>
        <rFont val="Calibri"/>
        <family val="2"/>
      </rPr>
      <t>Uva Ursi Extract 10:1 TLC</t>
    </r>
  </si>
  <si>
    <r>
      <rPr>
        <sz val="9"/>
        <color rgb="FF000000"/>
        <rFont val="Calibri"/>
        <family val="2"/>
      </rPr>
      <t>Ashwagandha Extract 20:1 TLC</t>
    </r>
  </si>
  <si>
    <r>
      <rPr>
        <sz val="9"/>
        <color rgb="FF000000"/>
        <rFont val="Calibri"/>
        <family val="2"/>
      </rPr>
      <t>Celery Leaf &amp; Stem Extract 3% Nitrates</t>
    </r>
  </si>
  <si>
    <r>
      <rPr>
        <sz val="9"/>
        <color rgb="FF000000"/>
        <rFont val="Calibri"/>
        <family val="2"/>
      </rPr>
      <t>Jujube Seed Extract 2% Saponins</t>
    </r>
  </si>
  <si>
    <r>
      <rPr>
        <sz val="9"/>
        <color rgb="FF000000"/>
        <rFont val="Calibri"/>
        <family val="2"/>
      </rPr>
      <t>Rhododendron (Rhododendron chrysanthum) Leaf 5:1 PE</t>
    </r>
  </si>
  <si>
    <r>
      <rPr>
        <sz val="9"/>
        <color rgb="FF000000"/>
        <rFont val="Calibri"/>
        <family val="2"/>
      </rPr>
      <t>Flaxseed Extract Lignans 20% HPLC</t>
    </r>
  </si>
  <si>
    <r>
      <rPr>
        <sz val="9"/>
        <color rgb="FF000000"/>
        <rFont val="Calibri"/>
        <family val="2"/>
      </rPr>
      <t>Mixed Tocopherol 90% Oil</t>
    </r>
  </si>
  <si>
    <r>
      <rPr>
        <sz val="9"/>
        <color rgb="FF000000"/>
        <rFont val="Calibri"/>
        <family val="2"/>
      </rPr>
      <t>Organic Oat fiber powder</t>
    </r>
  </si>
  <si>
    <r>
      <rPr>
        <sz val="9"/>
        <color rgb="FF000000"/>
        <rFont val="Calibri"/>
        <family val="2"/>
      </rPr>
      <t>Uridine Monophosphate</t>
    </r>
  </si>
  <si>
    <r>
      <rPr>
        <sz val="9"/>
        <color rgb="FF000000"/>
        <rFont val="Calibri"/>
        <family val="2"/>
      </rPr>
      <t>Ashwagandha 1.5% Withanolides</t>
    </r>
  </si>
  <si>
    <r>
      <rPr>
        <sz val="9"/>
        <color rgb="FF000000"/>
        <rFont val="Calibri"/>
        <family val="2"/>
      </rPr>
      <t>Chamomile Flower Extract 4:1</t>
    </r>
  </si>
  <si>
    <r>
      <rPr>
        <sz val="9"/>
        <color rgb="FF000000"/>
        <rFont val="Calibri"/>
        <family val="2"/>
      </rPr>
      <t>Kava Extract 70% Kavalactones</t>
    </r>
  </si>
  <si>
    <r>
      <rPr>
        <sz val="9"/>
        <color rgb="FF000000"/>
        <rFont val="Calibri"/>
        <family val="2"/>
      </rPr>
      <t>Rhodiola Rosea Extract Salidrosides 1% HPLC</t>
    </r>
  </si>
  <si>
    <r>
      <rPr>
        <sz val="9"/>
        <color rgb="FF000000"/>
        <rFont val="Calibri"/>
        <family val="2"/>
      </rPr>
      <t>Flax Seed Oil Powder</t>
    </r>
  </si>
  <si>
    <r>
      <rPr>
        <sz val="9"/>
        <color rgb="FF000000"/>
        <rFont val="Calibri"/>
        <family val="2"/>
      </rPr>
      <t>Mimosa Pudica Extract 10:1 TLC</t>
    </r>
  </si>
  <si>
    <r>
      <rPr>
        <sz val="9"/>
        <color rgb="FF000000"/>
        <rFont val="Calibri"/>
        <family val="2"/>
      </rPr>
      <t>Organic Pomegranate Powder</t>
    </r>
  </si>
  <si>
    <r>
      <rPr>
        <sz val="9"/>
        <color rgb="FF000000"/>
        <rFont val="Calibri"/>
        <family val="2"/>
      </rPr>
      <t>Vanadyl Sulfate Vanadium 19% Vanadyl Sulfate 97%</t>
    </r>
  </si>
  <si>
    <r>
      <rPr>
        <sz val="9"/>
        <color rgb="FF000000"/>
        <rFont val="Calibri"/>
        <family val="2"/>
      </rPr>
      <t>Astaxanthin (Natural) 5% Oil</t>
    </r>
  </si>
  <si>
    <r>
      <rPr>
        <sz val="9"/>
        <color rgb="FF000000"/>
        <rFont val="Calibri"/>
        <family val="2"/>
      </rPr>
      <t>Chamomile Extract 10:1</t>
    </r>
  </si>
  <si>
    <r>
      <rPr>
        <sz val="9"/>
        <color rgb="FF000000"/>
        <rFont val="Calibri"/>
        <family val="2"/>
      </rPr>
      <t>Kava Extract 10% Kavalactones HPLC</t>
    </r>
  </si>
  <si>
    <r>
      <rPr>
        <sz val="9"/>
        <color rgb="FF000000"/>
        <rFont val="Calibri"/>
        <family val="2"/>
      </rPr>
      <t>Rhodiola Rosea Extract (Rosavins 5% Salidroside 2% HPLC)</t>
    </r>
  </si>
  <si>
    <r>
      <rPr>
        <sz val="9"/>
        <color rgb="FF000000"/>
        <rFont val="Calibri"/>
        <family val="2"/>
      </rPr>
      <t>Chaga Mushroom Extract Polysaccharide 30% UV</t>
    </r>
  </si>
  <si>
    <r>
      <rPr>
        <sz val="9"/>
        <color rgb="FF000000"/>
        <rFont val="Calibri"/>
        <family val="2"/>
      </rPr>
      <t>Freeze Dried Apricot Powder</t>
    </r>
  </si>
  <si>
    <r>
      <rPr>
        <sz val="9"/>
        <color rgb="FF000000"/>
        <rFont val="Calibri"/>
        <family val="2"/>
      </rPr>
      <t>Moringa Oleifera Seed Extract 20:1</t>
    </r>
  </si>
  <si>
    <r>
      <rPr>
        <sz val="9"/>
        <color rgb="FF000000"/>
        <rFont val="Calibri"/>
        <family val="2"/>
      </rPr>
      <t>Organic pineapple fruit powder</t>
    </r>
  </si>
  <si>
    <r>
      <rPr>
        <sz val="9"/>
        <color rgb="FF000000"/>
        <rFont val="Calibri"/>
        <family val="2"/>
      </rPr>
      <t>Vanadium as Vanadyl sulfate (1% trituration)</t>
    </r>
  </si>
  <si>
    <r>
      <rPr>
        <sz val="9"/>
        <color rgb="FF000000"/>
        <rFont val="Calibri"/>
        <family val="2"/>
      </rPr>
      <t>Asparagus Extract 4:1 TLC</t>
    </r>
  </si>
  <si>
    <r>
      <rPr>
        <sz val="9"/>
        <color rgb="FF000000"/>
        <rFont val="Calibri"/>
        <family val="2"/>
      </rPr>
      <t>Kanna Extract 5% Polyphenols</t>
    </r>
  </si>
  <si>
    <r>
      <rPr>
        <sz val="9"/>
        <color rgb="FF000000"/>
        <rFont val="Calibri"/>
        <family val="2"/>
      </rPr>
      <t>Rosemary Extract 10:1 TLC</t>
    </r>
  </si>
  <si>
    <r>
      <rPr>
        <sz val="9"/>
        <color rgb="FF000000"/>
        <rFont val="Calibri"/>
        <family val="2"/>
      </rPr>
      <t>Chaga Mushroom Extract 10:1 TLC</t>
    </r>
  </si>
  <si>
    <r>
      <rPr>
        <sz val="9"/>
        <color rgb="FF000000"/>
        <rFont val="Calibri"/>
        <family val="2"/>
      </rPr>
      <t>FoTi Extract 10:1 TLC (Polygonum Multiflorum)</t>
    </r>
  </si>
  <si>
    <r>
      <rPr>
        <sz val="9"/>
        <color rgb="FF000000"/>
        <rFont val="Calibri"/>
        <family val="2"/>
      </rPr>
      <t>Moringa Leaf Extract 4:1 TLC</t>
    </r>
  </si>
  <si>
    <r>
      <rPr>
        <sz val="9"/>
        <color rgb="FF000000"/>
        <rFont val="Calibri"/>
        <family val="2"/>
      </rPr>
      <t>Organic Peppermint Leaf Extract 4:1</t>
    </r>
  </si>
  <si>
    <r>
      <rPr>
        <sz val="9"/>
        <color rgb="FF000000"/>
        <rFont val="Calibri"/>
        <family val="2"/>
      </rPr>
      <t>Valerian Root Extract 4:1 (Deodorized)</t>
    </r>
  </si>
  <si>
    <r>
      <rPr>
        <sz val="9"/>
        <color rgb="FF000000"/>
        <rFont val="Calibri"/>
        <family val="2"/>
      </rPr>
      <t>Ashwangandha Root Extract 4.5% Withanolides (Withania somnifera) (80 mesh</t>
    </r>
  </si>
  <si>
    <r>
      <rPr>
        <sz val="9"/>
        <color rgb="FF000000"/>
        <rFont val="Calibri"/>
        <family val="2"/>
      </rPr>
      <t>Kanna 10:1</t>
    </r>
  </si>
  <si>
    <r>
      <rPr>
        <sz val="9"/>
        <color rgb="FF000000"/>
        <rFont val="Calibri"/>
        <family val="2"/>
      </rPr>
      <t>Rose Hips Powder</t>
    </r>
  </si>
  <si>
    <r>
      <rPr>
        <sz val="9"/>
        <color rgb="FF000000"/>
        <rFont val="Calibri"/>
        <family val="2"/>
      </rPr>
      <t>Chia oil powder (DK-FG)</t>
    </r>
  </si>
  <si>
    <r>
      <rPr>
        <sz val="9"/>
        <color rgb="FF000000"/>
        <rFont val="Calibri"/>
        <family val="2"/>
      </rPr>
      <t>FOS (Fructo oligosaccharide) 90% powder</t>
    </r>
  </si>
  <si>
    <r>
      <rPr>
        <sz val="9"/>
        <color rgb="FF000000"/>
        <rFont val="Calibri"/>
        <family val="2"/>
      </rPr>
      <t>Mono Potassium Phosphate</t>
    </r>
  </si>
  <si>
    <r>
      <rPr>
        <sz val="9"/>
        <color rgb="FF000000"/>
        <rFont val="Calibri"/>
        <family val="2"/>
      </rPr>
      <t>Organic peach powder</t>
    </r>
  </si>
  <si>
    <r>
      <rPr>
        <sz val="9"/>
        <color rgb="FF000000"/>
        <rFont val="Calibri"/>
        <family val="2"/>
      </rPr>
      <t>Valerian Root Extract 10:1</t>
    </r>
  </si>
  <si>
    <r>
      <rPr>
        <sz val="9"/>
        <color rgb="FF000000"/>
        <rFont val="Calibri"/>
        <family val="2"/>
      </rPr>
      <t>Ashwagandha Root Powder</t>
    </r>
  </si>
  <si>
    <r>
      <rPr>
        <sz val="9"/>
        <color rgb="FF000000"/>
        <rFont val="Calibri"/>
        <family val="2"/>
      </rPr>
      <t>Kola Nut</t>
    </r>
  </si>
  <si>
    <r>
      <rPr>
        <sz val="9"/>
        <color rgb="FF000000"/>
        <rFont val="Calibri"/>
        <family val="2"/>
      </rPr>
      <t>Rice Protein 80%</t>
    </r>
  </si>
  <si>
    <r>
      <rPr>
        <sz val="9"/>
        <color rgb="FF000000"/>
        <rFont val="Calibri"/>
        <family val="2"/>
      </rPr>
      <t>Chaste Tree Berry Extract 4:1 TLC</t>
    </r>
  </si>
  <si>
    <r>
      <rPr>
        <sz val="9"/>
        <color rgb="FF000000"/>
        <rFont val="Calibri"/>
        <family val="2"/>
      </rPr>
      <t>Fomitopsis Extract Polysaccharides 30% UV (Phellinus Igniarius Extract)</t>
    </r>
  </si>
  <si>
    <r>
      <rPr>
        <sz val="9"/>
        <color rgb="FF000000"/>
        <rFont val="Calibri"/>
        <family val="2"/>
      </rPr>
      <t>Monk Fruit Extract 4:1 TLC</t>
    </r>
  </si>
  <si>
    <r>
      <rPr>
        <sz val="9"/>
        <color rgb="FF000000"/>
        <rFont val="Calibri"/>
        <family val="2"/>
      </rPr>
      <t>Organic Raspberry Fruit Powder</t>
    </r>
  </si>
  <si>
    <r>
      <rPr>
        <sz val="9"/>
        <color rgb="FF000000"/>
        <rFont val="Calibri"/>
        <family val="2"/>
      </rPr>
      <t>Stearoyl Vanillylamide</t>
    </r>
  </si>
  <si>
    <r>
      <rPr>
        <sz val="9"/>
        <color rgb="FF000000"/>
        <rFont val="Calibri"/>
        <family val="2"/>
      </rPr>
      <t>Astragalus Extract 10:1 TLC(root)</t>
    </r>
  </si>
  <si>
    <r>
      <rPr>
        <sz val="9"/>
        <color rgb="FF000000"/>
        <rFont val="Calibri"/>
        <family val="2"/>
      </rPr>
      <t>King Trumpet Mushroom Powder</t>
    </r>
  </si>
  <si>
    <r>
      <rPr>
        <sz val="9"/>
        <color rgb="FF000000"/>
        <rFont val="Calibri"/>
        <family val="2"/>
      </rPr>
      <t>Rhus Leaf Powder</t>
    </r>
  </si>
  <si>
    <r>
      <rPr>
        <sz val="9"/>
        <color rgb="FF000000"/>
        <rFont val="Calibri"/>
        <family val="2"/>
      </rPr>
      <t>Chaste berry P.E. 10:1</t>
    </r>
  </si>
  <si>
    <r>
      <rPr>
        <sz val="9"/>
        <color rgb="FF000000"/>
        <rFont val="Calibri"/>
        <family val="2"/>
      </rPr>
      <t>Galanthamine Hydrobromide</t>
    </r>
  </si>
  <si>
    <r>
      <rPr>
        <sz val="9"/>
        <color rgb="FF000000"/>
        <rFont val="Calibri"/>
        <family val="2"/>
      </rPr>
      <t>Mucuna Pruriens Extract (L-Dopa) 40% HPLC</t>
    </r>
  </si>
  <si>
    <r>
      <rPr>
        <sz val="9"/>
        <color rgb="FF000000"/>
        <rFont val="Calibri"/>
        <family val="2"/>
      </rPr>
      <t>Organic Purple Sweet Potato Powder</t>
    </r>
  </si>
  <si>
    <r>
      <rPr>
        <sz val="9"/>
        <color rgb="FF000000"/>
        <rFont val="Calibri"/>
        <family val="2"/>
      </rPr>
      <t>Starfruit Fruit Pwd</t>
    </r>
  </si>
  <si>
    <r>
      <rPr>
        <sz val="9"/>
        <color rgb="FF000000"/>
        <rFont val="Calibri"/>
        <family val="2"/>
      </rPr>
      <t>Astaxanthin Powder 2% HPLC</t>
    </r>
  </si>
  <si>
    <r>
      <rPr>
        <sz val="9"/>
        <color rgb="FF000000"/>
        <rFont val="Calibri"/>
        <family val="2"/>
      </rPr>
      <t>Kelp Extract 4:1 TLC (Laminaria digitate)</t>
    </r>
  </si>
  <si>
    <r>
      <rPr>
        <sz val="9"/>
        <color rgb="FF000000"/>
        <rFont val="Calibri"/>
        <family val="2"/>
      </rPr>
      <t>POLYPODIUM VULGARE (8% 20-ECD) EXTRACT</t>
    </r>
  </si>
  <si>
    <r>
      <rPr>
        <sz val="9"/>
        <color rgb="FF000000"/>
        <rFont val="Calibri"/>
        <family val="2"/>
      </rPr>
      <t>Chanca Piedra Extract 4:1 TLC</t>
    </r>
  </si>
  <si>
    <r>
      <rPr>
        <sz val="9"/>
        <color rgb="FF000000"/>
        <rFont val="Calibri"/>
        <family val="2"/>
      </rPr>
      <t>GAC Fruit 4:1</t>
    </r>
  </si>
  <si>
    <r>
      <rPr>
        <sz val="9"/>
        <color rgb="FF000000"/>
        <rFont val="Calibri"/>
        <family val="2"/>
      </rPr>
      <t>Mucuna Pruriens (L- Dopa) 60%</t>
    </r>
  </si>
  <si>
    <r>
      <rPr>
        <sz val="9"/>
        <color rgb="FF000000"/>
        <rFont val="Calibri"/>
        <family val="2"/>
      </rPr>
      <t>Organic Pumpkin Seed Protein 60%</t>
    </r>
  </si>
  <si>
    <r>
      <rPr>
        <sz val="9"/>
        <color rgb="FF000000"/>
        <rFont val="Calibri"/>
        <family val="2"/>
      </rPr>
      <t>St. John's Wort Extract Hypericins 0.3% UV</t>
    </r>
  </si>
  <si>
    <r>
      <rPr>
        <sz val="9"/>
        <color rgb="FF000000"/>
        <rFont val="Calibri"/>
        <family val="2"/>
      </rPr>
      <t>Astaxanthin 2.5% Beadlets</t>
    </r>
  </si>
  <si>
    <r>
      <rPr>
        <sz val="9"/>
        <color rgb="FF000000"/>
        <rFont val="Calibri"/>
        <family val="2"/>
      </rPr>
      <t>Kelp Extract 1% Iodine</t>
    </r>
  </si>
  <si>
    <r>
      <rPr>
        <sz val="9"/>
        <color rgb="FF000000"/>
        <rFont val="Calibri"/>
        <family val="2"/>
      </rPr>
      <t>Organic Psyllium Husk Powder 95%</t>
    </r>
  </si>
  <si>
    <r>
      <rPr>
        <sz val="9"/>
        <color rgb="FF000000"/>
        <rFont val="Calibri"/>
        <family val="2"/>
      </rPr>
      <t>Polygonum Multiforum Extract (Fo-it extract 10:1)</t>
    </r>
  </si>
  <si>
    <r>
      <rPr>
        <sz val="9"/>
        <color rgb="FF000000"/>
        <rFont val="Calibri"/>
        <family val="2"/>
      </rPr>
      <t>Choline DL-Bitartrate 98% DC (Choline 40%) 1% SiO2</t>
    </r>
  </si>
  <si>
    <r>
      <rPr>
        <sz val="9"/>
        <color rgb="FF000000"/>
        <rFont val="Calibri"/>
        <family val="2"/>
      </rPr>
      <t>Fucoxanthin 10%</t>
    </r>
  </si>
  <si>
    <r>
      <rPr>
        <sz val="9"/>
        <color rgb="FF000000"/>
        <rFont val="Calibri"/>
        <family val="2"/>
      </rPr>
      <t>Mucuna Pruriens (L- Dopa) 20%</t>
    </r>
  </si>
  <si>
    <r>
      <rPr>
        <sz val="9"/>
        <color rgb="FF000000"/>
        <rFont val="Calibri"/>
        <family val="2"/>
      </rPr>
      <t>Spirulina Powder</t>
    </r>
  </si>
  <si>
    <r>
      <rPr>
        <sz val="9"/>
        <color rgb="FF000000"/>
        <rFont val="Calibri"/>
        <family val="2"/>
      </rPr>
      <t>Astaxanthin (Synthetic) 5% Powder HPLC</t>
    </r>
  </si>
  <si>
    <r>
      <rPr>
        <sz val="9"/>
        <color rgb="FF000000"/>
        <rFont val="Calibri"/>
        <family val="2"/>
      </rPr>
      <t>L Arginine Pyroglutamate</t>
    </r>
  </si>
  <si>
    <r>
      <rPr>
        <sz val="9"/>
        <color rgb="FF000000"/>
        <rFont val="Calibri"/>
        <family val="2"/>
      </rPr>
      <t>Organic Brussel Sprout Powder</t>
    </r>
  </si>
  <si>
    <r>
      <rPr>
        <sz val="9"/>
        <color rgb="FF000000"/>
        <rFont val="Calibri"/>
        <family val="2"/>
      </rPr>
      <t>Polycosanol 99%</t>
    </r>
  </si>
  <si>
    <r>
      <rPr>
        <sz val="9"/>
        <color rgb="FF000000"/>
        <rFont val="Calibri"/>
        <family val="2"/>
      </rPr>
      <t>Choline Dihydrogen Citrate</t>
    </r>
  </si>
  <si>
    <r>
      <rPr>
        <sz val="9"/>
        <color rgb="FF000000"/>
        <rFont val="Calibri"/>
        <family val="2"/>
      </rPr>
      <t>Fructose (Krystar R 300)</t>
    </r>
  </si>
  <si>
    <r>
      <rPr>
        <sz val="9"/>
        <color rgb="FF000000"/>
        <rFont val="Calibri"/>
        <family val="2"/>
      </rPr>
      <t>Motherwort Extract 10:1 TLC</t>
    </r>
  </si>
  <si>
    <r>
      <rPr>
        <sz val="9"/>
        <color rgb="FF000000"/>
        <rFont val="Calibri"/>
        <family val="2"/>
      </rPr>
      <t>Stevia Reb M 90%</t>
    </r>
  </si>
  <si>
    <r>
      <rPr>
        <sz val="9"/>
        <color rgb="FF000000"/>
        <rFont val="Calibri"/>
        <family val="2"/>
      </rPr>
      <t>BACILLUS COAGULANS 150B</t>
    </r>
  </si>
  <si>
    <r>
      <rPr>
        <sz val="9"/>
        <color rgb="FF000000"/>
        <rFont val="Calibri"/>
        <family val="2"/>
      </rPr>
      <t>Korean Panax Ginseng Extract Ginsenosides 10% HPLC (100% Root)</t>
    </r>
  </si>
  <si>
    <r>
      <rPr>
        <sz val="9"/>
        <color rgb="FF000000"/>
        <rFont val="Calibri"/>
        <family val="2"/>
      </rPr>
      <t>Organic Broccoli Sprout Powder</t>
    </r>
  </si>
  <si>
    <r>
      <rPr>
        <sz val="9"/>
        <color rgb="FF000000"/>
        <rFont val="Calibri"/>
        <family val="2"/>
      </rPr>
      <t>Policosanol 99% (Oct 60%) From Rice Cane</t>
    </r>
  </si>
  <si>
    <r>
      <rPr>
        <sz val="9"/>
        <color rgb="FF000000"/>
        <rFont val="Calibri"/>
        <family val="2"/>
      </rPr>
      <t>Chicory Root Powder</t>
    </r>
  </si>
  <si>
    <r>
      <rPr>
        <sz val="9"/>
        <color rgb="FF000000"/>
        <rFont val="Calibri"/>
        <family val="2"/>
      </rPr>
      <t>Garcinia Cambogia Extract Hydroxycitric Acid (HCA) 60% HPLC</t>
    </r>
  </si>
  <si>
    <r>
      <rPr>
        <sz val="9"/>
        <color rgb="FF000000"/>
        <rFont val="Calibri"/>
        <family val="2"/>
      </rPr>
      <t>Magnesium Beta-Hydroxybutyrate (BHB)</t>
    </r>
  </si>
  <si>
    <r>
      <rPr>
        <sz val="9"/>
        <color rgb="FF000000"/>
        <rFont val="Calibri"/>
        <family val="2"/>
      </rPr>
      <t>Stevia RA 95% and RD 2%</t>
    </r>
  </si>
  <si>
    <r>
      <rPr>
        <sz val="9"/>
        <color rgb="FF000000"/>
        <rFont val="Calibri"/>
        <family val="2"/>
      </rPr>
      <t>Astragalus Root Powder</t>
    </r>
  </si>
  <si>
    <r>
      <rPr>
        <sz val="9"/>
        <color rgb="FF000000"/>
        <rFont val="Calibri"/>
        <family val="2"/>
      </rPr>
      <t>Korean Ginseng Extract 2%</t>
    </r>
  </si>
  <si>
    <r>
      <rPr>
        <sz val="9"/>
        <color rgb="FF000000"/>
        <rFont val="Calibri"/>
        <family val="2"/>
      </rPr>
      <t>Organic Boswellia extract Boswellic acid &amp;#8805;65%</t>
    </r>
  </si>
  <si>
    <r>
      <rPr>
        <sz val="9"/>
        <color rgb="FF000000"/>
        <rFont val="Calibri"/>
        <family val="2"/>
      </rPr>
      <t>Pomegranate Fruit Extract (40% Punicalagins)</t>
    </r>
  </si>
  <si>
    <r>
      <rPr>
        <sz val="9"/>
        <color rgb="FF000000"/>
        <rFont val="Calibri"/>
        <family val="2"/>
      </rPr>
      <t>Chickpea Protein Powder 80%</t>
    </r>
  </si>
  <si>
    <r>
      <rPr>
        <sz val="9"/>
        <color rgb="FF000000"/>
        <rFont val="Calibri"/>
        <family val="2"/>
      </rPr>
      <t>Garcinia Cambogia Extract 4:1</t>
    </r>
  </si>
  <si>
    <r>
      <rPr>
        <sz val="9"/>
        <color rgb="FF000000"/>
        <rFont val="Calibri"/>
        <family val="2"/>
      </rPr>
      <t>Magnesium (as Magnesium Succinate 28%)</t>
    </r>
  </si>
  <si>
    <r>
      <rPr>
        <sz val="9"/>
        <color rgb="FF000000"/>
        <rFont val="Calibri"/>
        <family val="2"/>
      </rPr>
      <t>Stevia (Steviosides 95%, RA 60%)</t>
    </r>
  </si>
  <si>
    <r>
      <rPr>
        <sz val="9"/>
        <color rgb="FF000000"/>
        <rFont val="Calibri"/>
        <family val="2"/>
      </rPr>
      <t>Astragalus Membranaceus Extract root 16% flavone &amp; polysacchar</t>
    </r>
  </si>
  <si>
    <r>
      <rPr>
        <sz val="9"/>
        <color rgb="FF000000"/>
        <rFont val="Calibri"/>
        <family val="2"/>
      </rPr>
      <t>Kola Nut Extract 4:1</t>
    </r>
  </si>
  <si>
    <r>
      <rPr>
        <sz val="9"/>
        <color rgb="FF000000"/>
        <rFont val="Calibri"/>
        <family val="2"/>
      </rPr>
      <t>Organic Blueberry Powder</t>
    </r>
  </si>
  <si>
    <r>
      <rPr>
        <sz val="9"/>
        <color rgb="FF000000"/>
        <rFont val="Calibri"/>
        <family val="2"/>
      </rPr>
      <t>Pomegranate Extract 40% Ellagic Acid</t>
    </r>
  </si>
  <si>
    <r>
      <rPr>
        <sz val="9"/>
        <color rgb="FF000000"/>
        <rFont val="Calibri"/>
        <family val="2"/>
      </rPr>
      <t>Chromium AA Chelate</t>
    </r>
  </si>
  <si>
    <r>
      <rPr>
        <sz val="9"/>
        <color rgb="FF000000"/>
        <rFont val="Calibri"/>
        <family val="2"/>
      </rPr>
      <t>Garcinia Cambogia 50% HPLC Granular</t>
    </r>
  </si>
  <si>
    <r>
      <rPr>
        <sz val="9"/>
        <color rgb="FF000000"/>
        <rFont val="Calibri"/>
        <family val="2"/>
      </rPr>
      <t>Magnesium (as Magnesium Stearate)</t>
    </r>
  </si>
  <si>
    <r>
      <rPr>
        <sz val="9"/>
        <color rgb="FF000000"/>
        <rFont val="Calibri"/>
        <family val="2"/>
      </rPr>
      <t>Stevia (90% Steviosides)</t>
    </r>
  </si>
  <si>
    <r>
      <rPr>
        <sz val="9"/>
        <color rgb="FF000000"/>
        <rFont val="Calibri"/>
        <family val="2"/>
      </rPr>
      <t>Astragalus Extract Polysaccharide 50%</t>
    </r>
  </si>
  <si>
    <r>
      <rPr>
        <sz val="9"/>
        <color rgb="FF000000"/>
        <rFont val="Calibri"/>
        <family val="2"/>
      </rPr>
      <t>Gamma-aminobutyric acid (GABA)</t>
    </r>
  </si>
  <si>
    <r>
      <rPr>
        <sz val="9"/>
        <color rgb="FF000000"/>
        <rFont val="Calibri"/>
        <family val="2"/>
      </rPr>
      <t>Hibiscus Extract (10% Anthocyanins)</t>
    </r>
  </si>
  <si>
    <r>
      <rPr>
        <sz val="9"/>
        <color rgb="FF000000"/>
        <rFont val="Calibri"/>
        <family val="2"/>
      </rPr>
      <t>Organic Cauliflower Extract 4:1</t>
    </r>
  </si>
  <si>
    <r>
      <rPr>
        <sz val="9"/>
        <color rgb="FF000000"/>
        <rFont val="Calibri"/>
        <family val="2"/>
      </rPr>
      <t>Pomegranate Ext 4:1</t>
    </r>
  </si>
  <si>
    <r>
      <rPr>
        <sz val="9"/>
        <color rgb="FF000000"/>
        <rFont val="Calibri"/>
        <family val="2"/>
      </rPr>
      <t>Chromium (as Chromium Polynicotinate)</t>
    </r>
  </si>
  <si>
    <r>
      <rPr>
        <sz val="9"/>
        <color rgb="FF000000"/>
        <rFont val="Calibri"/>
        <family val="2"/>
      </rPr>
      <t>Magnesium (as Magnesium Citrate, 30% Mg)</t>
    </r>
  </si>
  <si>
    <r>
      <rPr>
        <sz val="9"/>
        <color rgb="FF000000"/>
        <rFont val="Calibri"/>
        <family val="2"/>
      </rPr>
      <t>Stinging Nettle Root Extract (std. min. 95% 3,4-Divanillyltetrahydrofuran)</t>
    </r>
  </si>
  <si>
    <r>
      <rPr>
        <sz val="9"/>
        <color rgb="FF000000"/>
        <rFont val="Calibri"/>
        <family val="2"/>
      </rPr>
      <t>Bacopa monnieri Whole Plant Extract 10:1</t>
    </r>
  </si>
  <si>
    <r>
      <rPr>
        <sz val="9"/>
        <color rgb="FF000000"/>
        <rFont val="Calibri"/>
        <family val="2"/>
      </rPr>
      <t>Devils Claw Extract 20% Harpagosides UV</t>
    </r>
  </si>
  <si>
    <r>
      <rPr>
        <sz val="9"/>
        <color rgb="FF000000"/>
        <rFont val="Calibri"/>
        <family val="2"/>
      </rPr>
      <t>Hemp oil powder (DK-FG)</t>
    </r>
  </si>
  <si>
    <r>
      <rPr>
        <sz val="9"/>
        <color rgb="FF000000"/>
        <rFont val="Calibri"/>
        <family val="2"/>
      </rPr>
      <t>ORGANIC CARROT POWDER</t>
    </r>
  </si>
  <si>
    <r>
      <rPr>
        <sz val="9"/>
        <color rgb="FF000000"/>
        <rFont val="Calibri"/>
        <family val="2"/>
      </rPr>
      <t>Polypodium vulgare powder</t>
    </r>
  </si>
  <si>
    <r>
      <rPr>
        <sz val="9"/>
        <color rgb="FF000000"/>
        <rFont val="Calibri"/>
        <family val="2"/>
      </rPr>
      <t>Chondroitin Sulfate Sodium</t>
    </r>
  </si>
  <si>
    <r>
      <rPr>
        <sz val="9"/>
        <color rgb="FF000000"/>
        <rFont val="Calibri"/>
        <family val="2"/>
      </rPr>
      <t>Magnesium Citrate 62.5mg Bulk Gummy (unit)</t>
    </r>
  </si>
  <si>
    <r>
      <rPr>
        <sz val="9"/>
        <color rgb="FF000000"/>
        <rFont val="Calibri"/>
        <family val="2"/>
      </rPr>
      <t>Stinging Nettle Root ext. 10:1</t>
    </r>
  </si>
  <si>
    <r>
      <rPr>
        <sz val="9"/>
        <color rgb="FF000000"/>
        <rFont val="Calibri"/>
        <family val="2"/>
      </rPr>
      <t>Bacopa monnieri extract 50% bacosides</t>
    </r>
  </si>
  <si>
    <r>
      <rPr>
        <sz val="9"/>
        <color rgb="FF000000"/>
        <rFont val="Calibri"/>
        <family val="2"/>
      </rPr>
      <t>Dendrobium Extract 10:1</t>
    </r>
  </si>
  <si>
    <r>
      <rPr>
        <sz val="9"/>
        <color rgb="FF000000"/>
        <rFont val="Calibri"/>
        <family val="2"/>
      </rPr>
      <t>Hemerocallis Fulva Extract 10:1</t>
    </r>
  </si>
  <si>
    <r>
      <rPr>
        <sz val="9"/>
        <color rgb="FF000000"/>
        <rFont val="Calibri"/>
        <family val="2"/>
      </rPr>
      <t>Organic Cardamom Ground 4:1</t>
    </r>
  </si>
  <si>
    <r>
      <rPr>
        <sz val="9"/>
        <color rgb="FF000000"/>
        <rFont val="Calibri"/>
        <family val="2"/>
      </rPr>
      <t>Potassium (as Tripotassium citrate monohydrate)</t>
    </r>
  </si>
  <si>
    <r>
      <rPr>
        <sz val="9"/>
        <color rgb="FF000000"/>
        <rFont val="Calibri"/>
        <family val="2"/>
      </rPr>
      <t>Choline L-Bitartrate 98% DC (Choline 40%) 1% SiO2</t>
    </r>
  </si>
  <si>
    <r>
      <rPr>
        <sz val="9"/>
        <color rgb="FF000000"/>
        <rFont val="Calibri"/>
        <family val="2"/>
      </rPr>
      <t>Magnesium citrate (trimagnesium dicitrate) 14%-16% Mg</t>
    </r>
  </si>
  <si>
    <r>
      <rPr>
        <sz val="9"/>
        <color rgb="FF000000"/>
        <rFont val="Calibri"/>
        <family val="2"/>
      </rPr>
      <t>Stevia RebA 98%</t>
    </r>
  </si>
  <si>
    <r>
      <rPr>
        <sz val="9"/>
        <color rgb="FF000000"/>
        <rFont val="Calibri"/>
        <family val="2"/>
      </rPr>
      <t>Bacopa Monniera Extract Bacosides 20% UV</t>
    </r>
  </si>
  <si>
    <r>
      <rPr>
        <sz val="9"/>
        <color rgb="FF000000"/>
        <rFont val="Calibri"/>
        <family val="2"/>
      </rPr>
      <t>Deglycyrrhizinated Licorice Root Extract &lt;1% Hlycyrrhizic Acids HPLC</t>
    </r>
  </si>
  <si>
    <r>
      <rPr>
        <sz val="9"/>
        <color rgb="FF000000"/>
        <rFont val="Calibri"/>
        <family val="2"/>
      </rPr>
      <t>Hawthorne fruit 5% flavones</t>
    </r>
  </si>
  <si>
    <r>
      <rPr>
        <sz val="9"/>
        <color rgb="FF000000"/>
        <rFont val="Calibri"/>
        <family val="2"/>
      </rPr>
      <t>Organic Cabbage Powder</t>
    </r>
  </si>
  <si>
    <r>
      <rPr>
        <sz val="9"/>
        <color rgb="FF000000"/>
        <rFont val="Calibri"/>
        <family val="2"/>
      </rPr>
      <t>Poria Mushroom Powder</t>
    </r>
  </si>
  <si>
    <r>
      <rPr>
        <sz val="9"/>
        <color rgb="FF000000"/>
        <rFont val="Calibri"/>
        <family val="2"/>
      </rPr>
      <t>Butea superba powder</t>
    </r>
  </si>
  <si>
    <r>
      <rPr>
        <sz val="9"/>
        <color rgb="FF000000"/>
        <rFont val="Calibri"/>
        <family val="2"/>
      </rPr>
      <t>Magnesium Chelate 20%</t>
    </r>
  </si>
  <si>
    <r>
      <rPr>
        <sz val="9"/>
        <color rgb="FF000000"/>
        <rFont val="Calibri"/>
        <family val="2"/>
      </rPr>
      <t>Stevia RebA 80% (Total Steviosides 95%)</t>
    </r>
  </si>
  <si>
    <r>
      <rPr>
        <sz val="9"/>
        <color rgb="FF000000"/>
        <rFont val="Calibri"/>
        <family val="2"/>
      </rPr>
      <t>Bacopa (Bacopa monnieri) Whole Plant 15:1 PE</t>
    </r>
  </si>
  <si>
    <r>
      <rPr>
        <sz val="9"/>
        <color rgb="FF000000"/>
        <rFont val="Calibri"/>
        <family val="2"/>
      </rPr>
      <t>Deglycyrrhizinated Licorice &amp;#8804;3% (10:1) (DGL)</t>
    </r>
  </si>
  <si>
    <r>
      <rPr>
        <sz val="9"/>
        <color rgb="FF000000"/>
        <rFont val="Calibri"/>
        <family val="2"/>
      </rPr>
      <t>Holy Basil Extract 10:1 TLC</t>
    </r>
  </si>
  <si>
    <r>
      <rPr>
        <sz val="9"/>
        <color rgb="FF000000"/>
        <rFont val="Calibri"/>
        <family val="2"/>
      </rPr>
      <t>Organic Chaste tree berry 10:1</t>
    </r>
  </si>
  <si>
    <r>
      <rPr>
        <sz val="9"/>
        <color rgb="FF000000"/>
        <rFont val="Calibri"/>
        <family val="2"/>
      </rPr>
      <t>Porcine Gelatin 250 Bloom</t>
    </r>
  </si>
  <si>
    <r>
      <rPr>
        <sz val="9"/>
        <color rgb="FF000000"/>
        <rFont val="Calibri"/>
        <family val="2"/>
      </rPr>
      <t>Butcher�s Broom Extract 4:1 TLC</t>
    </r>
  </si>
  <si>
    <r>
      <rPr>
        <sz val="9"/>
        <color rgb="FF000000"/>
        <rFont val="Calibri"/>
        <family val="2"/>
      </rPr>
      <t>Magnesium Caprylate 7%</t>
    </r>
  </si>
  <si>
    <r>
      <rPr>
        <sz val="9"/>
        <color rgb="FF000000"/>
        <rFont val="Calibri"/>
        <family val="2"/>
      </rPr>
      <t>Pomegranate Seed Powder</t>
    </r>
  </si>
  <si>
    <r>
      <rPr>
        <sz val="9"/>
        <color rgb="FF000000"/>
        <rFont val="Calibri"/>
        <family val="2"/>
      </rPr>
      <t>Sulbutiamine</t>
    </r>
  </si>
  <si>
    <r>
      <rPr>
        <sz val="9"/>
        <color rgb="FF000000"/>
        <rFont val="Calibri"/>
        <family val="2"/>
      </rPr>
      <t>Di-Sodium Phosphate dihydrate</t>
    </r>
  </si>
  <si>
    <r>
      <rPr>
        <sz val="9"/>
        <color rgb="FF000000"/>
        <rFont val="Calibri"/>
        <family val="2"/>
      </rPr>
      <t>High IgA Oligosaccharide Colostrum (DDM provide)</t>
    </r>
  </si>
  <si>
    <r>
      <rPr>
        <sz val="9"/>
        <color rgb="FF000000"/>
        <rFont val="Calibri"/>
        <family val="2"/>
      </rPr>
      <t>Organic Chamomile Flower Extract (matricaria recutita) 4:1</t>
    </r>
  </si>
  <si>
    <r>
      <rPr>
        <sz val="9"/>
        <color rgb="FF000000"/>
        <rFont val="Calibri"/>
        <family val="2"/>
      </rPr>
      <t>Butcher Broom Extract 10:1</t>
    </r>
  </si>
  <si>
    <r>
      <rPr>
        <sz val="9"/>
        <color rgb="FF000000"/>
        <rFont val="Calibri"/>
        <family val="2"/>
      </rPr>
      <t>Magnesium Glycinate 18%-22% Mg</t>
    </r>
  </si>
  <si>
    <r>
      <rPr>
        <sz val="9"/>
        <color rgb="FF000000"/>
        <rFont val="Calibri"/>
        <family val="2"/>
      </rPr>
      <t>Potassium gluconate</t>
    </r>
  </si>
  <si>
    <r>
      <rPr>
        <sz val="9"/>
        <color rgb="FF000000"/>
        <rFont val="Calibri"/>
        <family val="2"/>
      </rPr>
      <t>Succinic Acid Diammonium Salt</t>
    </r>
  </si>
  <si>
    <r>
      <rPr>
        <sz val="9"/>
        <color rgb="FF000000"/>
        <rFont val="Calibri"/>
        <family val="2"/>
      </rPr>
      <t>Di Calcium Malate</t>
    </r>
  </si>
  <si>
    <r>
      <rPr>
        <sz val="9"/>
        <color rgb="FF000000"/>
        <rFont val="Calibri"/>
        <family val="2"/>
      </rPr>
      <t>HICA(Alpha-Hydroxy-Isocaproate Calcium Salt)</t>
    </r>
  </si>
  <si>
    <r>
      <rPr>
        <sz val="9"/>
        <color rgb="FF000000"/>
        <rFont val="Calibri"/>
        <family val="2"/>
      </rPr>
      <t>Organic Chaga Mushroom Extract Polysaccharide 40% UV</t>
    </r>
  </si>
  <si>
    <r>
      <rPr>
        <sz val="9"/>
        <color rgb="FF000000"/>
        <rFont val="Calibri"/>
        <family val="2"/>
      </rPr>
      <t>Burdock Root PE 4:1</t>
    </r>
  </si>
  <si>
    <r>
      <rPr>
        <sz val="9"/>
        <color rgb="FF000000"/>
        <rFont val="Calibri"/>
        <family val="2"/>
      </rPr>
      <t>Magnesium Glycinate (Chelate) 13%-14% Mg</t>
    </r>
  </si>
  <si>
    <r>
      <rPr>
        <sz val="9"/>
        <color rgb="FF000000"/>
        <rFont val="Calibri"/>
        <family val="2"/>
      </rPr>
      <t>Potassium Bitartrate</t>
    </r>
  </si>
  <si>
    <r>
      <rPr>
        <sz val="9"/>
        <color rgb="FF000000"/>
        <rFont val="Calibri"/>
        <family val="2"/>
      </rPr>
      <t>Strawberry Powder</t>
    </r>
  </si>
  <si>
    <r>
      <rPr>
        <sz val="12"/>
        <color rgb="FF000000"/>
        <rFont val="Calibri"/>
        <family val="2"/>
      </rPr>
      <t xml:space="preserve">Scan here for Email                                                            </t>
    </r>
    <r>
      <rPr>
        <sz val="12"/>
        <color rgb="FF000000"/>
        <rFont val="Calibri"/>
        <family val="2"/>
      </rPr>
      <t xml:space="preserve">Scan here for PDF </t>
    </r>
    <r>
      <rPr>
        <sz val="12"/>
        <color rgb="FF000000"/>
        <rFont val="Calibri"/>
        <family val="2"/>
      </rPr>
      <t>Inventory List</t>
    </r>
  </si>
  <si>
    <r>
      <rPr>
        <sz val="9"/>
        <color rgb="FF000000"/>
        <rFont val="Calibri"/>
        <family val="2"/>
      </rPr>
      <t>DHB (6,7-dyhydroxybergamottin)</t>
    </r>
  </si>
  <si>
    <r>
      <rPr>
        <sz val="9"/>
        <color rgb="FF000000"/>
        <rFont val="Calibri"/>
        <family val="2"/>
      </rPr>
      <t>Hibiscus Extract 4:1 TLC</t>
    </r>
  </si>
  <si>
    <r>
      <rPr>
        <sz val="9"/>
        <color rgb="FF000000"/>
        <rFont val="Calibri"/>
        <family val="2"/>
      </rPr>
      <t>Organic Cayenne Pepper (Capsicum annuum) Pwd</t>
    </r>
  </si>
  <si>
    <r>
      <rPr>
        <sz val="9"/>
        <color rgb="FF000000"/>
        <rFont val="Calibri"/>
        <family val="2"/>
      </rPr>
      <t>Cacao Bean Powder</t>
    </r>
  </si>
  <si>
    <r>
      <rPr>
        <sz val="9"/>
        <color rgb="FF000000"/>
        <rFont val="Calibri"/>
        <family val="2"/>
      </rPr>
      <t>magnesium glycerol phosphate DC</t>
    </r>
  </si>
  <si>
    <r>
      <rPr>
        <sz val="9"/>
        <color rgb="FF000000"/>
        <rFont val="Calibri"/>
        <family val="2"/>
      </rPr>
      <t>Potassium Beta Hydroxybutyrate (BHB)</t>
    </r>
  </si>
  <si>
    <r>
      <rPr>
        <sz val="9"/>
        <color rgb="FF000000"/>
        <rFont val="Calibri"/>
        <family val="2"/>
      </rPr>
      <t>Strawberry extract 4:1</t>
    </r>
  </si>
  <si>
    <r>
      <rPr>
        <u/>
        <sz val="12"/>
        <color theme="10"/>
        <rFont val="Calibri"/>
        <family val="2"/>
      </rPr>
      <t xml:space="preserve">Contact: </t>
    </r>
    <r>
      <rPr>
        <u/>
        <sz val="12"/>
        <color theme="10"/>
        <rFont val="Calibri"/>
        <family val="2"/>
      </rPr>
      <t>ni-sales@nutravative.com</t>
    </r>
  </si>
  <si>
    <r>
      <rPr>
        <sz val="9"/>
        <color rgb="FF000000"/>
        <rFont val="Calibri"/>
        <family val="2"/>
      </rPr>
      <t>Devils Claw Extract Harpagosides 1.2% UV</t>
    </r>
  </si>
  <si>
    <r>
      <rPr>
        <sz val="9"/>
        <color rgb="FF000000"/>
        <rFont val="Calibri"/>
        <family val="2"/>
      </rPr>
      <t>Honey suckle 4:1</t>
    </r>
  </si>
  <si>
    <r>
      <rPr>
        <sz val="9"/>
        <color rgb="FF000000"/>
        <rFont val="Calibri"/>
        <family val="2"/>
      </rPr>
      <t>Organic Coconut Water Powder</t>
    </r>
  </si>
  <si>
    <r>
      <rPr>
        <sz val="9"/>
        <color rgb="FF000000"/>
        <rFont val="Calibri"/>
        <family val="2"/>
      </rPr>
      <t>Cabbage Powder</t>
    </r>
  </si>
  <si>
    <r>
      <rPr>
        <sz val="9"/>
        <color rgb="FF000000"/>
        <rFont val="Calibri"/>
        <family val="2"/>
      </rPr>
      <t>Magnesium Citrate Granular</t>
    </r>
  </si>
  <si>
    <r>
      <rPr>
        <sz val="9"/>
        <color rgb="FF000000"/>
        <rFont val="Calibri"/>
        <family val="2"/>
      </rPr>
      <t>Potassium Aspartate</t>
    </r>
  </si>
  <si>
    <r>
      <rPr>
        <sz val="9"/>
        <color rgb="FF000000"/>
        <rFont val="Calibri"/>
        <family val="2"/>
      </rPr>
      <t>Sustained Release Melatonin Powder</t>
    </r>
  </si>
  <si>
    <r>
      <rPr>
        <sz val="9"/>
        <color rgb="FF000000"/>
        <rFont val="Calibri"/>
        <family val="2"/>
      </rPr>
      <t>Acai Berry 4:1</t>
    </r>
  </si>
  <si>
    <r>
      <rPr>
        <sz val="9"/>
        <color rgb="FF000000"/>
        <rFont val="Calibri"/>
        <family val="2"/>
      </rPr>
      <t>DL-Methionine</t>
    </r>
  </si>
  <si>
    <r>
      <rPr>
        <sz val="9"/>
        <color rgb="FF000000"/>
        <rFont val="Calibri"/>
        <family val="2"/>
      </rPr>
      <t>Honey Powder</t>
    </r>
  </si>
  <si>
    <r>
      <rPr>
        <sz val="9"/>
        <color rgb="FF000000"/>
        <rFont val="Calibri"/>
        <family val="2"/>
      </rPr>
      <t>Organic Coconut Milk Powder</t>
    </r>
  </si>
  <si>
    <r>
      <rPr>
        <sz val="9"/>
        <color rgb="FF000000"/>
        <rFont val="Calibri"/>
        <family val="2"/>
      </rPr>
      <t>Butterfly Pea Flower Powder</t>
    </r>
  </si>
  <si>
    <r>
      <rPr>
        <sz val="9"/>
        <color rgb="FF000000"/>
        <rFont val="Calibri"/>
        <family val="2"/>
      </rPr>
      <t>Holy Basil Extract Ursolic Acid 2% HPLC</t>
    </r>
  </si>
  <si>
    <r>
      <rPr>
        <sz val="9"/>
        <color rgb="FF000000"/>
        <rFont val="Calibri"/>
        <family val="2"/>
      </rPr>
      <t>Magnesium Sulfate Anhydrous (16.5% Mg)</t>
    </r>
  </si>
  <si>
    <r>
      <rPr>
        <sz val="9"/>
        <color rgb="FF000000"/>
        <rFont val="Calibri"/>
        <family val="2"/>
      </rPr>
      <t>Prickly Pear Extract 20:1</t>
    </r>
  </si>
  <si>
    <r>
      <rPr>
        <sz val="9"/>
        <color rgb="FF000000"/>
        <rFont val="Calibri"/>
        <family val="2"/>
      </rPr>
      <t>Sunflower Protein 60 grade</t>
    </r>
  </si>
  <si>
    <r>
      <rPr>
        <sz val="9"/>
        <color rgb="FF000000"/>
        <rFont val="Calibri"/>
        <family val="2"/>
      </rPr>
      <t>Acacia Extract 12:1</t>
    </r>
  </si>
  <si>
    <r>
      <rPr>
        <sz val="9"/>
        <color rgb="FF000000"/>
        <rFont val="Calibri"/>
        <family val="2"/>
      </rPr>
      <t>Dipotassium Phosphate</t>
    </r>
  </si>
  <si>
    <r>
      <rPr>
        <sz val="9"/>
        <color rgb="FF000000"/>
        <rFont val="Calibri"/>
        <family val="2"/>
      </rPr>
      <t>Organic Cinnamon Powder</t>
    </r>
  </si>
  <si>
    <r>
      <rPr>
        <sz val="9"/>
        <color rgb="FF000000"/>
        <rFont val="Calibri"/>
        <family val="2"/>
      </rPr>
      <t>Butterbur Extract 4:1 TLC</t>
    </r>
  </si>
  <si>
    <r>
      <rPr>
        <sz val="9"/>
        <color rgb="FF000000"/>
        <rFont val="Calibri"/>
        <family val="2"/>
      </rPr>
      <t>Holy Basil Extract 4:1 TLC</t>
    </r>
  </si>
  <si>
    <r>
      <rPr>
        <sz val="9"/>
        <color rgb="FF000000"/>
        <rFont val="Calibri"/>
        <family val="2"/>
      </rPr>
      <t>Magnesium Phosphate</t>
    </r>
  </si>
  <si>
    <r>
      <rPr>
        <sz val="9"/>
        <color rgb="FF000000"/>
        <rFont val="Calibri"/>
        <family val="2"/>
      </rPr>
      <t>Pregnenolone (3&amp;#946;-hydroxypregn-5-en-20-one)</t>
    </r>
  </si>
  <si>
    <r>
      <rPr>
        <sz val="9"/>
        <color rgb="FF000000"/>
        <rFont val="Calibri"/>
        <family val="2"/>
      </rPr>
      <t>Sunflower Oil Powder (Drink Grade, 50% oil load)</t>
    </r>
  </si>
  <si>
    <r>
      <rPr>
        <sz val="9"/>
        <color rgb="FF000000"/>
        <rFont val="Calibri"/>
        <family val="2"/>
      </rPr>
      <t>50% Alpha-Glycerylphosphorylcholine (GPC) (Maltodextrin)</t>
    </r>
  </si>
  <si>
    <r>
      <rPr>
        <sz val="9"/>
        <color rgb="FF000000"/>
        <rFont val="Calibri"/>
        <family val="2"/>
      </rPr>
      <t>Dihydromyricetin</t>
    </r>
  </si>
  <si>
    <r>
      <rPr>
        <sz val="9"/>
        <color rgb="FF000000"/>
        <rFont val="Calibri"/>
        <family val="2"/>
      </rPr>
      <t>Organic Chlorella powder</t>
    </r>
  </si>
  <si>
    <r>
      <rPr>
        <sz val="9"/>
        <color rgb="FF000000"/>
        <rFont val="Calibri"/>
        <family val="2"/>
      </rPr>
      <t>Calcium Carbonate Light</t>
    </r>
  </si>
  <si>
    <r>
      <rPr>
        <sz val="9"/>
        <color rgb="FF000000"/>
        <rFont val="Calibri"/>
        <family val="2"/>
      </rPr>
      <t>Horny Goat Weed Extract 1:1</t>
    </r>
  </si>
  <si>
    <r>
      <rPr>
        <sz val="9"/>
        <color rgb="FF000000"/>
        <rFont val="Calibri"/>
        <family val="2"/>
      </rPr>
      <t>Magnesium Malate 20%</t>
    </r>
  </si>
  <si>
    <r>
      <rPr>
        <sz val="9"/>
        <color rgb="FF000000"/>
        <rFont val="Calibri"/>
        <family val="2"/>
      </rPr>
      <t>Potassium Iodide 99%</t>
    </r>
  </si>
  <si>
    <r>
      <rPr>
        <sz val="9"/>
        <color rgb="FF000000"/>
        <rFont val="Calibri"/>
        <family val="2"/>
      </rPr>
      <t>Suma Root Powder</t>
    </r>
  </si>
  <si>
    <r>
      <rPr>
        <sz val="9"/>
        <color rgb="FF000000"/>
        <rFont val="Calibri"/>
        <family val="2"/>
      </rPr>
      <t>5-Methyltetrahydrofolate Calcium (Racemate)(5-MTHF)</t>
    </r>
  </si>
  <si>
    <r>
      <rPr>
        <sz val="9"/>
        <color rgb="FF000000"/>
        <rFont val="Calibri"/>
        <family val="2"/>
      </rPr>
      <t>Dicalcium Phosphate Anhydrous Granular</t>
    </r>
  </si>
  <si>
    <r>
      <rPr>
        <sz val="9"/>
        <color rgb="FF000000"/>
        <rFont val="Calibri"/>
        <family val="2"/>
      </rPr>
      <t>Organic cucumber powder</t>
    </r>
  </si>
  <si>
    <r>
      <rPr>
        <sz val="9"/>
        <color rgb="FF000000"/>
        <rFont val="Calibri"/>
        <family val="2"/>
      </rPr>
      <t>Calcium Beta-Hydroxybutyrate (BHB)</t>
    </r>
  </si>
  <si>
    <r>
      <rPr>
        <sz val="9"/>
        <color rgb="FF000000"/>
        <rFont val="Calibri"/>
        <family val="2"/>
      </rPr>
      <t>Hordenine HCL</t>
    </r>
  </si>
  <si>
    <r>
      <rPr>
        <sz val="9"/>
        <color rgb="FF000000"/>
        <rFont val="Calibri"/>
        <family val="2"/>
      </rPr>
      <t>Magnesium Lactate Powder</t>
    </r>
  </si>
  <si>
    <r>
      <rPr>
        <sz val="9"/>
        <color rgb="FF000000"/>
        <rFont val="Calibri"/>
        <family val="2"/>
      </rPr>
      <t>Potassium Hydroxide</t>
    </r>
  </si>
  <si>
    <r>
      <rPr>
        <sz val="9"/>
        <color rgb="FF000000"/>
        <rFont val="Calibri"/>
        <family val="2"/>
      </rPr>
      <t>Synthetic Daidzein (4,7-Dihydroxyisoflavone) Soy Isoflavones 40%</t>
    </r>
  </si>
  <si>
    <r>
      <rPr>
        <sz val="9"/>
        <color rgb="FF000000"/>
        <rFont val="Calibri"/>
        <family val="2"/>
      </rPr>
      <t>Acesulfame-K (Acesulfame Potassium)</t>
    </r>
  </si>
  <si>
    <r>
      <rPr>
        <sz val="9"/>
        <color rgb="FF000000"/>
        <rFont val="Calibri"/>
        <family val="2"/>
      </rPr>
      <t>Dragon Fruit Powder</t>
    </r>
  </si>
  <si>
    <r>
      <rPr>
        <sz val="9"/>
        <color rgb="FF000000"/>
        <rFont val="Calibri"/>
        <family val="2"/>
      </rPr>
      <t>Organic Cranberry Fruit Powder</t>
    </r>
  </si>
  <si>
    <r>
      <rPr>
        <sz val="9"/>
        <color rgb="FF000000"/>
        <rFont val="Calibri"/>
        <family val="2"/>
      </rPr>
      <t>Calcium Alpha Ketoglutarate</t>
    </r>
  </si>
  <si>
    <r>
      <rPr>
        <sz val="9"/>
        <color rgb="FF000000"/>
        <rFont val="Calibri"/>
        <family val="2"/>
      </rPr>
      <t>Hops Extract 10:1</t>
    </r>
  </si>
  <si>
    <r>
      <rPr>
        <sz val="9"/>
        <color rgb="FF000000"/>
        <rFont val="Calibri"/>
        <family val="2"/>
      </rPr>
      <t>Magnolia officianalis bark extract 5:1</t>
    </r>
  </si>
  <si>
    <r>
      <rPr>
        <sz val="9"/>
        <color rgb="FF000000"/>
        <rFont val="Calibri"/>
        <family val="2"/>
      </rPr>
      <t>Pterostilbene 99%</t>
    </r>
  </si>
  <si>
    <r>
      <rPr>
        <sz val="9"/>
        <color rgb="FF000000"/>
        <rFont val="Calibri"/>
        <family val="2"/>
      </rPr>
      <t>Synephrine HCl</t>
    </r>
  </si>
  <si>
    <r>
      <rPr>
        <sz val="9"/>
        <color rgb="FF000000"/>
        <rFont val="Calibri"/>
        <family val="2"/>
      </rPr>
      <t>Acerola Extract 45% (Vitamin C)</t>
    </r>
  </si>
  <si>
    <r>
      <rPr>
        <sz val="9"/>
        <color rgb="FF000000"/>
        <rFont val="Calibri"/>
        <family val="2"/>
      </rPr>
      <t>Dong Quai Root Extract 4:1 TLC</t>
    </r>
  </si>
  <si>
    <r>
      <rPr>
        <sz val="9"/>
        <color rgb="FF000000"/>
        <rFont val="Calibri"/>
        <family val="2"/>
      </rPr>
      <t>Organic Corydalis</t>
    </r>
  </si>
  <si>
    <r>
      <rPr>
        <sz val="9"/>
        <color rgb="FF000000"/>
        <rFont val="Calibri"/>
        <family val="2"/>
      </rPr>
      <t>Swertia Chirayita Whole Plant Extract 4:1</t>
    </r>
  </si>
  <si>
    <r>
      <rPr>
        <sz val="9"/>
        <color rgb="FF000000"/>
        <rFont val="Calibri"/>
        <family val="2"/>
      </rPr>
      <t>Acerola Cherry Extract 34%</t>
    </r>
  </si>
  <si>
    <r>
      <rPr>
        <sz val="9"/>
        <color rgb="FF000000"/>
        <rFont val="Calibri"/>
        <family val="2"/>
      </rPr>
      <t>Calcium (as Ca Carbonate Granular DC95 (Contains Starch)</t>
    </r>
  </si>
  <si>
    <r>
      <rPr>
        <sz val="9"/>
        <color rgb="FF000000"/>
        <rFont val="Calibri"/>
        <family val="2"/>
      </rPr>
      <t>Honeysuckle Extract 4:1 TLC</t>
    </r>
  </si>
  <si>
    <r>
      <rPr>
        <sz val="9"/>
        <color rgb="FF000000"/>
        <rFont val="Calibri"/>
        <family val="2"/>
      </rPr>
      <t>Magnolia Extract Honokiol 1% HPLC</t>
    </r>
  </si>
  <si>
    <r>
      <rPr>
        <sz val="9"/>
        <color rgb="FF000000"/>
        <rFont val="Calibri"/>
        <family val="2"/>
      </rPr>
      <t>Psyllium Husk 85% purity powder</t>
    </r>
  </si>
  <si>
    <r>
      <rPr>
        <sz val="9"/>
        <color rgb="FF000000"/>
        <rFont val="Calibri"/>
        <family val="2"/>
      </rPr>
      <t>Dodder Seed (Cuscuta chinensis Lam) Seed 10:1 PE Pwd</t>
    </r>
  </si>
  <si>
    <r>
      <rPr>
        <sz val="9"/>
        <color rgb="FF000000"/>
        <rFont val="Calibri"/>
        <family val="2"/>
      </rPr>
      <t>Organic cordyceps militaris powder</t>
    </r>
  </si>
  <si>
    <r>
      <rPr>
        <sz val="9"/>
        <color rgb="FF000000"/>
        <rFont val="Calibri"/>
        <family val="2"/>
      </rPr>
      <t>Sweet Wormwood Extract 10:1 TLC</t>
    </r>
  </si>
  <si>
    <r>
      <rPr>
        <sz val="9"/>
        <color rgb="FF000000"/>
        <rFont val="Calibri"/>
        <family val="2"/>
      </rPr>
      <t>Acecetin</t>
    </r>
  </si>
  <si>
    <r>
      <rPr>
        <sz val="9"/>
        <color rgb="FF000000"/>
        <rFont val="Calibri"/>
        <family val="2"/>
      </rPr>
      <t>Calcium D Glucarate</t>
    </r>
  </si>
  <si>
    <r>
      <rPr>
        <sz val="9"/>
        <color rgb="FF000000"/>
        <rFont val="Calibri"/>
        <family val="2"/>
      </rPr>
      <t>Horny Goat Weed(Epimedium) Extract 10:1</t>
    </r>
  </si>
  <si>
    <r>
      <rPr>
        <sz val="9"/>
        <color rgb="FF000000"/>
        <rFont val="Calibri"/>
        <family val="2"/>
      </rPr>
      <t>Magnolia Bark Extract Magnolol &amp; Honokiol 80%</t>
    </r>
  </si>
  <si>
    <r>
      <rPr>
        <sz val="9"/>
        <color rgb="FF000000"/>
        <rFont val="Calibri"/>
        <family val="2"/>
      </rPr>
      <t>Prune Juice Powder</t>
    </r>
  </si>
  <si>
    <r>
      <rPr>
        <sz val="9"/>
        <color rgb="FF000000"/>
        <rFont val="Calibri"/>
        <family val="2"/>
      </rPr>
      <t>DMAE (as Dimethylaminoethanol DL-Bitartate)</t>
    </r>
  </si>
  <si>
    <r>
      <rPr>
        <sz val="9"/>
        <color rgb="FF000000"/>
        <rFont val="Calibri"/>
        <family val="2"/>
      </rPr>
      <t>Organic Dragon Fruit Powder</t>
    </r>
  </si>
  <si>
    <r>
      <rPr>
        <sz val="9"/>
        <color rgb="FF000000"/>
        <rFont val="Calibri"/>
        <family val="2"/>
      </rPr>
      <t>Tart Cherry Extract 52:1</t>
    </r>
  </si>
  <si>
    <t>序号</t>
  </si>
  <si>
    <t>名称 Ingredient</t>
  </si>
  <si>
    <t>Potency 纯度</t>
  </si>
  <si>
    <t>指定厂家 Supplier</t>
  </si>
  <si>
    <t>每条含量 dosage（mg）</t>
  </si>
  <si>
    <t>每条投入量 Input</t>
  </si>
  <si>
    <t>每条超投含量 overages</t>
  </si>
  <si>
    <t>数量(条)total caps</t>
  </si>
  <si>
    <t>合计(kg)total</t>
  </si>
  <si>
    <t>单价(usd)cost/kg</t>
  </si>
  <si>
    <t>每条 per stick</t>
  </si>
  <si>
    <t>每瓶 per bottle</t>
  </si>
  <si>
    <t>总价 total</t>
  </si>
  <si>
    <t>周期</t>
  </si>
  <si>
    <t>GILLCO</t>
  </si>
  <si>
    <t>NUTRA WAVE</t>
  </si>
  <si>
    <t>Uniarea</t>
  </si>
  <si>
    <t xml:space="preserve">Tixol </t>
  </si>
  <si>
    <t>PET Bottle 瓶子/条包</t>
  </si>
  <si>
    <t>小纸盒</t>
  </si>
  <si>
    <t>Cap 瓶盖</t>
  </si>
  <si>
    <t>Label 标签</t>
  </si>
  <si>
    <t>Capsule Gel 胶囊壳</t>
  </si>
  <si>
    <t>des 干燥剂</t>
  </si>
  <si>
    <t>Neck 塑封</t>
  </si>
  <si>
    <t>Case 大纸箱</t>
  </si>
  <si>
    <t>DL/MOH 人工</t>
  </si>
  <si>
    <t>冗余</t>
  </si>
  <si>
    <t>Profit 利润</t>
  </si>
  <si>
    <t>Comm 提成</t>
  </si>
  <si>
    <t>合计 total</t>
  </si>
  <si>
    <t>Serving Size</t>
  </si>
  <si>
    <t># of Servings</t>
  </si>
  <si>
    <t># of Bottles</t>
  </si>
  <si>
    <t>Ingredient</t>
  </si>
  <si>
    <t>原料</t>
  </si>
  <si>
    <t>Form 剂型</t>
  </si>
  <si>
    <t>TM 专利</t>
  </si>
  <si>
    <t>Supplier 供应商</t>
  </si>
  <si>
    <t>Warehouse 仓库</t>
  </si>
  <si>
    <t>MOQ kg 起订量</t>
  </si>
  <si>
    <t>Price 价格</t>
  </si>
  <si>
    <t>Contact</t>
  </si>
  <si>
    <t>Notes</t>
  </si>
  <si>
    <t>Ergothioneine</t>
  </si>
  <si>
    <t>麦角硫因</t>
  </si>
  <si>
    <t>Powder 粉末</t>
  </si>
  <si>
    <t>Yes 是</t>
  </si>
  <si>
    <t xml:space="preserve">Readline 瑞德林 </t>
  </si>
  <si>
    <t>US</t>
  </si>
  <si>
    <t>No 不是</t>
  </si>
  <si>
    <t>Gene 3 仅三</t>
  </si>
  <si>
    <t>China</t>
  </si>
  <si>
    <t>Shanghai EGT 上麦</t>
  </si>
  <si>
    <t>PQQ Pyrroloquinoline Quinone</t>
  </si>
  <si>
    <t>PQQ二钠盐</t>
  </si>
  <si>
    <t>Maiggic 湖北美琪</t>
  </si>
  <si>
    <t>BioActive 华熙生物</t>
  </si>
  <si>
    <t>Kingdomway 金威</t>
  </si>
  <si>
    <t>PQQ Pyrroloquinoline Quinone Disodium Salt</t>
  </si>
  <si>
    <t>CENTIANUSA</t>
  </si>
  <si>
    <t>CoQ10</t>
  </si>
  <si>
    <t>辅酶Q10</t>
  </si>
  <si>
    <t>Niacin (Vitamin B3) Powder</t>
  </si>
  <si>
    <t>烟酸（维生素B3）粉</t>
  </si>
  <si>
    <t>CreativeComp</t>
  </si>
  <si>
    <t>NMN</t>
  </si>
  <si>
    <t>Everlite</t>
  </si>
  <si>
    <t xml:space="preserve">NRC </t>
  </si>
  <si>
    <t>Bontac 邦泰</t>
  </si>
  <si>
    <t>NRHM</t>
  </si>
  <si>
    <t>NRHM 烟酰胺核苷苹果酸盐</t>
  </si>
  <si>
    <t>Nutravative</t>
  </si>
  <si>
    <t xml:space="preserve">NAD+ Liposomal </t>
  </si>
  <si>
    <t>脂质体NAD+</t>
  </si>
  <si>
    <t>50%</t>
  </si>
  <si>
    <t xml:space="preserve">Tumeric Liposomal </t>
  </si>
  <si>
    <t>脂质体姜黄素</t>
  </si>
  <si>
    <t>Shanghai Effen 音芙</t>
  </si>
  <si>
    <t>Quercetin Dihydrate 955 Powder</t>
  </si>
  <si>
    <t>槲皮素二水合物</t>
  </si>
  <si>
    <t xml:space="preserve">Quercetin Liposomal </t>
  </si>
  <si>
    <t>脂质体槲皮素</t>
  </si>
  <si>
    <t>Glutathione</t>
  </si>
  <si>
    <t>谷胱甘肽</t>
  </si>
  <si>
    <t>L-Glutathione</t>
  </si>
  <si>
    <t>L-谷胱甘肽 还原性</t>
  </si>
  <si>
    <t>Glutathione Liposomal 50%</t>
  </si>
  <si>
    <t>脂质体谷胱甘肽</t>
  </si>
  <si>
    <t>Glutathione Liposomal 75%</t>
  </si>
  <si>
    <t>75%</t>
  </si>
  <si>
    <t>Glutathione Liposomal 90%</t>
  </si>
  <si>
    <t>90%</t>
  </si>
  <si>
    <t>Vitamin A (as vitamin A PALMITATE) 500,000 IU/G</t>
  </si>
  <si>
    <t>维他命A</t>
  </si>
  <si>
    <t>PureAssey</t>
  </si>
  <si>
    <t>Vitamin B1 (Thiamine Mono)</t>
  </si>
  <si>
    <t>维他命B1</t>
  </si>
  <si>
    <t>NUTRAVATIVE</t>
  </si>
  <si>
    <t xml:space="preserve">Vitamin B1 Thiamine HCL </t>
  </si>
  <si>
    <t>维生素B1 盐酸硫胺素</t>
  </si>
  <si>
    <t>Charles Bowman</t>
  </si>
  <si>
    <t>Vitamin B1 Thiamine Mono</t>
  </si>
  <si>
    <t>维生素B1 硝酸盐</t>
  </si>
  <si>
    <t>Vitamin B2 (Riboflavin)</t>
  </si>
  <si>
    <t>维他命B2</t>
  </si>
  <si>
    <t>Vitamin B3, Niacinamide USP</t>
  </si>
  <si>
    <t>维他命B3,烟酰胺</t>
  </si>
  <si>
    <t>Vitamin B3, Niacin</t>
  </si>
  <si>
    <t>维他命B3</t>
  </si>
  <si>
    <t>Vitamin B5 (Calcium D-Pantothenate)</t>
  </si>
  <si>
    <t>维他命B5</t>
  </si>
  <si>
    <t>BELLCHEM</t>
  </si>
  <si>
    <t xml:space="preserve">Vitamin B5 Cal-Pan     </t>
  </si>
  <si>
    <t>Vitamin B6 (Pyridoxine Hydrochloride)</t>
  </si>
  <si>
    <t>维他命B6</t>
  </si>
  <si>
    <t xml:space="preserve">Vitamin B6 Pyridoxine HCL Powder   </t>
  </si>
  <si>
    <t>Vitamin B7 Biotin 100%</t>
  </si>
  <si>
    <t>纯生物素 或 维生素B7</t>
  </si>
  <si>
    <t>Vitamin B7 D-Biotin Pure</t>
  </si>
  <si>
    <t xml:space="preserve">Vitamin B8 (Inositol)   </t>
  </si>
  <si>
    <t>维生素B8（肌醇）</t>
  </si>
  <si>
    <t xml:space="preserve">Vitamin B9 Folic Acid USP </t>
  </si>
  <si>
    <t>维生素B9 叶酸</t>
  </si>
  <si>
    <t>Vitamin B9 Folic Acid 100% (95%-102%)</t>
  </si>
  <si>
    <t>Vitamin B12 (Methylcobalamin) 100%</t>
  </si>
  <si>
    <t>维他命B12</t>
  </si>
  <si>
    <t>Vitamin C Ascorbic acid</t>
  </si>
  <si>
    <t>维他命C 抗坏血酸</t>
  </si>
  <si>
    <t>SUANFARMA,IN</t>
  </si>
  <si>
    <t>Vitamin C Ascorbic Acid 100-mesh</t>
  </si>
  <si>
    <t xml:space="preserve">Vitamin C Ascorbic Acid DC 97% </t>
  </si>
  <si>
    <t>维他命C 抗坏血酸 直接压片</t>
  </si>
  <si>
    <t>Vitamin C Sodium Ascorbate Powder</t>
  </si>
  <si>
    <t>抗坏血酸钠粉 或 维生素C钠粉</t>
  </si>
  <si>
    <t xml:space="preserve">Vitamin C Calcium Ascorbate Powder </t>
  </si>
  <si>
    <t>维生素C钙粉 抗坏血酸钙粉</t>
  </si>
  <si>
    <t xml:space="preserve">Vitamin C Liposomal </t>
  </si>
  <si>
    <t>脂质体维生素C</t>
  </si>
  <si>
    <t>70%</t>
  </si>
  <si>
    <t>Vitamin D3 SD PWD. (Cholecalciferol) 100,000 iu/g CWD</t>
  </si>
  <si>
    <t>维他命D3、维生素D3、胆钙化醇</t>
  </si>
  <si>
    <t xml:space="preserve">Vitamin D3 Liposomal </t>
  </si>
  <si>
    <t>脂质体D3</t>
  </si>
  <si>
    <t>70% (70000IU/g)</t>
  </si>
  <si>
    <t>Vitamin E d-alpha tocopheryl succinate 1210 iu/g Pwd KOSHER</t>
  </si>
  <si>
    <t>维他命E</t>
  </si>
  <si>
    <t xml:space="preserve">Vitamin E Liposomal </t>
  </si>
  <si>
    <t>脂质体维生素 E</t>
  </si>
  <si>
    <t>30%</t>
  </si>
  <si>
    <t>Vitamin K2</t>
  </si>
  <si>
    <t>维他命K2</t>
  </si>
  <si>
    <t>Vitamin K2 MK4 1.3% Powder</t>
  </si>
  <si>
    <t xml:space="preserve">Phosphatidylserine Liposomal </t>
  </si>
  <si>
    <t>脂质体磷脂酰丝氨酸</t>
  </si>
  <si>
    <t xml:space="preserve">Berberine Liposomal </t>
  </si>
  <si>
    <t>脂质体黄连素</t>
  </si>
  <si>
    <t>Berberine HCL</t>
  </si>
  <si>
    <t>黄连素小檗碱</t>
  </si>
  <si>
    <t>NutraVative</t>
  </si>
  <si>
    <t xml:space="preserve">DihydroBerberine </t>
  </si>
  <si>
    <t>双氢小檗碱</t>
  </si>
  <si>
    <t>10-15 days</t>
  </si>
  <si>
    <t>NNBNUTRI (GlucoVantage)</t>
  </si>
  <si>
    <t>Grape Seed (Vitis Vinifera)</t>
  </si>
  <si>
    <t>葡萄籽提取物</t>
  </si>
  <si>
    <t xml:space="preserve">Green Tea Extract </t>
  </si>
  <si>
    <t>绿茶提取物</t>
  </si>
  <si>
    <t>JIAHERB</t>
  </si>
  <si>
    <t>Glucosamine</t>
  </si>
  <si>
    <t>安糖</t>
  </si>
  <si>
    <t xml:space="preserve">Glucosamine HCL </t>
  </si>
  <si>
    <t>Runde</t>
  </si>
  <si>
    <t>Glucosamine Sulfate Potassium</t>
  </si>
  <si>
    <t>硫酸氨基葡萄糖钾盐</t>
  </si>
  <si>
    <t>Chondroitin Sulfate Bovine</t>
  </si>
  <si>
    <t>硫酸软骨素（牛来源）</t>
  </si>
  <si>
    <t>NUTRACEUTICA</t>
  </si>
  <si>
    <t>Soybean Extract</t>
  </si>
  <si>
    <t>大豆提取物</t>
  </si>
  <si>
    <t>GABA</t>
  </si>
  <si>
    <t>GABA γ-氨基丁酸</t>
  </si>
  <si>
    <t>Hydrolyzed Bovine A++ collagen</t>
  </si>
  <si>
    <t>水解牛源 A++ 级胶原蛋白</t>
  </si>
  <si>
    <t>Comext</t>
  </si>
  <si>
    <t>NURA</t>
  </si>
  <si>
    <t>Collagen "seasource" Fish Collagen (P/N HFC-15)</t>
  </si>
  <si>
    <t>鱼胶原蛋白</t>
  </si>
  <si>
    <t>Ajinomoto</t>
  </si>
  <si>
    <t>Collagen Tripeptide</t>
  </si>
  <si>
    <t>胶原三肽</t>
  </si>
  <si>
    <t>natrr wave</t>
  </si>
  <si>
    <t>Fish Collagen Peptide</t>
  </si>
  <si>
    <t>鱼胶原肽</t>
  </si>
  <si>
    <t>Collagenation LLC</t>
  </si>
  <si>
    <t>Fish Gelatin 220 Bloom</t>
  </si>
  <si>
    <t>鱼胶220 Bloom</t>
  </si>
  <si>
    <t>Fish Gelatin 260 Bloom</t>
  </si>
  <si>
    <t>鱼胶260 Bloom</t>
  </si>
  <si>
    <t>Bovine Gelatin 180 Bloom</t>
  </si>
  <si>
    <t>牛明胶180 Bloom</t>
  </si>
  <si>
    <t>根据需求而定</t>
  </si>
  <si>
    <t>Edible Bovine Gelatin 250 Bloom</t>
  </si>
  <si>
    <t>可食用牛明胶 250 Bloom</t>
  </si>
  <si>
    <t>Bamboo Extract 70% Silica</t>
  </si>
  <si>
    <t>竹子提取物</t>
  </si>
  <si>
    <t xml:space="preserve">AuNutra </t>
  </si>
  <si>
    <t>Coconut Oil Powder 75%</t>
  </si>
  <si>
    <t>椰油粉</t>
  </si>
  <si>
    <t>Sensory</t>
  </si>
  <si>
    <t>Organic Coconut Powder</t>
  </si>
  <si>
    <t>有机椰油粉</t>
  </si>
  <si>
    <t>Olive Leaf Extract 40% Oleuropein</t>
  </si>
  <si>
    <t>橄榄叶提取物</t>
  </si>
  <si>
    <t>Olive Leaf Extract</t>
  </si>
  <si>
    <t>Nattokinase</t>
  </si>
  <si>
    <t>纳豆</t>
  </si>
  <si>
    <t>PureAssay</t>
  </si>
  <si>
    <t>Whey Protein Isolate water soluble</t>
  </si>
  <si>
    <t>乳清蛋白分离物</t>
  </si>
  <si>
    <t>Osage</t>
  </si>
  <si>
    <t xml:space="preserve">Alpha Lipoic Acid(Granular/Powder) </t>
  </si>
  <si>
    <t>α-硫辛酸</t>
  </si>
  <si>
    <t>Alpha Lipoic Acid</t>
  </si>
  <si>
    <t>Bellchem</t>
  </si>
  <si>
    <t xml:space="preserve"> R ALA Sodium</t>
  </si>
  <si>
    <t>R - 硫辛酸钠盐</t>
  </si>
  <si>
    <t>Suzhou fushilai</t>
  </si>
  <si>
    <t>china</t>
  </si>
  <si>
    <t>空运 7天</t>
  </si>
  <si>
    <t>Ashwaghanda Organic KSM-66</t>
  </si>
  <si>
    <t>南非醉茄</t>
  </si>
  <si>
    <t>SHRIKART</t>
  </si>
  <si>
    <t>Ashwaghanda Sensori</t>
  </si>
  <si>
    <t>Sensori</t>
  </si>
  <si>
    <t>Tumeric</t>
  </si>
  <si>
    <t>Resveratrol 98% Trans-resveratrol Polygonum cuspidatum</t>
  </si>
  <si>
    <t>98% 虎杖白藜芦醇</t>
  </si>
  <si>
    <t>AUNUTR</t>
  </si>
  <si>
    <t>Chondroitin Sulfate 90% from Bovine</t>
  </si>
  <si>
    <t>牛源硫酸软骨素</t>
  </si>
  <si>
    <t>Royal Jelly Powder</t>
  </si>
  <si>
    <t>蜂王浆粉</t>
  </si>
  <si>
    <t>Beehive Botanicals</t>
  </si>
  <si>
    <t>Ceramosides®</t>
  </si>
  <si>
    <t>法国专利小麦神经酰胺 / 植物神经酰胺复合物</t>
  </si>
  <si>
    <t>SEPPIC</t>
  </si>
  <si>
    <t>FR</t>
  </si>
  <si>
    <t>N-Acetyl L-Cysteine</t>
  </si>
  <si>
    <t>N-乙酰-L-半胱氨酸</t>
  </si>
  <si>
    <t>%</t>
  </si>
  <si>
    <t>Hydroxytyrosol 10%</t>
  </si>
  <si>
    <t>羟基酪醇10%</t>
  </si>
  <si>
    <t>xian HerbSpirit</t>
  </si>
  <si>
    <t>Hyaluronic Acid</t>
  </si>
  <si>
    <t>透明质酸 玻尿酸</t>
  </si>
  <si>
    <t>Hyaluronic Acid Sodium Salt</t>
  </si>
  <si>
    <t>透明质酸钠</t>
  </si>
  <si>
    <t>Ceramide 1%</t>
  </si>
  <si>
    <t>神经酰胺1%</t>
  </si>
  <si>
    <t xml:space="preserve"> 30% Magnesium Bisglycinate</t>
  </si>
  <si>
    <t>30%甘氨酸镁</t>
  </si>
  <si>
    <t>HEBETHUAHENG BIOLOGICAL TECHNOLOGY Co..Ltd</t>
  </si>
  <si>
    <t xml:space="preserve"> L-arginine</t>
  </si>
  <si>
    <t>L-精氨酸</t>
  </si>
  <si>
    <t xml:space="preserve"> L-lysine</t>
  </si>
  <si>
    <t>L-赖氨酸</t>
  </si>
  <si>
    <t xml:space="preserve"> Glycine</t>
  </si>
  <si>
    <t>甘氨酸</t>
  </si>
  <si>
    <t>L-glutamine</t>
  </si>
  <si>
    <t xml:space="preserve">L-谷氨酰胺 </t>
  </si>
  <si>
    <t>L-Cysteine</t>
  </si>
  <si>
    <t>L - 半胱氨酸</t>
  </si>
  <si>
    <t>Psyllium Husk Powder</t>
  </si>
  <si>
    <t>洋车前子壳粉</t>
  </si>
  <si>
    <t>Ginkgo Biloba Extract 10:1</t>
  </si>
  <si>
    <t>银杏提取物</t>
  </si>
  <si>
    <t xml:space="preserve"> Spermidine</t>
  </si>
  <si>
    <t>亚精氨</t>
  </si>
  <si>
    <t xml:space="preserve">L-Carnosine </t>
  </si>
  <si>
    <t>L - 肌肽</t>
  </si>
  <si>
    <t>β-Nicotinamide Mononucleotide</t>
  </si>
  <si>
    <t>SHANGHAI AIDU</t>
  </si>
  <si>
    <t>Nicotinamide Riboside Chloride (NRC)</t>
  </si>
  <si>
    <t>烟酰胺核苷氯化物（NRC）</t>
  </si>
  <si>
    <t>PureBulk
纯散货</t>
  </si>
  <si>
    <t>$1.45/gram (10 gram pack min)</t>
  </si>
  <si>
    <t xml:space="preserve"> $ 1,450.00 </t>
  </si>
  <si>
    <t>Mnutra</t>
  </si>
  <si>
    <t>25kg pack</t>
  </si>
  <si>
    <t>Nutravative
营养成分</t>
  </si>
  <si>
    <t>25 kg pack / 2-3 wks</t>
  </si>
  <si>
    <t>Bell Chem
贝尔化学</t>
  </si>
  <si>
    <t>25 kg</t>
  </si>
  <si>
    <t>A&amp;A Pharma
A&amp;A制药</t>
  </si>
  <si>
    <t>10 kg</t>
  </si>
  <si>
    <t>Nicotinamide Riboside Chloride</t>
  </si>
  <si>
    <t>烟酰胺核苷氯化物</t>
  </si>
  <si>
    <t>Beta glucan (derived from Saccharomyces cerevisae)</t>
  </si>
  <si>
    <t>β葡聚糖（源自酿酒酵母）</t>
  </si>
  <si>
    <t>Everlite
埃弗莱特</t>
  </si>
  <si>
    <t>25 kg pack</t>
  </si>
  <si>
    <t>Beta glucan (1,3/1,6) 70%</t>
  </si>
  <si>
    <t>β葡聚糖（1,3/1,6）70%</t>
  </si>
  <si>
    <t>25 kkg</t>
  </si>
  <si>
    <t>Chlorella vulgaris extract</t>
  </si>
  <si>
    <t>小球藻提取物</t>
  </si>
  <si>
    <t>50 kg</t>
  </si>
  <si>
    <t>chlorella Powder</t>
  </si>
  <si>
    <t>小球藻粉</t>
  </si>
  <si>
    <t>Spirulina Blue Phycocyanin Color Value E25</t>
  </si>
  <si>
    <t>螺旋藻蓝藻蓝蛋白色值E25</t>
  </si>
  <si>
    <t xml:space="preserve">Spirulina Blue Phycocyanin </t>
  </si>
  <si>
    <t xml:space="preserve">螺旋藻蓝藻蓝蛋白 </t>
  </si>
  <si>
    <t>25 kg pack/ 2-3 wks</t>
  </si>
  <si>
    <t xml:space="preserve">螺旋藻蓝藻蓝蛋白  </t>
  </si>
  <si>
    <t>GCI</t>
  </si>
  <si>
    <t xml:space="preserve">Spirulina Blue Phycocyanin Color Value E18 </t>
  </si>
  <si>
    <t xml:space="preserve">螺旋藻蓝藻蓝蛋白色值E18 </t>
  </si>
  <si>
    <t>20 kg</t>
  </si>
  <si>
    <t>Egg Yolk Powder</t>
  </si>
  <si>
    <t>蛋黄粉</t>
  </si>
  <si>
    <t>50 lb MOQ</t>
  </si>
  <si>
    <t>American International
美国国际</t>
  </si>
  <si>
    <t>Superoxide Dimutase (AKA SOD)</t>
  </si>
  <si>
    <t>超氧化物二氧化酶（AKASOD）</t>
  </si>
  <si>
    <t>Milk Thistle Seed Extract 10:1</t>
  </si>
  <si>
    <t>奶蓟籽提取物10:1</t>
  </si>
  <si>
    <t xml:space="preserve">Organic Milk Thistle Seed Powder </t>
  </si>
  <si>
    <t xml:space="preserve">有机奶蓟籽粉 </t>
  </si>
  <si>
    <t>20 kg / 3 days</t>
  </si>
  <si>
    <t>Milk Thistle Seed Powder</t>
  </si>
  <si>
    <t>奶蓟籽粉</t>
  </si>
  <si>
    <t>Gastric Mucin Extract 0.1% Sialic acid</t>
  </si>
  <si>
    <t>胃粘蛋白提取物0.1%唾液酸</t>
  </si>
  <si>
    <t>MNutra</t>
  </si>
  <si>
    <t>Sialic Acid (AKA N-acetylneuraminic acid)</t>
  </si>
  <si>
    <t>唾液酸（AKAN-乙酰神经氨酸）</t>
  </si>
  <si>
    <t>CoQ10 (Chinese)</t>
  </si>
  <si>
    <t>辅酶Q10（中文）</t>
  </si>
  <si>
    <t>5 kg</t>
  </si>
  <si>
    <t>PQQ</t>
  </si>
  <si>
    <t>1 kg</t>
  </si>
  <si>
    <t xml:space="preserve"> $ 1,480.00 </t>
  </si>
  <si>
    <t>Edible Birds Nest A</t>
  </si>
  <si>
    <t>食用鸟巢A</t>
  </si>
  <si>
    <t>Beijing SEMNL Biotech
北京SEMNL生物科技</t>
  </si>
  <si>
    <t xml:space="preserve"> $ 1,900.00 </t>
  </si>
  <si>
    <t>Edible Birds Nest B</t>
  </si>
  <si>
    <t>食用鸟巢B</t>
  </si>
  <si>
    <t xml:space="preserve"> $ 1,080.00 </t>
  </si>
  <si>
    <t>Probiotic 11 Blend 120B cfu/g Dairy Free on non-GMO maltodextrin</t>
  </si>
  <si>
    <t>益生菌11混合120Bcfu/g不含非转基因麦芽糊精的乳制品</t>
  </si>
  <si>
    <t>Ingredients By Nature
成分按性质</t>
  </si>
  <si>
    <t>Organic Erythritol</t>
  </si>
  <si>
    <t>有机赤藓糖醇</t>
  </si>
  <si>
    <t>Znaturals</t>
  </si>
  <si>
    <t>1 lb MOQ</t>
  </si>
  <si>
    <t>Curcuwin Ultra</t>
  </si>
  <si>
    <t>姜黄素超效配方</t>
  </si>
  <si>
    <t>OmniActives
全能工具</t>
  </si>
  <si>
    <t>Lemon Powder</t>
  </si>
  <si>
    <t>柠檬粉</t>
  </si>
  <si>
    <t>Lemon Juice Powder</t>
  </si>
  <si>
    <t>柠檬汁粉</t>
  </si>
  <si>
    <t>NP Nutra</t>
  </si>
  <si>
    <t>Organic Lemon Juice Powder</t>
  </si>
  <si>
    <t>有机柠檬汁粉</t>
  </si>
  <si>
    <t>Cranberry Fruit Powder</t>
  </si>
  <si>
    <t>蔓越莓果粉</t>
  </si>
  <si>
    <t>Cranberry Juice Powder</t>
  </si>
  <si>
    <t>蔓越莓汁粉</t>
  </si>
  <si>
    <t>Organic Cranberry Juice Powder</t>
  </si>
  <si>
    <t>有机蔓越莓汁粉</t>
  </si>
  <si>
    <t>18.14 kg</t>
  </si>
  <si>
    <t>Chrysanthemum powder</t>
  </si>
  <si>
    <t>菊花粉</t>
  </si>
  <si>
    <t>Chrysanthemum Extract 10:1</t>
  </si>
  <si>
    <t>菊花提取物10:1</t>
  </si>
  <si>
    <t>AuNutra
附属品</t>
  </si>
  <si>
    <t>25kg</t>
  </si>
  <si>
    <t>Wild Chrysanthemum Extract 10:1 TLC</t>
  </si>
  <si>
    <t>野菊花提取物10:1 TLC</t>
  </si>
  <si>
    <t xml:space="preserve">Lactobacillus reuteri 20 billion cfu/gram </t>
  </si>
  <si>
    <t xml:space="preserve">罗氏乳杆菌200亿cfu/克 </t>
  </si>
  <si>
    <t xml:space="preserve">Lactobacillus reuteri 10 billion cfu/gram </t>
  </si>
  <si>
    <t xml:space="preserve">罗氏乳杆菌100亿cfu/克 </t>
  </si>
  <si>
    <t>Creative Enzymes
创意酵素</t>
  </si>
  <si>
    <t>CytoGuard Stat N Plus</t>
  </si>
  <si>
    <t>细胞守护增强配方 N Plus</t>
  </si>
  <si>
    <t>AB Ingredients
AB成分</t>
  </si>
  <si>
    <t>$17.15 gallon / 5 gallon pail MOQ</t>
  </si>
  <si>
    <t>Gotu Kola Extract 35% Asiaticosides / Triterpene Glycosides HPLC</t>
  </si>
  <si>
    <t>积雪草提取物35%积雪草苷/三烯糖苷HPLC</t>
  </si>
  <si>
    <t>25kg / 3-5 wk lead</t>
  </si>
  <si>
    <t>Gotu Kola Extract 25% Asiaticosides / Triterpene Glycosides HPLC</t>
  </si>
  <si>
    <t>积雪草提取物25%积雪草苷/三烯糖苷HPLC</t>
  </si>
  <si>
    <t>25 kg/ 3 day lead</t>
  </si>
  <si>
    <t>Gotu Kola Extract (Centella asiatica std. to 36% asiaticosides)</t>
  </si>
  <si>
    <t>积雪草提取物（积雪草标准至36%积雪草苷）</t>
  </si>
  <si>
    <t>25kg / 3-4 wk lead</t>
  </si>
  <si>
    <t>Butterfly Pea Powder</t>
  </si>
  <si>
    <t>蝴蝶豌豆粉</t>
  </si>
  <si>
    <t>Lemon Balm Extract 10:1</t>
  </si>
  <si>
    <t>柠檬香膏提取物10:1</t>
  </si>
  <si>
    <t xml:space="preserve">Ingredients Online 
成分在线 </t>
  </si>
  <si>
    <t>Prickly Pear Extract 4:1</t>
  </si>
  <si>
    <t>仙人掌提取物4:1</t>
  </si>
  <si>
    <t>Recovera - Prickly Pear Extract</t>
  </si>
  <si>
    <t>Recovera-仙人掌提取物</t>
  </si>
  <si>
    <t>Anderson Global
安德森全球</t>
  </si>
  <si>
    <t>Prickly Pear Extract 20:1</t>
  </si>
  <si>
    <t>仙人掌提取物20:1</t>
  </si>
  <si>
    <t>Methylene Blue Powder (food grade)</t>
  </si>
  <si>
    <t>亚甲蓝粉（食品级）</t>
  </si>
  <si>
    <t>PharmaResources
医药资源</t>
  </si>
  <si>
    <t>Coptis chinensis</t>
  </si>
  <si>
    <t>黄连</t>
  </si>
  <si>
    <t>25 kg / 1-2 wk lead</t>
  </si>
  <si>
    <t>Rheum palmatun aka chinese rhubarb</t>
  </si>
  <si>
    <t>掌叶大黄，又名中国大黄</t>
  </si>
  <si>
    <t>Rheum palmatun aka chinese rhubarb Rhubarb Root Extract 10:1 Powder</t>
  </si>
  <si>
    <t>大黄根提取物 10:1 粉末</t>
  </si>
  <si>
    <t>Sophora flavescens aka light yellow sophora root</t>
  </si>
  <si>
    <t>苦参又名淡黄色苦参根</t>
  </si>
  <si>
    <t>25kg / 1wk lead</t>
  </si>
  <si>
    <t>Sophora Flavescens Root P.E. 10:1</t>
  </si>
  <si>
    <t>苦参（又名苦参根）苦参根提取物 10:1 粉末</t>
  </si>
  <si>
    <t>Sophora flavescens aka light yellow sophora root Sophora Root Extract 10:1 Powder</t>
  </si>
  <si>
    <t>苦参又名淡黄色苦参根，苦参根提取物10:1粉末</t>
  </si>
  <si>
    <t>Phellodendron amurense aka amur cork bark tree</t>
  </si>
  <si>
    <t>黄柏又名阿穆尔软木树皮树</t>
  </si>
  <si>
    <t>Berberine HCL 97% HPLC (Phellodendron amurense Rupr)</t>
  </si>
  <si>
    <t>盐酸黄连素97%高效液相色谱法（黄柏）</t>
  </si>
  <si>
    <t>Salvia miltiorrhiz aka red sage</t>
  </si>
  <si>
    <t>丹参又名红鼠尾草</t>
  </si>
  <si>
    <t>Jiaherb
加赫伯</t>
  </si>
  <si>
    <t>Savia miltiorrhiz aka red sage Red Sage Extract 10:1 Powder</t>
  </si>
  <si>
    <t>Savia miltiordhiz又名红鼠尾草红鼠尾草提取物10:1粉末</t>
  </si>
  <si>
    <t>Red Sage Straight Powder</t>
  </si>
  <si>
    <t>红鼠尾草直粉</t>
  </si>
  <si>
    <t>Red Sage Root PE 4:1</t>
  </si>
  <si>
    <t>红鼠尾根PE 4:1</t>
  </si>
  <si>
    <t>Redroot Gromwell Root PE 5:1</t>
  </si>
  <si>
    <t>紫草根提取物 5:1（PE 表示植物提取物，5:1 为提取比例）</t>
  </si>
  <si>
    <t>Epicor</t>
  </si>
  <si>
    <t>爱毕可（酿酒酵母发酵后益生菌成分，用于支持免疫健康）</t>
  </si>
  <si>
    <t>Cargill
嘉吉</t>
  </si>
  <si>
    <t>Liposomal Pureway-C® fine powder or water dispersible grade</t>
  </si>
  <si>
    <t>脂质体Pureway-C®细粉末或水分散级</t>
  </si>
  <si>
    <t>One Innovation Labs
一个创新实验室</t>
  </si>
  <si>
    <t>Pureway-C® fine powder or Water soluble</t>
  </si>
  <si>
    <t>普维柯 - C® 细粉或水溶性维生素 C（专利配方）</t>
  </si>
  <si>
    <t>Lestriva</t>
  </si>
  <si>
    <t>Nutrition 21
营养21</t>
  </si>
  <si>
    <t>Turmeric Extract Powder (Std. min. 95% curcuminoids)(root):</t>
  </si>
  <si>
    <t>姜黄提取物粉末（标准品，姜黄素类成分至少 95%，根部提取</t>
  </si>
  <si>
    <t>OPTIFY TRUETASTE JUICY MODIFYING FLAVOR, NAT 936.3386D</t>
  </si>
  <si>
    <t>OPTIFY 真味多汁风味调节剂，天然 936.3386D（风味原料代号）</t>
  </si>
  <si>
    <t>McFona
麦克福纳</t>
  </si>
  <si>
    <t>45.36 kg (100 lbs)</t>
  </si>
  <si>
    <t>Black Pepper Extract Piperine 95% HPLC</t>
  </si>
  <si>
    <t>黑胡椒提取物，胡椒碱 95%（HPLC 检测）</t>
  </si>
  <si>
    <t>15kg</t>
  </si>
  <si>
    <t xml:space="preserve">PEA-Palmitoylethanolamide 99%(Non Ultra-Micronized): </t>
  </si>
  <si>
    <t>棕榈酰乙醇胺（PEA）99%（非超微化）</t>
  </si>
  <si>
    <t>Psoralea corylifolia Powder Extract (bakuchiol)</t>
  </si>
  <si>
    <t>补骨脂粉末提取物（含补骨脂酚）</t>
  </si>
  <si>
    <t>Centian</t>
  </si>
  <si>
    <t>Bluenesse</t>
  </si>
  <si>
    <t>蓝莓精华</t>
  </si>
  <si>
    <t>Fytexia</t>
  </si>
  <si>
    <t>20 kg MOQ - 2 wk lead</t>
  </si>
  <si>
    <t>Benegut</t>
  </si>
  <si>
    <t>Solnul</t>
  </si>
  <si>
    <t>125 kg MOQ</t>
  </si>
  <si>
    <t>Digexin</t>
  </si>
  <si>
    <t>NXT-USA</t>
  </si>
  <si>
    <t>Preticx XOS</t>
  </si>
  <si>
    <t>低聚木糖</t>
  </si>
  <si>
    <t>AIDP</t>
  </si>
  <si>
    <t>25 kg MOQ</t>
  </si>
  <si>
    <t>Ceramosides</t>
  </si>
  <si>
    <t>小麦极性脂质（源自非转基因小麦胚芽提取物，含植物神经酰胺）</t>
  </si>
  <si>
    <t>Airliquide/ Seppic
气液/Seppic</t>
  </si>
  <si>
    <t>1kg MOQ</t>
  </si>
  <si>
    <t xml:space="preserve"> $ 2,892.00 </t>
  </si>
  <si>
    <t>Eriomin</t>
  </si>
  <si>
    <t>麻黄蛋白</t>
  </si>
  <si>
    <t>Ingredients by Nature
天然成分</t>
  </si>
  <si>
    <t>VegOtein Clear</t>
  </si>
  <si>
    <t>植物蛋白</t>
  </si>
  <si>
    <t>Axiom
公理</t>
  </si>
  <si>
    <t>20 kg bag/ 36 per pallet</t>
  </si>
  <si>
    <t>Affron</t>
  </si>
  <si>
    <t>藏红花提取物</t>
  </si>
  <si>
    <t>Gencor</t>
  </si>
  <si>
    <t xml:space="preserve"> $ 2,700.00 </t>
  </si>
  <si>
    <t>Ferrous Lactate</t>
  </si>
  <si>
    <t>乳酸亚铁</t>
  </si>
  <si>
    <t>Check Stock</t>
  </si>
  <si>
    <t>Bifidobacterium Longum Probiotic Powder 100B CFU/g</t>
  </si>
  <si>
    <t>长胶双歧杆菌益生菌粉100BCFU/g</t>
  </si>
  <si>
    <t>Medikonda
麦迪康达</t>
  </si>
  <si>
    <t>KeraGlo</t>
  </si>
  <si>
    <t>凯拉格洛</t>
  </si>
  <si>
    <t>NutriScience
营养科学</t>
  </si>
  <si>
    <t>Phytosterols 95% GC</t>
  </si>
  <si>
    <t>植物甾醇95%GC</t>
  </si>
  <si>
    <t>Bilberry Extract 4:1</t>
  </si>
  <si>
    <t>越橘提取物4:1</t>
  </si>
  <si>
    <t>20kg</t>
  </si>
  <si>
    <t>Strontium Citrate 40%</t>
  </si>
  <si>
    <t>柠檬酸锶40%</t>
  </si>
  <si>
    <t>Tatua</t>
  </si>
  <si>
    <t>Tatua
塔图阿</t>
  </si>
  <si>
    <t>Selenium enriched malt powder</t>
  </si>
  <si>
    <t>富硒麦芽粉</t>
  </si>
  <si>
    <t>Soy Isoflavornes 5%</t>
  </si>
  <si>
    <t>大豆异黄酮5%</t>
  </si>
  <si>
    <t>Soy Isoflavornes40%</t>
  </si>
  <si>
    <t>大豆异黄酮40%</t>
  </si>
  <si>
    <t>Aquimin Mg</t>
  </si>
  <si>
    <t>海洋镁（Aquimin 镁）</t>
  </si>
  <si>
    <t>Stauber
斯陶伯</t>
  </si>
  <si>
    <t>AlgaeCal Inc</t>
  </si>
  <si>
    <t>藻类公司</t>
  </si>
  <si>
    <t>AlgaeCal
藻类</t>
  </si>
  <si>
    <t>Black Ginger Extract</t>
  </si>
  <si>
    <t>黑姜提取物</t>
  </si>
  <si>
    <t>B. Reuteri</t>
  </si>
  <si>
    <t>SkinAx2 Lift</t>
  </si>
  <si>
    <t>皮肤提升剂</t>
  </si>
  <si>
    <t>ActivInside</t>
  </si>
  <si>
    <t>5 kg MOQ
5公斤起订量</t>
  </si>
  <si>
    <t>Cognizin</t>
  </si>
  <si>
    <t>胞磷胆碱（Cognizin 专利形式）</t>
  </si>
  <si>
    <t>Kyowa
协和</t>
  </si>
  <si>
    <t>5kg MOQ
5kg起订量</t>
  </si>
  <si>
    <t>80 Billion Probiotic 6 Blend</t>
  </si>
  <si>
    <t>800亿益生菌6混合物</t>
  </si>
  <si>
    <t>5 Blend Probiotic</t>
  </si>
  <si>
    <t>5混合益生菌</t>
  </si>
  <si>
    <t>RiaGev (Palm &amp; WS)</t>
  </si>
  <si>
    <t>RiaGev(棕榈和WS)</t>
  </si>
  <si>
    <t>BioEnergy Life Science
生物能源生命科学</t>
  </si>
  <si>
    <t>Mobilee HA</t>
  </si>
  <si>
    <t>可移动透明质酸基质</t>
  </si>
  <si>
    <t xml:space="preserve"> $ 1,400.00 </t>
  </si>
  <si>
    <t>Seppic
史诗般的</t>
  </si>
  <si>
    <t>1 &amp; 5 kg</t>
  </si>
  <si>
    <t>CaroLean</t>
  </si>
  <si>
    <t>体重管理类成分代号</t>
  </si>
  <si>
    <t>Nexira</t>
  </si>
  <si>
    <t>OxyPhyte</t>
  </si>
  <si>
    <t>抗氧化植物提取</t>
  </si>
  <si>
    <t>RFI Ingredients
RFI成分</t>
  </si>
  <si>
    <t>10-12 wk lead time
10-12周交货时间</t>
  </si>
  <si>
    <t>ActriSave</t>
  </si>
  <si>
    <t>功能性成分代号</t>
  </si>
  <si>
    <t>BioNap</t>
  </si>
  <si>
    <t>InnovaTea</t>
  </si>
  <si>
    <t>创新茶</t>
  </si>
  <si>
    <t>(2 samples received)
（收到2个样品）</t>
  </si>
  <si>
    <t>Blackberry Extract 4:1</t>
  </si>
  <si>
    <t>黑莓提取物4:1</t>
  </si>
  <si>
    <t>Ovolux</t>
  </si>
  <si>
    <t>Ovolux® 女性健康成分</t>
  </si>
  <si>
    <t>Nutrilliance
营养</t>
  </si>
  <si>
    <t>AKK</t>
  </si>
  <si>
    <t xml:space="preserve"> $8255 / $3675 </t>
  </si>
  <si>
    <t>HelpLifes
帮助生活</t>
  </si>
  <si>
    <t>1kg/5kg - Ship from China
1kg/5kg-从中国发货</t>
  </si>
  <si>
    <t>纳豆激酶</t>
  </si>
  <si>
    <t>SuanNutra</t>
  </si>
  <si>
    <t>25kg MOQ
25kg起订量</t>
  </si>
  <si>
    <t>Oxidized CoQ10 (Ubiquinone)</t>
  </si>
  <si>
    <t>氧化辅酶Q10（泛醌）</t>
  </si>
  <si>
    <t>NutriAvenue</t>
  </si>
  <si>
    <t>1 kg - Deliver Duty Unpaid
1公斤-未缴税交货</t>
  </si>
  <si>
    <t>Am. Int'l
是。国际</t>
  </si>
  <si>
    <t>Sample Ordered thru Amazon
样品通过亚马逊订购</t>
  </si>
  <si>
    <t>Oyster Extract Powder</t>
  </si>
  <si>
    <t>牡蛎提取物粉</t>
  </si>
  <si>
    <t>Bulk Supplements
批量补充剂</t>
  </si>
  <si>
    <t>Brussels Sprouts 4:1</t>
  </si>
  <si>
    <t>球芽甘蓝4:1</t>
  </si>
  <si>
    <t>NutriCargo
营养货运</t>
  </si>
  <si>
    <t>USPS 9405511106150837896753</t>
  </si>
  <si>
    <t>Poria (Poria Cocos) Extract</t>
  </si>
  <si>
    <t>枸杞提取物</t>
  </si>
  <si>
    <t>GreenJeeva
格林吉瓦</t>
  </si>
  <si>
    <t>Urolithioneine A (Urolithin A)</t>
  </si>
  <si>
    <t>尿脂硫蛋白A（Urolithioneine A）</t>
  </si>
  <si>
    <t>Centian 森天</t>
  </si>
  <si>
    <t>Sample Ordered
样品订购</t>
  </si>
  <si>
    <t>Sample not available
样品不可用</t>
  </si>
  <si>
    <t>Pea Protein Masker</t>
  </si>
  <si>
    <t>豌豆蛋白面膜</t>
  </si>
  <si>
    <t>OSF</t>
  </si>
  <si>
    <t>22.68 kg</t>
  </si>
  <si>
    <t>Bitter Blocker 7237012</t>
  </si>
  <si>
    <t>苦味阻滞剂7237012</t>
  </si>
  <si>
    <t>Sensapure
森萨普雷</t>
  </si>
  <si>
    <t>22.68kg - 5 week lead time
22.68kg-5周交货时间</t>
  </si>
  <si>
    <t>Lemonade OC-11870</t>
  </si>
  <si>
    <t>柠檬水OC-11870</t>
  </si>
  <si>
    <t>Mosaic
马赛克</t>
  </si>
  <si>
    <t>90.63kg - mple already in R&amp;D
90.63kg-mple已在研发中</t>
  </si>
  <si>
    <t>Natural Pineapple Type Fl SD - 7-7558-0002</t>
  </si>
  <si>
    <t>天然菠萝味香精 SD-7-7558-0002</t>
  </si>
  <si>
    <t>N&amp;A Lemon Lime FL SD #935</t>
  </si>
  <si>
    <t>N&amp;A柠檬青柠FLSD#935</t>
  </si>
  <si>
    <t>Virginia Dare
弗吉尼亚敢</t>
  </si>
  <si>
    <t>Sample already in R&amp;D
样品已在研发中</t>
  </si>
  <si>
    <t>Metabolaid</t>
  </si>
  <si>
    <t>代谢助力剂</t>
  </si>
  <si>
    <t xml:space="preserve">5kg </t>
  </si>
  <si>
    <t>RelaxPlx</t>
  </si>
  <si>
    <t>舒缓复合配方</t>
  </si>
  <si>
    <t>ZeroPolution</t>
  </si>
  <si>
    <t>零污染</t>
  </si>
  <si>
    <t>EternalYoung</t>
  </si>
  <si>
    <t>永恒年轻</t>
  </si>
  <si>
    <t xml:space="preserve">OXYPHYTE®-WHITE TEA PE 90% POLY RFI-TC130002 </t>
  </si>
  <si>
    <t>OXYPHYTE® 白茶提取物，含 90% 多酚</t>
  </si>
  <si>
    <t>25 kg - 10-12 wk Leadtime
25公斤-10-12周交货时间</t>
  </si>
  <si>
    <t>DNActive</t>
  </si>
  <si>
    <t>DNA 活性因子</t>
  </si>
  <si>
    <t>10 kg
10公斤</t>
  </si>
  <si>
    <t>Akkermansia Muciniphila 10 Billion AFU/g</t>
  </si>
  <si>
    <t>嗜黏蛋白阿克曼菌，每克含 100 亿 AFU</t>
  </si>
  <si>
    <t>sample being ordered
订购样品</t>
  </si>
  <si>
    <t>Helplifes
助手</t>
  </si>
  <si>
    <t>Sample ordered
样品订购</t>
  </si>
  <si>
    <t>N&amp;A Fl for Raspberry Pwdr. #29229</t>
  </si>
  <si>
    <t>覆盆子粉用 N&amp;A FI 原料 #29229</t>
  </si>
  <si>
    <t>Telos 95</t>
  </si>
  <si>
    <t>Certified Nutraceuticals
认证保健品</t>
  </si>
  <si>
    <t>Sample being sent 3/28 - THIS ITEM CANNOT BE USED IT ITEMS TO BE SOLD OUTSIDE OF THE US
样品被发送3/28-此物品不能被使用它的物品被出售US</t>
  </si>
  <si>
    <t xml:space="preserve"> $ 2,500.00 </t>
  </si>
  <si>
    <t>豌豆蛋白掩蔽剂</t>
  </si>
  <si>
    <t>Imbibe
酒神</t>
  </si>
  <si>
    <t>45.36 kg (100 lbs)
45.36公斤（100磅）</t>
  </si>
  <si>
    <t>Collavant N2</t>
  </si>
  <si>
    <t>Colavant N2</t>
  </si>
  <si>
    <t>Immunoglobin from Bovine Colustrum Pwdr.</t>
  </si>
  <si>
    <t>牛初乳粉中的免疫球蛋白</t>
  </si>
  <si>
    <t>Watson
华生</t>
  </si>
  <si>
    <t>20 kg
20公斤</t>
  </si>
  <si>
    <t>Apple Stem Cells (Malus Pumila, Fruit)</t>
  </si>
  <si>
    <t>苹果干细胞（苹果、水果）</t>
  </si>
  <si>
    <t>NutriCargo</t>
  </si>
  <si>
    <t>Must purchase Sample
必须购买样品</t>
  </si>
  <si>
    <t>Bacillus Coagulans</t>
  </si>
  <si>
    <t>凝结芽孢杆菌</t>
  </si>
  <si>
    <t>Meteoric / Ingredients Online
流星/成分在线</t>
  </si>
  <si>
    <t>Ivy Leaf Extract 10% Hederacosides C HPLC (Water Extracted)</t>
  </si>
  <si>
    <t>常春藤叶提取物，含 10% 常春藤皂苷 C（HPLC 检测），水提工艺</t>
  </si>
  <si>
    <t>Melon Concentrate (Cucumis Melo)</t>
  </si>
  <si>
    <t>浓缩甜瓜（甜瓜）</t>
  </si>
  <si>
    <t>Ecuadorian Rainforest
厄瓜多尔雨林</t>
  </si>
  <si>
    <t>30 kg MOQ
30公斤起订量</t>
  </si>
  <si>
    <t>Thyme Extract 10:1</t>
  </si>
  <si>
    <t>百里香提取物10:1</t>
  </si>
  <si>
    <t>Sage Extract 4:1</t>
  </si>
  <si>
    <t>鼠尾草提取物4:1</t>
  </si>
  <si>
    <t>Mountain Rose
山玫瑰</t>
  </si>
  <si>
    <t>Orange Oil</t>
  </si>
  <si>
    <t>橙油</t>
  </si>
  <si>
    <t>Jedwards
杰德华兹</t>
  </si>
  <si>
    <t>Excellentia
卓越</t>
  </si>
  <si>
    <t xml:space="preserve">20kg </t>
  </si>
  <si>
    <t>Thyme Oil</t>
  </si>
  <si>
    <t>百里香油</t>
  </si>
  <si>
    <t>Honey (non GMO)</t>
  </si>
  <si>
    <t>蜂蜜（非转基因）</t>
  </si>
  <si>
    <t>Lime Flower Dry Extract (Linden Flower 4:1</t>
  </si>
  <si>
    <t>青柠花干提取物（菩提花4:1</t>
  </si>
  <si>
    <t>Resveratrol 50%</t>
  </si>
  <si>
    <t>白藜芦醇50%</t>
  </si>
  <si>
    <t>Natural Burnt Suger Type FL SD - 7558011</t>
  </si>
  <si>
    <t>天然烧糖FLSD-7558011</t>
  </si>
  <si>
    <t>Natural Lemon Wonf SD - 7558003</t>
  </si>
  <si>
    <t>天然柠檬WonfSD-7558003</t>
  </si>
  <si>
    <t>Natural Lemon FL SD - 7558007</t>
  </si>
  <si>
    <t>天然柠檬FLSD-7558007</t>
  </si>
  <si>
    <t>Natural Citrus Punch FL SD - 7558009</t>
  </si>
  <si>
    <t>天然柑橘冲床FLSD-7558009</t>
  </si>
  <si>
    <t>Natural Citrus Passionfruit - 7558007</t>
  </si>
  <si>
    <t>天然柑橘百香果-7558007</t>
  </si>
  <si>
    <t>Natural French Vanilla - 7558013</t>
  </si>
  <si>
    <t>天然法国香草-7558013</t>
  </si>
  <si>
    <t>45.36 MOQ
45.36起订量</t>
  </si>
  <si>
    <t>Natural Pink Lemonade - 7558001</t>
  </si>
  <si>
    <t>天然粉色柠檬水-7558001</t>
  </si>
  <si>
    <t>Natural Madagascar Vanilla - 7558014</t>
  </si>
  <si>
    <t>天然马达加斯加香草-7558014</t>
  </si>
  <si>
    <t>Natural Vanilla Cream - 7558012</t>
  </si>
  <si>
    <t>天然香草奶油-7558012</t>
  </si>
  <si>
    <t>Natural Lemonade - 7558002</t>
  </si>
  <si>
    <t>天然柠檬水-7558002</t>
  </si>
  <si>
    <t>Natural Lemon - 7558010</t>
  </si>
  <si>
    <t>天然柠檬-7558010</t>
  </si>
  <si>
    <t>Natural Lemon Italian Ice - 7558004</t>
  </si>
  <si>
    <t>天然柠檬意大利冰-7558004</t>
  </si>
  <si>
    <t xml:space="preserve">Galactooligosaccharides (GOS) </t>
  </si>
  <si>
    <t xml:space="preserve">低聚半乳糖（GOS） </t>
  </si>
  <si>
    <t>GreenJeeva</t>
  </si>
  <si>
    <t>L-Carnitine Base</t>
  </si>
  <si>
    <t>L-肉碱</t>
  </si>
  <si>
    <t>Alpha Ketoglutarate Acid</t>
  </si>
  <si>
    <t>α-酮戊二酸</t>
  </si>
  <si>
    <t>50kg - Lead time 2-3 wks (Air)
50kg-交货时间2-3周（空气）</t>
  </si>
  <si>
    <t>Verisol</t>
  </si>
  <si>
    <t>维丽素（水解胶原蛋白肽）</t>
  </si>
  <si>
    <t>Gelita</t>
  </si>
  <si>
    <t>15kg Bag = Lead time - 16wks
15kg袋=交货时间-16wks</t>
  </si>
  <si>
    <t>Enzymatically Modified Isoquercitrin</t>
  </si>
  <si>
    <t>酶修饰异槲皮素</t>
  </si>
  <si>
    <t>5th NutriSupply
第五届营养供应</t>
  </si>
  <si>
    <t>10kg</t>
  </si>
  <si>
    <t>3 Blend Probiotic (Bifidobacterium animalis /Lactobacillus plantarum /Bifidobacterium breve)</t>
  </si>
  <si>
    <t>3 种复合益生菌（动物双歧杆菌 / 植物乳杆菌 / 短双歧杆菌）</t>
  </si>
  <si>
    <t>3-4 wk lead
3-4周铅</t>
  </si>
  <si>
    <t>Momstamin (HMO)</t>
  </si>
  <si>
    <t>母乳低聚糖（HMO）</t>
  </si>
  <si>
    <t>Ingredients Onine
成分Onine</t>
  </si>
  <si>
    <t>1kg MOQ / 4 wk lead
1kg起订量/4 wk铅</t>
  </si>
  <si>
    <t>Glycare (HMO)</t>
  </si>
  <si>
    <t>血糖管理（HMO）</t>
  </si>
  <si>
    <t>dms-firmenich</t>
  </si>
  <si>
    <t>6-8 wk lead from Denmark
丹麦领先6-8周</t>
  </si>
  <si>
    <t>Ferrochel (Ferrous Bisgly Chelate)</t>
  </si>
  <si>
    <t>亚铁（Bisgly螯合亚铁）</t>
  </si>
  <si>
    <t>Aquimin TG</t>
  </si>
  <si>
    <t>菲洛可（甘氨酸亚铁螯合物）</t>
  </si>
  <si>
    <t>Tapioca Dextrin</t>
  </si>
  <si>
    <t>木薯糊精</t>
  </si>
  <si>
    <t>Rice Flour</t>
  </si>
  <si>
    <t>米粉</t>
  </si>
  <si>
    <t>Colostrum XP</t>
  </si>
  <si>
    <t>初乳XP</t>
  </si>
  <si>
    <t>Prinova
普林诺娃</t>
  </si>
  <si>
    <t>4wk Lead Time
4wk交货时间</t>
  </si>
  <si>
    <t>Homecraft Create 860 (Rice Flour)</t>
  </si>
  <si>
    <t>手工家庭制作 860（米粉）</t>
  </si>
  <si>
    <t>Ingredion
香膏</t>
  </si>
  <si>
    <t>Cryatal Gum (Tapioca Dextrin)</t>
  </si>
  <si>
    <t>冷冻胶（木薯糊精）</t>
  </si>
  <si>
    <t>Heme Iron Polypeptide (HIP) 2% Iron</t>
  </si>
  <si>
    <t>血红素铁多肽（HIP）2%铁</t>
  </si>
  <si>
    <t>Probiotic 3 Blend 25 B cfu/g on FOS</t>
  </si>
  <si>
    <t>益生菌 3 种复合配方，每克含 250 亿 CFU，载体为低聚果糖（FOS）</t>
  </si>
  <si>
    <t>L. plantarum 600 Million cfu/g on non-GMO maltodextrin</t>
  </si>
  <si>
    <t>植物乳杆菌，每克含 6 亿 CFU，载体为非转基因麦芽糊精</t>
  </si>
  <si>
    <t>GingEver</t>
  </si>
  <si>
    <t>姜黄</t>
  </si>
  <si>
    <t>DNF-10</t>
  </si>
  <si>
    <t>Fytexisa</t>
  </si>
  <si>
    <t>迪格辛</t>
  </si>
  <si>
    <t>Lactobacillus Fermentum 16B</t>
  </si>
  <si>
    <t>发酵乳杆菌16B</t>
  </si>
  <si>
    <t>SAMe</t>
  </si>
  <si>
    <t>Fifth NutriSupply
第五营养供应</t>
  </si>
  <si>
    <t>Lipowheat Oil</t>
  </si>
  <si>
    <t>脂质小麦油</t>
  </si>
  <si>
    <t>Robertet
罗伯泰</t>
  </si>
  <si>
    <t>Natural Lemon FL Plate - 7558006</t>
  </si>
  <si>
    <t>天然柠檬FL板-7558006</t>
  </si>
  <si>
    <t>Natural Lemonade Type FL SD - 7558005</t>
  </si>
  <si>
    <t>天然柠檬水FLSD-7558005</t>
  </si>
  <si>
    <t>Spirulina</t>
  </si>
  <si>
    <t>螺旋藻</t>
  </si>
  <si>
    <t>Must purchase sample (NutriCargo sister website)
必买样品（NutriCargo姐妹网站）</t>
  </si>
  <si>
    <t>Cram of Tartar</t>
  </si>
  <si>
    <t>鞑靼克拉姆</t>
  </si>
  <si>
    <t>No samples available
没有可用的样品</t>
  </si>
  <si>
    <t>Green Tea Extract 4:1 SE</t>
  </si>
  <si>
    <t>绿茶提取物4:1SE</t>
  </si>
  <si>
    <t>Natural Plum Flavor</t>
  </si>
  <si>
    <t>天然李子味</t>
  </si>
  <si>
    <t>Fish Collagen</t>
  </si>
  <si>
    <t>Bovine Collagen</t>
  </si>
  <si>
    <t>牛胶原蛋白</t>
  </si>
  <si>
    <t>Jellyfish Collagen</t>
  </si>
  <si>
    <t>水母胶原蛋白</t>
  </si>
  <si>
    <t>4'Liver</t>
  </si>
  <si>
    <t>4'肝脏</t>
  </si>
  <si>
    <t>Potassium Aspartate</t>
  </si>
  <si>
    <t>天冬氨酸钾</t>
  </si>
  <si>
    <t>Pear Juice Concentrate</t>
  </si>
  <si>
    <t>梨汁浓缩液</t>
  </si>
  <si>
    <t>Florida Bulk
佛罗里达散装</t>
  </si>
  <si>
    <t>Cherry Juice Concentrate</t>
  </si>
  <si>
    <t>浓缩樱桃汁</t>
  </si>
  <si>
    <t>Pomegranate Juice Concentrate</t>
  </si>
  <si>
    <t>石榴浓缩汁</t>
  </si>
  <si>
    <t>Lacto acidophilus/acidophilus/bifidum/animalis subsp. lactis (64Bil)</t>
  </si>
  <si>
    <t>嗜酸乳杆菌/嗜酸乳杆菌/双歧/哺乳动物亚种（640亿）</t>
  </si>
  <si>
    <t>Ingred. By Nature
英格尔。自然</t>
  </si>
  <si>
    <t>Lacto rhamnosus/paracasei (64Bil)</t>
  </si>
  <si>
    <t>鼠李糖乳鼠/副鼻鼠（640亿）</t>
  </si>
  <si>
    <t>Above 2 Combined 6 strain</t>
  </si>
  <si>
    <t>2以上合6株</t>
  </si>
  <si>
    <t>L. reuteri 100 B cfu/g on non-GMO maltodextrin</t>
  </si>
  <si>
    <t>100 Bcfu/g对非转基因麦芽糊精的影响</t>
  </si>
  <si>
    <t>Slippery Elm Bark 4:1 Extract</t>
  </si>
  <si>
    <t>滑榆树皮4:1提取物</t>
  </si>
  <si>
    <t>Into the Rainforest
进入雨林</t>
  </si>
  <si>
    <t>PharmaGABA</t>
  </si>
  <si>
    <t>法尔玛伽马氨基丁酸</t>
  </si>
  <si>
    <t>Mitsubishi
三菱</t>
  </si>
  <si>
    <t>Cranberry PE 4:1</t>
  </si>
  <si>
    <t>蔓越莓PE 4:1</t>
  </si>
  <si>
    <t>Melissa herb extract (10:1)</t>
  </si>
  <si>
    <t>梅丽莎草药提取物（10:1）</t>
  </si>
  <si>
    <t>25kg - 3day lead
25kg-3天铅</t>
  </si>
  <si>
    <t xml:space="preserve">Melissa herb Extract 10:1 - Lemon Balm Herb 10:1 </t>
  </si>
  <si>
    <t xml:space="preserve">Melissa草本提取物10:1-柠檬香膏草本10:1 </t>
  </si>
  <si>
    <t>25kg - In Stock
25kg-有货</t>
  </si>
  <si>
    <t>Andrographis paniculata extract (10% Andrographolide)</t>
  </si>
  <si>
    <t>穿心莲提取物（10%穿心莲内酯）</t>
  </si>
  <si>
    <t>In Stock - 25
有库存-25</t>
  </si>
  <si>
    <t>Andrographis paniculata Leaf PE (10% Andrographolides)</t>
  </si>
  <si>
    <t>穿心莲叶PE（10%穿心莲内酯）</t>
  </si>
  <si>
    <t>4-5 days - 25
4-5天-25</t>
  </si>
  <si>
    <t>1 wk - 25</t>
  </si>
  <si>
    <t>Zinc Gluconate (14% Zn) - Price confirmed</t>
  </si>
  <si>
    <t>葡萄糖酸锌（14%锌）-价格已确认</t>
  </si>
  <si>
    <t>Echinacea extract (4:1)</t>
  </si>
  <si>
    <t>紫锥菊提取物（4:1）</t>
  </si>
  <si>
    <t>Echinacea Purpurea Extract 4:1</t>
  </si>
  <si>
    <t>紫锥菊提取物4:1</t>
  </si>
  <si>
    <t>4-5 day lead -25
4-5天潜在客户-25</t>
  </si>
  <si>
    <t xml:space="preserve">Echinacea Angustifolia Root 4:1 </t>
  </si>
  <si>
    <t xml:space="preserve">紫锥菊根4:1 </t>
  </si>
  <si>
    <t>In Stock -25
库存-25</t>
  </si>
  <si>
    <t>Ginger extract 5% gingerols</t>
  </si>
  <si>
    <t>姜提取物5%姜酚</t>
  </si>
  <si>
    <t>Ginger Extract Gingerol 5% HPLC</t>
  </si>
  <si>
    <t>姜提取物姜酚5%高效液相色谱法</t>
  </si>
  <si>
    <t>4-5 days -25
4-5天-25</t>
  </si>
  <si>
    <t xml:space="preserve">Ginger Extract 5% Gingerols </t>
  </si>
  <si>
    <t xml:space="preserve">姜提取物5%姜酚 </t>
  </si>
  <si>
    <t>Black Elderberry Extract 4:1</t>
  </si>
  <si>
    <t>黑接骨木提取物4:1</t>
  </si>
  <si>
    <t>3 day lead - 25
3天潜在客户-25</t>
  </si>
  <si>
    <t>Elderberry extract 4:1</t>
  </si>
  <si>
    <t>接骨木提取物4:1</t>
  </si>
  <si>
    <t xml:space="preserve">Black Elderberry Extract 4:1 </t>
  </si>
  <si>
    <t xml:space="preserve">黑接骨木提取物4:1 </t>
  </si>
  <si>
    <t>3-4 days -25
3-4天-25</t>
  </si>
  <si>
    <t xml:space="preserve">Black Elderberry Extract 10:1 </t>
  </si>
  <si>
    <t xml:space="preserve">黑接骨木提取物10:1 </t>
  </si>
  <si>
    <t>Ribwort plantain dry extract 4:1 (Plantago lanceolata)</t>
  </si>
  <si>
    <t>车前草干提取物4:1（车前草）</t>
  </si>
  <si>
    <t>Pharma Resources (10:1)
制药资源（10:1）</t>
  </si>
  <si>
    <t>Salvia Miltiorrhiza Extract 4:1 TLC (Red Sage Root Extract)</t>
  </si>
  <si>
    <t>丹参提取物4:1 TLC（丹参根提取物）</t>
  </si>
  <si>
    <t xml:space="preserve">Sage Extract 4:1 </t>
  </si>
  <si>
    <t xml:space="preserve">鼠尾草提取物4:1 </t>
  </si>
  <si>
    <t>Sugar</t>
  </si>
  <si>
    <t>糖</t>
  </si>
  <si>
    <t>Am Int'l
国际</t>
  </si>
  <si>
    <t xml:space="preserve">Lactobacillus acidophilus 100B </t>
  </si>
  <si>
    <t xml:space="preserve">嗜酸乳杆菌100B </t>
  </si>
  <si>
    <t>Nutrialliance
营养联盟</t>
  </si>
  <si>
    <t xml:space="preserve">Lactobacillus acidophilus 200B </t>
  </si>
  <si>
    <t xml:space="preserve">嗜酸乳杆菌200B </t>
  </si>
  <si>
    <t xml:space="preserve">嗜酸乳杆菌100B  </t>
  </si>
  <si>
    <t xml:space="preserve">Watson 
华生 </t>
  </si>
  <si>
    <t>25kg - 3-5 wks</t>
  </si>
  <si>
    <t xml:space="preserve">嗜酸乳杆菌100B   </t>
  </si>
  <si>
    <t>Specialty Enzyme
特种酶</t>
  </si>
  <si>
    <t>25-175kg (3-5 wks)</t>
  </si>
  <si>
    <t>Potassium Carbonate</t>
  </si>
  <si>
    <t>碳酸钾</t>
  </si>
  <si>
    <t>1-5 lb Bags
1-5磅袋子</t>
  </si>
  <si>
    <t>Sorbitol</t>
  </si>
  <si>
    <t>山梨醇</t>
  </si>
  <si>
    <t>Enovita</t>
  </si>
  <si>
    <t>恩诺维塔</t>
  </si>
  <si>
    <t>Idena
伊德纳</t>
  </si>
  <si>
    <t>XanMax (2 samples)</t>
  </si>
  <si>
    <t>XanMax（2个样本）</t>
  </si>
  <si>
    <t>20kg - 4-5 kw lead
20kg-4-5 kw铅</t>
  </si>
  <si>
    <t>Grape Seed Dry Extract</t>
  </si>
  <si>
    <t>葡萄籽干提取物</t>
  </si>
  <si>
    <t>Indena
因德纳</t>
  </si>
  <si>
    <t>MaquiCare Organic Maqui Berry Extact</t>
  </si>
  <si>
    <t>MaquiCare 有机马基莓提取物</t>
  </si>
  <si>
    <t>HP Ingredients
HP成分</t>
  </si>
  <si>
    <t>4-Strain Probiotic Blend (Rhamnosus/Plantarum/Casei/Lactis)</t>
  </si>
  <si>
    <t>4株益生菌混合物（鼠李糖/植物/干酪/乳酸菌）</t>
  </si>
  <si>
    <t>Nutralliance
营养联盟</t>
  </si>
  <si>
    <t>100kg MOQ
100公斤起订量</t>
  </si>
  <si>
    <t>B-lactoglobulin Protein</t>
  </si>
  <si>
    <t>B-乳球蛋白</t>
  </si>
  <si>
    <t>Vivici
薇薇琪</t>
  </si>
  <si>
    <t>MBP (Bone Health)</t>
  </si>
  <si>
    <t>MBP（骨骼健康）</t>
  </si>
  <si>
    <t>5kg (2wks/US - 10wks/ EU)</t>
  </si>
  <si>
    <t xml:space="preserve"> $ 1,912.50 </t>
  </si>
  <si>
    <t>Curcugen</t>
  </si>
  <si>
    <t>姜黄素</t>
  </si>
  <si>
    <t>Dolcas Biotech
杜尔卡斯生物科技</t>
  </si>
  <si>
    <t>Relissa®</t>
  </si>
  <si>
    <t>5kg</t>
  </si>
  <si>
    <t>Perilla Seed Extract 10:1</t>
  </si>
  <si>
    <t>紫苏籽提取物10:1</t>
  </si>
  <si>
    <t>Perilla Powder</t>
  </si>
  <si>
    <t>紫苏粉</t>
  </si>
  <si>
    <t>Boysenberry Powder</t>
  </si>
  <si>
    <t>Boysenberry粉</t>
  </si>
  <si>
    <t>D-Galactose (Plant Origin)</t>
  </si>
  <si>
    <t>D-半乳糖（植物来源）</t>
  </si>
  <si>
    <t>D-Galactose (Animal Origin)</t>
  </si>
  <si>
    <t>D-半乳糖（动物源）</t>
  </si>
  <si>
    <t>Pea Protein Masker 2741B (200g)</t>
  </si>
  <si>
    <t>豌豆蛋白面膜2741B（200g）</t>
  </si>
  <si>
    <t>C-9 Pea Protein (Pisane C-9)</t>
  </si>
  <si>
    <t>C-9豌豆蛋白（Pisane C-9）</t>
  </si>
  <si>
    <t>A&amp;B Ingredients
A&amp;B成分</t>
  </si>
  <si>
    <t>Red Rice Yeast Powder</t>
  </si>
  <si>
    <t>红米酵母粉</t>
  </si>
  <si>
    <t>Mycohsa</t>
  </si>
  <si>
    <t>霉菌素</t>
  </si>
  <si>
    <t>Biohmtech
生物技术</t>
  </si>
  <si>
    <t>1kg &amp; 5kg</t>
  </si>
  <si>
    <t xml:space="preserve"> $ 1,700.00 </t>
  </si>
  <si>
    <t>CurCousin</t>
  </si>
  <si>
    <t>Sabinsa
萨宾萨</t>
  </si>
  <si>
    <t>1kg</t>
  </si>
  <si>
    <t>Grass Fed Beef Protein Isolate</t>
  </si>
  <si>
    <t>草饲牛肉分离蛋白</t>
  </si>
  <si>
    <t>Osage
奥沙吉</t>
  </si>
  <si>
    <t>1000kg MOQ
1000kg起订量</t>
  </si>
  <si>
    <t>Tomato Powder</t>
  </si>
  <si>
    <t>番茄粉</t>
  </si>
  <si>
    <t>20kg - 7-10 day lead
20kg-7-10天领先</t>
  </si>
  <si>
    <t>Vegan Protein Shake (SolvPro/SolvSweet)</t>
  </si>
  <si>
    <t>纯素蛋白奶昔（SolvPro/SolvSweet）</t>
  </si>
  <si>
    <t>SolvPro 010</t>
  </si>
  <si>
    <t>SolvPro 028</t>
  </si>
  <si>
    <t>Sodium Copper Chlorophyllin</t>
  </si>
  <si>
    <t>叶绿素铜钠</t>
  </si>
  <si>
    <t>25kg - 1week Lead
25kg-1周铅</t>
  </si>
  <si>
    <t>Shoden - SH-PR-107 G</t>
  </si>
  <si>
    <t>Shoden-SH-PR-107 G</t>
  </si>
  <si>
    <t>Arjuna Natural
阿诸那天然</t>
  </si>
  <si>
    <t>Clovinol</t>
  </si>
  <si>
    <t>氯乙烯醇</t>
  </si>
  <si>
    <t>Akay
阿凯</t>
  </si>
  <si>
    <t>Organic Ashwagandha Root Powder</t>
  </si>
  <si>
    <t>有机南非醉茄根粉</t>
  </si>
  <si>
    <t>Ashwagandha Extract 1.5%</t>
  </si>
  <si>
    <t>南非醉茄提取物 1.5%</t>
  </si>
  <si>
    <t>Peppermint Powder</t>
  </si>
  <si>
    <t>薄荷粉</t>
  </si>
  <si>
    <t>Schisandra Chinensis Extract 2% Schisandrins</t>
  </si>
  <si>
    <t>五味子提取物2%五味子素</t>
  </si>
  <si>
    <t>Schisandra Fruit Extract Schisandrins 2% UV</t>
  </si>
  <si>
    <t>五味子果提取物五味子苷2%UV</t>
  </si>
  <si>
    <t>25 kg - 3/4 days</t>
  </si>
  <si>
    <t>Pomegranate Peel Extract 10:1TLC</t>
  </si>
  <si>
    <t>石榴皮提取物10:1TLC</t>
  </si>
  <si>
    <t>25kg - 3/4 days</t>
  </si>
  <si>
    <t>Libifem</t>
  </si>
  <si>
    <t>Libifem® 胡芦巴提取物</t>
  </si>
  <si>
    <t>Pomegranate 4:1</t>
  </si>
  <si>
    <t>石榴4:1</t>
  </si>
  <si>
    <t>Pycogenol</t>
  </si>
  <si>
    <t>碧萝芷</t>
  </si>
  <si>
    <t>Horphag
霍法格</t>
  </si>
  <si>
    <t>1-5 kg</t>
  </si>
  <si>
    <t>Cistanche Deserticola Root P.E. 10:1</t>
  </si>
  <si>
    <t>沙漠囊肿P. E.10:1</t>
  </si>
  <si>
    <t xml:space="preserve">Cistanche Deserticola Root Extract 20:1 Powder </t>
  </si>
  <si>
    <t xml:space="preserve">肉桂根提取物20:1粉末 </t>
  </si>
  <si>
    <t>Cistanche Deserticola Extract 10:1</t>
  </si>
  <si>
    <t>肉桂干提取物10:1</t>
  </si>
  <si>
    <t xml:space="preserve">Ubiquinol COQ10 (Reduced Form) </t>
  </si>
  <si>
    <t xml:space="preserve">泛喹酚COQ10（还原形式） </t>
  </si>
  <si>
    <t xml:space="preserve"> $ 1,500.00 </t>
  </si>
  <si>
    <t>Ubiquinone Q10®</t>
  </si>
  <si>
    <t>泛醌Q10®</t>
  </si>
  <si>
    <t>Kaneka
卡内卡</t>
  </si>
  <si>
    <t>Ubiquinol 96%</t>
  </si>
  <si>
    <t>泛喹醇96%</t>
  </si>
  <si>
    <t xml:space="preserve"> $ 1,550.00 </t>
  </si>
  <si>
    <t xml:space="preserve">Ubiquinol Powder Q30®: </t>
  </si>
  <si>
    <t xml:space="preserve">Ubiquinol粉末Q30®： </t>
  </si>
  <si>
    <t>3kg</t>
  </si>
  <si>
    <t>MYO-Inositol</t>
  </si>
  <si>
    <t>MYO-肌醇</t>
  </si>
  <si>
    <t>Inositol</t>
  </si>
  <si>
    <t>肌醇</t>
  </si>
  <si>
    <t>Lactospore 15B</t>
  </si>
  <si>
    <t>乳孢子15B</t>
  </si>
  <si>
    <t>Bitter Blocker 22163 FB</t>
  </si>
  <si>
    <t>苦味阻滞剂22163FB</t>
  </si>
  <si>
    <t>Bitter Masking Nat Flavor 23838</t>
  </si>
  <si>
    <t>苦味遮盖纳特味23838</t>
  </si>
  <si>
    <t xml:space="preserve">Bitter Blocker N&amp;A </t>
  </si>
  <si>
    <t xml:space="preserve">苦味阻断剂 N&amp;A </t>
  </si>
  <si>
    <t>Astringency Reliever Nat Type 2</t>
  </si>
  <si>
    <t>2 型天然涩味缓解剂</t>
  </si>
  <si>
    <t>Vegan Protein Masker Nat</t>
  </si>
  <si>
    <t>素食蛋白质面膜</t>
  </si>
  <si>
    <t>Collagen Masker</t>
  </si>
  <si>
    <t>胶原面膜</t>
  </si>
  <si>
    <t>Plant Protein Blocker</t>
  </si>
  <si>
    <t>植物蛋白阻滞剂</t>
  </si>
  <si>
    <t>Botanical Masker</t>
  </si>
  <si>
    <t>植物掩模</t>
  </si>
  <si>
    <t>Hydrolyzed Beef Protein Isolate</t>
  </si>
  <si>
    <t>水解牛肉分离蛋白</t>
  </si>
  <si>
    <t>Phlex Proteins
Phlex蛋白质</t>
  </si>
  <si>
    <t>500 kg</t>
  </si>
  <si>
    <t>Calcium Lactate Excelent Grade 12.7-13.6% (ALT-RP-1201)</t>
  </si>
  <si>
    <t>乳酸钙卓越级12.7-13.6%（ALT-RP-1201）</t>
  </si>
  <si>
    <t>Sweet Cream Powder 72%</t>
  </si>
  <si>
    <t>甜奶油粉72%</t>
  </si>
  <si>
    <t>American Int'l
美国国际</t>
  </si>
  <si>
    <t>907.18 kg</t>
  </si>
  <si>
    <t>Collagen A++</t>
  </si>
  <si>
    <t>胶原蛋白A++</t>
  </si>
  <si>
    <t>NuraUSA</t>
  </si>
  <si>
    <t>400kg MOQ</t>
  </si>
  <si>
    <t>Medium Chain Triglycerides(Dairy)</t>
  </si>
  <si>
    <t>中链甘油三酯（乳制品）</t>
  </si>
  <si>
    <t>NNB c8 Advantage
NNB c8优势</t>
  </si>
  <si>
    <t>Medium Chain Triglycerides(Non-Dairy)</t>
  </si>
  <si>
    <t>中链甘油三酯（非乳制品）</t>
  </si>
  <si>
    <t>Pumpkin Seed Protein</t>
  </si>
  <si>
    <t>南瓜籽蛋白</t>
  </si>
  <si>
    <t>Go-Less®</t>
  </si>
  <si>
    <t>Frutarom</t>
  </si>
  <si>
    <t>Exocyan Cran</t>
  </si>
  <si>
    <t>外氰草</t>
  </si>
  <si>
    <t>MSC certified A++ grade hydrolyzed fish collagen</t>
  </si>
  <si>
    <t>MSC认证A++级水解鱼胶原蛋白</t>
  </si>
  <si>
    <t>Dehydrated Sweet Cream</t>
  </si>
  <si>
    <t>脱水甜奶油</t>
  </si>
  <si>
    <t>Bluegrass
蓝草</t>
  </si>
  <si>
    <t>500 lbs.</t>
  </si>
  <si>
    <t>Gelatin Hydrolysate Bovine Agglomerated</t>
  </si>
  <si>
    <t>明胶水解物牛凝聚</t>
  </si>
  <si>
    <t>Vyse Gelatin LLC
Vyse明胶有限责任公司</t>
  </si>
  <si>
    <t>Nextida GC B (Hydrolyzed Collagen Powder)</t>
  </si>
  <si>
    <t>NextidaGCB（水解胶原蛋白粉）</t>
  </si>
  <si>
    <t>Rousselot
罗塞洛</t>
  </si>
  <si>
    <t>Peptan B 5000 LD (Hydrolyzed Collagen Powder)</t>
  </si>
  <si>
    <t>Peptan B 5000 LD（水解胶原蛋白粉）</t>
  </si>
  <si>
    <t>Liboost</t>
  </si>
  <si>
    <t>Holimel®</t>
  </si>
  <si>
    <t>Lemon N&amp;A Flavor</t>
  </si>
  <si>
    <t>柠檬N&amp;A味</t>
  </si>
  <si>
    <t>OSF Flavors
OSF口味</t>
  </si>
  <si>
    <t>Grapefruit Flavor, NAT WONF</t>
  </si>
  <si>
    <t>葡萄柚味，NAT WONF</t>
  </si>
  <si>
    <t>McCormick
麦考密克</t>
  </si>
  <si>
    <t>857.0231U</t>
  </si>
  <si>
    <t>Grapefruit Flavor, NAT WONF (Liquid)</t>
  </si>
  <si>
    <t>葡萄柚味，NAT WONF（液体）</t>
  </si>
  <si>
    <t>857.0300U</t>
  </si>
  <si>
    <t>Lemon Flavor, NAT &amp; ART (Liquid)</t>
  </si>
  <si>
    <t>柠檬味、NAT&amp;ART（液体）</t>
  </si>
  <si>
    <t>N-C Lemon Flavor, NAT</t>
  </si>
  <si>
    <t>N-C柠檬味，NAT</t>
  </si>
  <si>
    <t>862.3795U</t>
  </si>
  <si>
    <t>Optify Bitterness Blocker Flavor, NAT &amp; ART</t>
  </si>
  <si>
    <t>Optify苦味阻滞剂口味、NAT和ART</t>
  </si>
  <si>
    <t>936.018U</t>
  </si>
  <si>
    <t>Optify BitternessBitterness Masking Flavor, NAT (Liquid)</t>
  </si>
  <si>
    <t>OptifyBitternessBitterness掩蔽味，NAT（液体）</t>
  </si>
  <si>
    <t>936.4640U</t>
  </si>
  <si>
    <t>Lime Fruit Powder</t>
  </si>
  <si>
    <t>青柠果粉</t>
  </si>
  <si>
    <t>Greenjeeva
格林杰娃</t>
  </si>
  <si>
    <t>Lemon Juice Fruit Powder</t>
  </si>
  <si>
    <t>柠檬汁果粉</t>
  </si>
  <si>
    <t>Zanthin® Natural Astaxanthin Complex 10%</t>
  </si>
  <si>
    <t>黄质®天然虾青素复合物10%</t>
  </si>
  <si>
    <t>Valensa™
瓦伦萨™</t>
  </si>
  <si>
    <t>Astalif 10</t>
  </si>
  <si>
    <t>阿斯塔里夫10</t>
  </si>
  <si>
    <t>Algalif
阿尔加利夫</t>
  </si>
  <si>
    <t>Natural Match Tea Type FL SD</t>
  </si>
  <si>
    <t>天然匹配茶FL型SD</t>
  </si>
  <si>
    <t>7-7558-0013</t>
  </si>
  <si>
    <t>Natrual White Chocolate Type FL SD</t>
  </si>
  <si>
    <t>天然白巧克力FL型SD</t>
  </si>
  <si>
    <t>7-7558-0017</t>
  </si>
  <si>
    <t>Natural Vanilla Ice Cream Type FL SD Non-GMO</t>
  </si>
  <si>
    <t>天然香草冰淇淋FL型SD非转基因</t>
  </si>
  <si>
    <t>7-7558-0016</t>
  </si>
  <si>
    <t>Natrural Raspberry Typew FL SD</t>
  </si>
  <si>
    <t>树莓型FLSD</t>
  </si>
  <si>
    <t>7-7558-0014</t>
  </si>
  <si>
    <t>Natural Café Latte type FL SD</t>
  </si>
  <si>
    <t>天然咖啡拿铁FL型SD</t>
  </si>
  <si>
    <t>7-7558-0011</t>
  </si>
  <si>
    <t>Natural Lemonade Type FL SD</t>
  </si>
  <si>
    <t>天然柠檬水FL型SD</t>
  </si>
  <si>
    <t>7-7558-0012</t>
  </si>
  <si>
    <t>Natural Vanilla FL WONF SD</t>
  </si>
  <si>
    <t>天然香草FL WONFSD</t>
  </si>
  <si>
    <t>7-7558-0015</t>
  </si>
  <si>
    <t>N-C Matcha Green Tea Type Flavor, NAT</t>
  </si>
  <si>
    <t>N-C抹茶绿茶型口味，NAT</t>
  </si>
  <si>
    <t>922.0416U</t>
  </si>
  <si>
    <t>N-C Matcha Tea Type Flavor, NAT</t>
  </si>
  <si>
    <t>N-C抹茶类型口味，NAT</t>
  </si>
  <si>
    <t>922.0540U</t>
  </si>
  <si>
    <t>N-C Lemonade Flavor, NAT WONF</t>
  </si>
  <si>
    <t>N-C柠檬水味，NAT WONF</t>
  </si>
  <si>
    <t>862.3777U</t>
  </si>
  <si>
    <t>N-C Lemonade Type Flavor, NAT</t>
  </si>
  <si>
    <t>N-C柠檬水型口味，NAT</t>
  </si>
  <si>
    <t>862.3888U</t>
  </si>
  <si>
    <t>N-C Raspberry Flavor, NAT WONF</t>
  </si>
  <si>
    <t>N-C覆盆子味，NAT WONF</t>
  </si>
  <si>
    <t>906.0394U</t>
  </si>
  <si>
    <t>906.2130U</t>
  </si>
  <si>
    <t>Raspberry Lemonade Flavor, NAT WONF</t>
  </si>
  <si>
    <t>覆盆子柠檬水味，NAT WONF</t>
  </si>
  <si>
    <t>906.2107U</t>
  </si>
  <si>
    <t>N-C Milk Type Flavor, NAT (Combine with Matcha Flavors for Matcha Latte)</t>
  </si>
  <si>
    <t>N-C牛奶口味，NAT（与抹茶口味结合用于抹茶拿铁）</t>
  </si>
  <si>
    <t>876.0138U</t>
  </si>
  <si>
    <t>N-C Cafe Latte Type Flavor, NAT</t>
  </si>
  <si>
    <t>N-C Cafe Latte Type Flavor， NAT</t>
  </si>
  <si>
    <t>833.2056U</t>
  </si>
  <si>
    <t>Cafe Latte Type Flavor, NAT</t>
  </si>
  <si>
    <t>咖啡拿铁类型口味，NAT</t>
  </si>
  <si>
    <t>833.2061U</t>
  </si>
  <si>
    <t>Vanilla Ice Cream Type Flavor, NAT</t>
  </si>
  <si>
    <t>香草冰淇淋类型口味，NAT</t>
  </si>
  <si>
    <t>926.3060U</t>
  </si>
  <si>
    <t>926.0644U</t>
  </si>
  <si>
    <t>Vanilla Flavor, NAT WONF</t>
  </si>
  <si>
    <t>香草味，NAT WONF</t>
  </si>
  <si>
    <t>926.3930U</t>
  </si>
  <si>
    <t>N-C Vanilla Flavor, NAT WONF</t>
  </si>
  <si>
    <t>N-C香草味，NAT WONF</t>
  </si>
  <si>
    <t>926.2700U</t>
  </si>
  <si>
    <t>Hot Cocoa Flavor, NAT WONF</t>
  </si>
  <si>
    <t>热可可味，NAT WONF</t>
  </si>
  <si>
    <t>826.3345U</t>
  </si>
  <si>
    <t>Cocoa Flavor, NAT WONF</t>
  </si>
  <si>
    <t>可可味，NAT WONF</t>
  </si>
  <si>
    <t>826.4023U</t>
  </si>
  <si>
    <t>Rosemary Extract 2.5% Rosmarinic Acid HPLC (3:1)</t>
  </si>
  <si>
    <t>迷迭香提取物2.5%迷迭香酸HPLC（3:1）</t>
  </si>
  <si>
    <t>MOQ 20kg</t>
  </si>
  <si>
    <t xml:space="preserve"> $21/kg </t>
  </si>
  <si>
    <t xml:space="preserve">D-Chiro Inositol </t>
  </si>
  <si>
    <t xml:space="preserve">D-奇罗肌醇 </t>
  </si>
  <si>
    <t>MOQ 10kg</t>
  </si>
  <si>
    <t xml:space="preserve"> $330/kg </t>
  </si>
  <si>
    <t>D-mannose 99%</t>
  </si>
  <si>
    <t>D-甘露糖99%</t>
  </si>
  <si>
    <t>MOQ 25kg</t>
  </si>
  <si>
    <t xml:space="preserve"> 28/kg </t>
  </si>
  <si>
    <t>Erythritol</t>
  </si>
  <si>
    <t>赤藓糖醇</t>
  </si>
  <si>
    <t>Gillco
吉列科</t>
  </si>
  <si>
    <t xml:space="preserve"> $6.18/kg </t>
  </si>
  <si>
    <t>Spearmint Powder</t>
  </si>
  <si>
    <t>留兰香粉</t>
  </si>
  <si>
    <t>MOQ 15kg</t>
  </si>
  <si>
    <t xml:space="preserve"> $13.75/kg </t>
  </si>
  <si>
    <t>Adapt'n Thrive™</t>
  </si>
  <si>
    <t>适应和繁荣™</t>
  </si>
  <si>
    <t>NPNutra</t>
  </si>
  <si>
    <t>Fenugreek Seed Extract 4:1</t>
  </si>
  <si>
    <t>胡芦巴种子提取物4:1</t>
  </si>
  <si>
    <t>Coconut MCT Oil Powder</t>
  </si>
  <si>
    <t>椰子MCT油粉</t>
  </si>
  <si>
    <t>MOQ 25 kg</t>
  </si>
  <si>
    <t>Chicken Collagen Powderq</t>
  </si>
  <si>
    <t>鸡肉胶原蛋白粉q</t>
  </si>
  <si>
    <t>Organic Stevia Extract Powder 90%</t>
  </si>
  <si>
    <t>有机甜菊糖提取物粉90%</t>
  </si>
  <si>
    <t>25 kg pack size</t>
  </si>
  <si>
    <t>Salted Caramel Type Flavor, NAT</t>
  </si>
  <si>
    <t>咸焦糖味，NAT</t>
  </si>
  <si>
    <t>822.2307U</t>
  </si>
  <si>
    <t>822.2516U</t>
  </si>
  <si>
    <t>Salted Caramel Type Flavor, NAT WONF</t>
  </si>
  <si>
    <t>咸焦糖味，NAT WONF</t>
  </si>
  <si>
    <t>822.2574U</t>
  </si>
  <si>
    <t>Fonatech® Salted Caramel Type Flavor, NAT WONF</t>
  </si>
  <si>
    <t>Fonatech®盐焦糖味，NAT WONF</t>
  </si>
  <si>
    <t>822.2671U</t>
  </si>
  <si>
    <t>Parsley Extract 5:1</t>
  </si>
  <si>
    <t>欧芹提取物5:1</t>
  </si>
  <si>
    <t>25kg MOQ</t>
  </si>
  <si>
    <t>Modified Citrus Pectin</t>
  </si>
  <si>
    <t>改性柑橘果胶</t>
  </si>
  <si>
    <t>YTBIO
优生生物</t>
  </si>
  <si>
    <t>100 kg MOQ</t>
  </si>
  <si>
    <t>Lactobacillus plantarum 100B</t>
  </si>
  <si>
    <t>植物乳杆菌100B</t>
  </si>
  <si>
    <t>Citicoline</t>
  </si>
  <si>
    <t>胆碱</t>
  </si>
  <si>
    <t>Clear Pea Protein 90% Neutral Product code: CPP0441 NURA</t>
  </si>
  <si>
    <t>透明豌豆蛋白90%中性产品代码：CPP0441 NURA</t>
  </si>
  <si>
    <t>NURAUSA</t>
  </si>
  <si>
    <t xml:space="preserve">Aloe Vera Juice 1x Aloe Barbadesnsis juice </t>
  </si>
  <si>
    <t xml:space="preserve">芦荟汁1x巴巴多斯芦荟汁 </t>
  </si>
  <si>
    <t>LotionCrafter (Via Jagg)
LotionCrafter（通过Jagg）</t>
  </si>
  <si>
    <t xml:space="preserve">Vitamin E Acetate Tocopheryl Acetate </t>
  </si>
  <si>
    <t xml:space="preserve">维生素E醋酸酯醋酸油酚酯 </t>
  </si>
  <si>
    <t xml:space="preserve">Chamomile (German) Hydrosol Preserved with leucidal Liquid SF </t>
  </si>
  <si>
    <t xml:space="preserve">洋甘菊（德国）水溶胶用杀白液体SF保存 </t>
  </si>
  <si>
    <t xml:space="preserve">NMN </t>
  </si>
  <si>
    <t>99%纯度</t>
  </si>
  <si>
    <t>上海艾度</t>
  </si>
  <si>
    <t>US（LA仓库自提价）</t>
  </si>
  <si>
    <t>70 kg</t>
  </si>
  <si>
    <t>maritime pine extract 10:1</t>
  </si>
  <si>
    <t>海洋松提取物 10:1</t>
  </si>
  <si>
    <t>西安小草</t>
  </si>
  <si>
    <t>white tomato extract  10:1</t>
  </si>
  <si>
    <t>白番茄提取物 10:1</t>
  </si>
  <si>
    <t>Proanthocyanidins</t>
  </si>
  <si>
    <t>原花青素</t>
  </si>
  <si>
    <t>nac</t>
  </si>
  <si>
    <t>N-乙酰-L-半胱氨酸（N-acetyl-L-cysteine）</t>
  </si>
  <si>
    <t>nignbo Herb</t>
  </si>
  <si>
    <t>α- 硫辛酸</t>
  </si>
  <si>
    <t>Haematococcus plurisalagae, 2% or 4%astaxanthin powde</t>
  </si>
  <si>
    <t>雨生红球藻，含 2% 或 4% 虾青素粉末</t>
  </si>
  <si>
    <t xml:space="preserve">  $95 --2%；$182--4%</t>
  </si>
  <si>
    <t>powderHaematococcus purisalagae, 5% or 10%(or more)astaxanthinoil</t>
  </si>
  <si>
    <t>雨生红球藻，含 5%、10%（或更高）虾青素油</t>
  </si>
  <si>
    <t xml:space="preserve"> / </t>
  </si>
  <si>
    <t>吡咯喹啉醌</t>
  </si>
  <si>
    <t>Polygonum cuspidatum, 98%resveratrol</t>
  </si>
  <si>
    <t>虎杖，含 98% 白藜芦醇(天然发酵）</t>
  </si>
  <si>
    <t>发酵天然</t>
  </si>
  <si>
    <t>虎杖，含 98% 白藜芦醇(天然植物提取）</t>
  </si>
  <si>
    <t>纯天然提取</t>
  </si>
  <si>
    <t>Vitamin C</t>
  </si>
  <si>
    <t>维生素 C（粉末）</t>
  </si>
  <si>
    <t>Turmeric Extract 95%</t>
  </si>
  <si>
    <t>95% 纯度姜黄提取物</t>
  </si>
  <si>
    <t>MOQ 100KG，纯天然提取</t>
  </si>
  <si>
    <t>Green Tea Extract 95% EGCG HPLC</t>
  </si>
  <si>
    <t>95% 表没食子儿茶素没食子酸酯（EGCG）绿茶提取物（高效液相色谱法检测）</t>
  </si>
  <si>
    <t>Chromium Polynicotinate</t>
  </si>
  <si>
    <t>吡啶甲酸铬</t>
  </si>
  <si>
    <t>Artichoke Leaf Extract 10:1</t>
  </si>
  <si>
    <t>朝鲜蓟叶提取物（10:1）</t>
  </si>
  <si>
    <t>MilkThistle ( Silybum marianum)seed extract</t>
  </si>
  <si>
    <t>水飞蓟籽提取物 80%</t>
  </si>
  <si>
    <t>Panax Ginseng Extract 80% Ginsenosides UV</t>
  </si>
  <si>
    <t>人参提取物（人参皂苷含量 80%，紫外检测）</t>
  </si>
  <si>
    <t>Curcumin</t>
  </si>
  <si>
    <t>turmacin</t>
  </si>
  <si>
    <t xml:space="preserve">AKG </t>
  </si>
  <si>
    <t xml:space="preserve"> 无锡爱科 </t>
  </si>
  <si>
    <t>Liposomal glutathione formula</t>
  </si>
  <si>
    <t>脂质体谷胱甘肽配方</t>
  </si>
  <si>
    <t>Ray Peptide Compound Formula</t>
  </si>
  <si>
    <t>鳐鱼肽复合配方</t>
  </si>
  <si>
    <t>Magnesium Glycinate 30%</t>
  </si>
  <si>
    <t>甘氨酸镁 30%</t>
  </si>
  <si>
    <t>centian</t>
  </si>
  <si>
    <t>Astaxanthin 2% HPLC</t>
  </si>
  <si>
    <t>虾青素2%HPLC</t>
  </si>
  <si>
    <t>西安天一</t>
  </si>
  <si>
    <t>Astaxanthin oil 10% HPLC</t>
  </si>
  <si>
    <t>虾青素油10%HPLC</t>
  </si>
  <si>
    <t>D-Ribose</t>
  </si>
  <si>
    <t>D-核糖</t>
  </si>
  <si>
    <t>宁夏华吉生物</t>
  </si>
  <si>
    <t>FOB CA</t>
  </si>
  <si>
    <t>The product conforms to GB1886.141 standard.</t>
  </si>
  <si>
    <t xml:space="preserve">Phospholipid PC </t>
  </si>
  <si>
    <t xml:space="preserve">磷脂PC </t>
  </si>
  <si>
    <t>西安天丰美仓</t>
  </si>
  <si>
    <t xml:space="preserve">Ashwagandha extract </t>
  </si>
  <si>
    <t>醉茄提取物</t>
  </si>
  <si>
    <t>10 1</t>
  </si>
  <si>
    <t>Ashwagandha extract</t>
  </si>
  <si>
    <t>南非醉茄提取物 醉茄</t>
  </si>
  <si>
    <t>1.5% by HPLC USP</t>
  </si>
  <si>
    <t>NF Ashwa® Instant DebitteredAshwagandha Extract 水溶脱苦</t>
  </si>
  <si>
    <t>南非醉茄提取物 水溶脱苦</t>
  </si>
  <si>
    <t>Creatine Monohydrate</t>
  </si>
  <si>
    <t>肌酸</t>
  </si>
  <si>
    <t>98%-102% USP</t>
  </si>
  <si>
    <t>NAD 99%</t>
  </si>
  <si>
    <t xml:space="preserve">NAD </t>
  </si>
  <si>
    <t>陕西富恒</t>
  </si>
  <si>
    <t>FOB LA</t>
  </si>
  <si>
    <t>5kg/bag, 25kg/drum</t>
  </si>
  <si>
    <t>1kg/bag,25kg/drum</t>
  </si>
  <si>
    <t>25kg/drum</t>
  </si>
  <si>
    <t>NR</t>
  </si>
  <si>
    <t>L-Ergothioneine</t>
  </si>
  <si>
    <t>L-谷胱甘肽</t>
  </si>
  <si>
    <t>Rutin (NF11/EP)</t>
  </si>
  <si>
    <t>芦丁（NF11/EP）</t>
  </si>
  <si>
    <t>平舆益美康植物科技
PINGYU YIMEIKANG PLANT TECHNOLOGY</t>
  </si>
  <si>
    <t>单筱惠13839652712</t>
  </si>
  <si>
    <t>Rutin granules (NF11/EP)</t>
  </si>
  <si>
    <t>芦丁颗粒（NF11/EP）</t>
  </si>
  <si>
    <t>Quercetin dihydrate, powder 95%</t>
  </si>
  <si>
    <t>二水槲皮素 粉末 95%</t>
  </si>
  <si>
    <t>Quercetin dihydrate, 95% granules</t>
  </si>
  <si>
    <t>二水槲皮素 颗粒 95%</t>
  </si>
  <si>
    <t>Quercetin anhydrous, powder 95%</t>
  </si>
  <si>
    <t>无水槲皮素 粉末 95%</t>
  </si>
  <si>
    <t>Quercetin anhydrous, 95% granules</t>
  </si>
  <si>
    <t>无水槲皮素 颗粒 95%</t>
  </si>
  <si>
    <t>Luteolin (external standard method 90% and 98%)</t>
  </si>
  <si>
    <t>木犀草素（外标法90%和98%）</t>
  </si>
  <si>
    <t>Rhamnose 98%</t>
  </si>
  <si>
    <t>鼠李糖 98%</t>
  </si>
  <si>
    <t>Isoquercetin 95~ 98%</t>
  </si>
  <si>
    <t>异槲皮素95～98%</t>
  </si>
  <si>
    <t>95～98%</t>
  </si>
  <si>
    <t>Quercetin EP</t>
  </si>
  <si>
    <t>曲克芦丁EP</t>
  </si>
  <si>
    <t>Danfeng Peony Extract 10:1</t>
  </si>
  <si>
    <t>丹凤牡丹花提取物 10:1</t>
  </si>
  <si>
    <t>Cat claw grass extract 10:1</t>
  </si>
  <si>
    <t>猫爪草提取物 10:1</t>
  </si>
  <si>
    <t>Quercetin (anhydrous) 10:1</t>
  </si>
  <si>
    <t>槲皮素（无水）10:1</t>
  </si>
  <si>
    <t>Prunella vulgaris extract 10:1</t>
  </si>
  <si>
    <t>夏枯草提取物 10:1</t>
  </si>
  <si>
    <t>Silymarin 80% 10:1</t>
  </si>
  <si>
    <t>水飞蓟素 80% 10:1</t>
  </si>
  <si>
    <t>Andromeda extract 10:1</t>
  </si>
  <si>
    <t>穿心莲提取物 10:1</t>
  </si>
  <si>
    <t>Centella asiatica extract 10:1</t>
  </si>
  <si>
    <t>积雪草提取物 10:1</t>
  </si>
  <si>
    <t>Extract of loofah 10:1</t>
  </si>
  <si>
    <t>丝瓜络提取物 10:1</t>
  </si>
  <si>
    <t>Curcumin 95% (currently out of stock) 10:1</t>
  </si>
  <si>
    <t>姜黄素 95%（目前没有货） 10:1</t>
  </si>
  <si>
    <t>DIM diindole methane 10:1</t>
  </si>
  <si>
    <t>DIM二吲哚甲烷 10:1</t>
  </si>
  <si>
    <t>Oil olive leaf extract 10:1</t>
  </si>
  <si>
    <t>油橄榄叶提取物 10:1</t>
  </si>
  <si>
    <t>Fucoxanthin 5% 10:1</t>
  </si>
  <si>
    <t>岩藻黄质 5% 10:1</t>
  </si>
  <si>
    <t>Phosphatidylcholine 20% (5kg/pack, unpacked) 10:1</t>
  </si>
  <si>
    <t>磷脂酰胆碱 20% (5kg/包 不拆包） 10:1</t>
  </si>
  <si>
    <t>Schisandra extract 10:1</t>
  </si>
  <si>
    <t>五味子提取物 10:1</t>
  </si>
  <si>
    <t>Pueraria root extract 10:1</t>
  </si>
  <si>
    <t>葛根提取物 10:1</t>
  </si>
  <si>
    <t>Tuketosterone</t>
  </si>
  <si>
    <t>土克甾酮</t>
  </si>
  <si>
    <t>Ecdysterone</t>
  </si>
  <si>
    <t>蜕皮甾酮</t>
  </si>
  <si>
    <t>Lycopene</t>
  </si>
  <si>
    <t>番茄红素</t>
  </si>
  <si>
    <t>Betaine</t>
  </si>
  <si>
    <t>甜菜碱</t>
  </si>
  <si>
    <t>Bovine lactoferrin</t>
  </si>
  <si>
    <t>牛乳铁蛋白</t>
  </si>
  <si>
    <t>THE MILKY WHEY, Inc.</t>
  </si>
  <si>
    <t>Danfeng Peony Extract</t>
  </si>
  <si>
    <t>丹凤牡丹花提取物</t>
  </si>
  <si>
    <t>康萃</t>
  </si>
  <si>
    <t xml:space="preserve">   US</t>
  </si>
  <si>
    <t>Cat claw grass extract</t>
  </si>
  <si>
    <t>猫爪草提取物</t>
  </si>
  <si>
    <t>Quercetin (anhydrous)</t>
  </si>
  <si>
    <t>槲皮素（无水）</t>
  </si>
  <si>
    <t>Prunella vulgaris extract</t>
  </si>
  <si>
    <t>夏枯草提取物</t>
  </si>
  <si>
    <t>Silymarin 80%</t>
  </si>
  <si>
    <t>水飞蓟素 80%</t>
  </si>
  <si>
    <t>Andromeda extract</t>
  </si>
  <si>
    <t>穿心莲提取物</t>
  </si>
  <si>
    <t>Centella asiatica extract</t>
  </si>
  <si>
    <t>积雪草提取物</t>
  </si>
  <si>
    <t>Extract of loofah</t>
  </si>
  <si>
    <t>丝瓜络提取物</t>
  </si>
  <si>
    <t>Curcumin 95% (currently out of stock)</t>
  </si>
  <si>
    <t>姜黄素 95%（目前没有货）</t>
  </si>
  <si>
    <t>DIM diindole methane</t>
  </si>
  <si>
    <t>DIM 二吲哚甲烷</t>
  </si>
  <si>
    <t>Oil olive leaf extract</t>
  </si>
  <si>
    <t>油橄榄叶提取物</t>
  </si>
  <si>
    <t>Milk thistle extract</t>
  </si>
  <si>
    <t>奶蓟草提取物</t>
  </si>
  <si>
    <t>Artichoke extract</t>
  </si>
  <si>
    <t>朝鲜蓟提取物</t>
  </si>
  <si>
    <t>L-cysteine</t>
  </si>
  <si>
    <t>Glutamine</t>
  </si>
  <si>
    <t>谷氨酰胺</t>
  </si>
  <si>
    <t>Fucoxanthin</t>
  </si>
  <si>
    <t>岩藻黄质</t>
  </si>
  <si>
    <t>Phosphatidylcholine</t>
  </si>
  <si>
    <t>磷脂酰胆碱</t>
  </si>
  <si>
    <t>Schisandra extract</t>
  </si>
  <si>
    <t>五味子提取物</t>
  </si>
  <si>
    <t>Pueraria root extract</t>
  </si>
  <si>
    <t>葛根提取物</t>
  </si>
  <si>
    <t>Piperine</t>
  </si>
  <si>
    <t>胡椒碱</t>
  </si>
  <si>
    <t>Red Ginseng Powder</t>
  </si>
  <si>
    <t>红参粉</t>
  </si>
  <si>
    <t>Finger Citron Powder</t>
  </si>
  <si>
    <t>佛手粉</t>
  </si>
  <si>
    <t>Astragalus Root Powder</t>
  </si>
  <si>
    <t>黄芪根粉</t>
  </si>
  <si>
    <t>Poria Cocos Powder</t>
  </si>
  <si>
    <t>茯苓粉</t>
  </si>
  <si>
    <t>维生素 C</t>
  </si>
  <si>
    <t>Cooked Coix Seed Powder</t>
  </si>
  <si>
    <t>薏苡仁粉</t>
  </si>
  <si>
    <t>Polygonatum Rhizome Powder</t>
  </si>
  <si>
    <t>黄精粉</t>
  </si>
  <si>
    <t>Grape Seed Extract</t>
  </si>
  <si>
    <t>Red Beetroot Powder</t>
  </si>
  <si>
    <t>红甜菜根粉</t>
  </si>
  <si>
    <t>Ferrous Glycinate (18%)</t>
  </si>
  <si>
    <t>甘氨酸亚铁（18%）</t>
  </si>
  <si>
    <t>长沙 FORWARD</t>
  </si>
  <si>
    <t xml:space="preserve"> US</t>
  </si>
  <si>
    <t>维生素C</t>
  </si>
  <si>
    <t>天然谷</t>
  </si>
  <si>
    <t>西安小草
（海运一个月）</t>
  </si>
  <si>
    <t>Items</t>
  </si>
  <si>
    <t>Suppliers</t>
  </si>
  <si>
    <t>Location</t>
  </si>
  <si>
    <t>uOfM</t>
  </si>
  <si>
    <t>cLast</t>
  </si>
  <si>
    <t>SS</t>
  </si>
  <si>
    <t>O/H</t>
  </si>
  <si>
    <t>Sum of cAvg</t>
  </si>
  <si>
    <t>Sum of SS Cost</t>
  </si>
  <si>
    <t>Cost KG</t>
  </si>
  <si>
    <t>Supplier Code</t>
  </si>
  <si>
    <t>Kids Vitamin Fruit Punch 1044 PRO</t>
  </si>
  <si>
    <t>(blank)</t>
  </si>
  <si>
    <t>CLEVEL</t>
  </si>
  <si>
    <t>ea</t>
  </si>
  <si>
    <t>Adult Vitamin Fruit Punch 1044 PRO</t>
  </si>
  <si>
    <t>70 MG - All Natural Energy Drink Mix; 2oz shot; shrink sleev</t>
  </si>
  <si>
    <t>7 Lights Pure MSM Crystals PS Wrap Label</t>
  </si>
  <si>
    <t>MSM 1000mg bulk capsule vs: Bergstrom</t>
  </si>
  <si>
    <t>7LIGHTS</t>
  </si>
  <si>
    <t>KALPHA</t>
  </si>
  <si>
    <t>7 LIGHTS SULFUR MSM DEFENSE 1LB</t>
  </si>
  <si>
    <t>180ct Amazing Amino 7 Lights PS wrap label</t>
  </si>
  <si>
    <t>DNU 120ct NORDIC AMINOS 7 ligths PS Wrap Label</t>
  </si>
  <si>
    <t>Mountain Wellbeing Organic Sufur MSM PS Wrap label</t>
  </si>
  <si>
    <t>7LI MSM SULFUR DEFENSE 90CT PS WRAP LABEL</t>
  </si>
  <si>
    <t>Sulfur Defense MSM 90ct</t>
  </si>
  <si>
    <t>7 Lights Sulfur Defense MSM 90 Ct</t>
  </si>
  <si>
    <t>LUGOL's IODINE PLUS</t>
  </si>
  <si>
    <t>7 Lights Moutain Well Being  Lugols Iodine PS Wrap label</t>
  </si>
  <si>
    <t>7 Lights Sulfur Defense Plus PS Wrap Label</t>
  </si>
  <si>
    <t>7 Lights Sulfur Defense Plus lemon drop  PS Wrap Label</t>
  </si>
  <si>
    <t>Amazing Amino 180ct MARKIT HEALTH LLC</t>
  </si>
  <si>
    <t>DNU ICELANDIC TREASURE 1LB PS WRAP LABEL</t>
  </si>
  <si>
    <t>Icelandic Treasure PS wrap label</t>
  </si>
  <si>
    <t>7 Lights Icelandic Treasure PS Wrap labels</t>
  </si>
  <si>
    <t>7 Lights BEET RED PS Wrap label rev2</t>
  </si>
  <si>
    <t>7LI Kiss those wrinkles goodbye PS wrap label</t>
  </si>
  <si>
    <t>HEAVENLY GREENS PS WRAP LABEL</t>
  </si>
  <si>
    <t>"Juicer's Choice "Organic Carrot Juice  Powder 150 gr label</t>
  </si>
  <si>
    <t>Nordic Aminos Pwd Canister PS Wrap label</t>
  </si>
  <si>
    <t>7 Lights Sulfur Defense MSM 180 Ct</t>
  </si>
  <si>
    <t>OptiMSM Flakes 99.9%</t>
  </si>
  <si>
    <t>gm</t>
  </si>
  <si>
    <t>Amizate- Salmon Protein Hydrolysate</t>
  </si>
  <si>
    <t>Aktive STRESS Vials Inner case; 6 Pouches/IC</t>
  </si>
  <si>
    <t>K2COMP</t>
  </si>
  <si>
    <t>AKTIVE VIAL MASTER CASE BOX; 12IC/MC</t>
  </si>
  <si>
    <t>AKTIVELLC</t>
  </si>
  <si>
    <t>Aktive Joint&amp;Muscle VIALS Inner case; 6 pouches/IC</t>
  </si>
  <si>
    <t>Aktive STRESS Vial IC box; 6 pouches/IC</t>
  </si>
  <si>
    <t>Aktive Joint&amp;Muscle Vial IC box; 6 pouches/IC</t>
  </si>
  <si>
    <t>Aktive Joint and Muscle Printed Vial Pouch</t>
  </si>
  <si>
    <t>Aktive Stress Printed Vial Pouch</t>
  </si>
  <si>
    <t>AKTIVE STRESS Printed Pouch; 2 vials/Pouch</t>
  </si>
  <si>
    <t>AKTIVE Joint&amp;Muscle Printed Pouch; 2 vials/Pouch</t>
  </si>
  <si>
    <t>Aktive LLC 99% Crystalline Isolate</t>
  </si>
  <si>
    <t>Bulk Weight Loss Bulk Capsules</t>
  </si>
  <si>
    <t>17BO bulk caplets</t>
  </si>
  <si>
    <t>Apple Cider Bulk Capsules "0" 475mg</t>
  </si>
  <si>
    <t>A-Bulk Caplets</t>
  </si>
  <si>
    <t>NUTRILABS</t>
  </si>
  <si>
    <t>Brain Bulk Capsules "00" Gelatin</t>
  </si>
  <si>
    <t>LIFELINE</t>
  </si>
  <si>
    <t>CELL bulk capsules "00" veggie clear</t>
  </si>
  <si>
    <t>GHRM Bulk Capsules</t>
  </si>
  <si>
    <t>ISOI Bulk capsules "0" WHITE Gelatin</t>
  </si>
  <si>
    <t>LONG Bulk Capsules "00" Gelatin</t>
  </si>
  <si>
    <t>BM1 Bulk Tablets</t>
  </si>
  <si>
    <t>MULB Bulk "00" clear Gelatin Capsules</t>
  </si>
  <si>
    <t>POWE bulk capsules "0" white Gelatin</t>
  </si>
  <si>
    <t>PROS BULK CAPSULES</t>
  </si>
  <si>
    <t>WV Bulk Tablets</t>
  </si>
  <si>
    <t>Trim V Bulk Capsules- tolling item  number</t>
  </si>
  <si>
    <t>V3 Plus Caplets- RECOATED</t>
  </si>
  <si>
    <t>V DIET "00" CAPSULES</t>
  </si>
  <si>
    <t>ABH</t>
  </si>
  <si>
    <t>100% cotton pillow protector</t>
  </si>
  <si>
    <t>PWD BIN BAGS 2 MIL 48x46x72 (50bags/ roll)</t>
  </si>
  <si>
    <t>ULINE</t>
  </si>
  <si>
    <t>4 X 7 FOAM BAG S-5321</t>
  </si>
  <si>
    <t>S-5321; 500/CARTON</t>
  </si>
  <si>
    <t xml:space="preserve"> 6 Mil  36 x 60"  Lay Flat Poly Bags</t>
  </si>
  <si>
    <t>GAYLORD LINER 49X41X90  4 MIL GUSSETED-35/BAGS.BX</t>
  </si>
  <si>
    <t>EAGLEPACKAGI</t>
  </si>
  <si>
    <t>49X41X90 4 MIL</t>
  </si>
  <si>
    <t>6 x 9    Open End Bubble Bags</t>
  </si>
  <si>
    <t>4 x 6  2 Mil Reclosable Bag</t>
  </si>
  <si>
    <t>KETOCRE PRINTED BAG</t>
  </si>
  <si>
    <t>POPULARINK</t>
  </si>
  <si>
    <t>Pet/ink/scf 3.5_x000D_
13mm zipper_x000D_</t>
  </si>
  <si>
    <t>51 X 49 X 97 4 MIL GAYLORD GUSSET BAG</t>
  </si>
  <si>
    <t>7 x 9",2 mil Reclosable Polypropylene Bag</t>
  </si>
  <si>
    <t>S-10644 - 1000 carton</t>
  </si>
  <si>
    <t>HC PCR Soft Gel 15ct Blister Card</t>
  </si>
  <si>
    <t>PHARMACENTER</t>
  </si>
  <si>
    <t>HC PCR Softgel 15ct Blister card</t>
  </si>
  <si>
    <t>V Diet Blister Card 92x134 "00"; 30 capsules/card</t>
  </si>
  <si>
    <t>V-MAX Blister Cards</t>
  </si>
  <si>
    <t>200cc 38/400 White HDPE Boston Round</t>
  </si>
  <si>
    <t>ANDLERPACKAG</t>
  </si>
  <si>
    <t>OR200CCHDPEWH - 270 case</t>
  </si>
  <si>
    <t>225cc 21.5gm White PET bottle</t>
  </si>
  <si>
    <t>LIQUIDBOTTLE</t>
  </si>
  <si>
    <t>2oz 20/410 White PET Boston Round</t>
  </si>
  <si>
    <t>TRICORBRAUN</t>
  </si>
  <si>
    <t>1500cc 110/400 Black HDPE</t>
  </si>
  <si>
    <t>VPET</t>
  </si>
  <si>
    <t>1oz 20/410 White PET Boston Round</t>
  </si>
  <si>
    <t>CONTAINER&amp;PA</t>
  </si>
  <si>
    <t>B398W - 990/cs</t>
  </si>
  <si>
    <t>2oz 20/400 Cobalt Blue Glass</t>
  </si>
  <si>
    <t>VERITIV</t>
  </si>
  <si>
    <t>10227-70016</t>
  </si>
  <si>
    <t>16oz 38/430 90 gm White HDPE Boston Round</t>
  </si>
  <si>
    <t>GEORGIABOTTL</t>
  </si>
  <si>
    <t>16oz White HDPE Buttress Boston Round</t>
  </si>
  <si>
    <t>32oz White HDPE Buttress Boston Round</t>
  </si>
  <si>
    <t>4oz 24/410 Clear PET Boston Round</t>
  </si>
  <si>
    <t>2oz 20/400 Amber Glass Bottle</t>
  </si>
  <si>
    <t>11505-00015 or 11937-00120</t>
  </si>
  <si>
    <t>2oz PET Contour Bulk Packed</t>
  </si>
  <si>
    <t>32oz 38/430 White HDPE Contour Round Bottle</t>
  </si>
  <si>
    <t>BERLIN</t>
  </si>
  <si>
    <t xml:space="preserve"> 90/cs</t>
  </si>
  <si>
    <t>1L Glass Bottle</t>
  </si>
  <si>
    <t>300cc 45/400 White HDPE Pharma Packer</t>
  </si>
  <si>
    <t>120cc 38/400 White HDPE</t>
  </si>
  <si>
    <t>11810-00009 - 605 / case</t>
  </si>
  <si>
    <t>4oz 22/400 Amber Glass Boston Round Bottle</t>
  </si>
  <si>
    <t>Pack size: 128/case
64</t>
  </si>
  <si>
    <t>16oz 28/400 Amber Boston Round</t>
  </si>
  <si>
    <t>2.5oz 28/410 Amcor Clear PET Hot Fill</t>
  </si>
  <si>
    <t>16oz 38mm Amcor Powerflex Long Neck Hot Fill</t>
  </si>
  <si>
    <t>500ml 36gm 38mm Clear Amcor Dome Top-Powerflex Hot fill</t>
  </si>
  <si>
    <t>ZUCHERMANHON</t>
  </si>
  <si>
    <t>8oz 24gm Active Hinge Hot Fill Bottle</t>
  </si>
  <si>
    <t>150cc 45/400 Amber Glass Packer</t>
  </si>
  <si>
    <t>GERRES150AMG_3,240/skid FOB:Chicago Heights, IL</t>
  </si>
  <si>
    <t>225cc 45/400 White HDPE Alpha Bottle</t>
  </si>
  <si>
    <t>25oz 89/400 White PET Alpha Jar</t>
  </si>
  <si>
    <t>625cc 53/400 White PET Alpha Jar</t>
  </si>
  <si>
    <t>750cc 53/400 White PET Alpha</t>
  </si>
  <si>
    <t>25oz 89/400 Clear PET Alpha Bottle</t>
  </si>
  <si>
    <t>25oz 89/400 White HDPE Jar</t>
  </si>
  <si>
    <t>2370/cs (CBM)</t>
  </si>
  <si>
    <t>4oz 24/410 White PET Boston Round Cold Fill</t>
  </si>
  <si>
    <t>20oz 38mm Amcor Hot Fill Long Neck Bottle</t>
  </si>
  <si>
    <t>8oz 70/400 White HDPE Jar</t>
  </si>
  <si>
    <t>Price Updated 6/2022</t>
  </si>
  <si>
    <t>4oz 24/410 Clear PET Alpha Bullet Bottle</t>
  </si>
  <si>
    <t>ALTERNTAIVEL</t>
  </si>
  <si>
    <t>250cc 45/400 White PETE Bottle</t>
  </si>
  <si>
    <t>270/cs</t>
  </si>
  <si>
    <t>1000cc 110/400 White HDPE Straight Side</t>
  </si>
  <si>
    <t>8oz 24/400 Amber Glass Boston Round Bottle</t>
  </si>
  <si>
    <t>#11505</t>
  </si>
  <si>
    <t>10oz 38mm Active Hinge Amcor PETE Bottle Poligen</t>
  </si>
  <si>
    <t>8oz 89/400 Dark Amber PET Alpha Jar</t>
  </si>
  <si>
    <t>2oz 18/415 Clear Glass</t>
  </si>
  <si>
    <t>1oz 20/400 Cobalt Blue Glass Boston Round</t>
  </si>
  <si>
    <t>K0003 - 360/ cs</t>
  </si>
  <si>
    <t>19oz 89/400 Dark Amber PET Alpha</t>
  </si>
  <si>
    <t>11070-70386   175/cs</t>
  </si>
  <si>
    <t>10ml 20/400 Amber Glass</t>
  </si>
  <si>
    <t xml:space="preserve"> 720/cs</t>
  </si>
  <si>
    <t>20oz 38mm 35.4gm Single Bell Amcor Bottle</t>
  </si>
  <si>
    <t>150cc 38/400 White PET</t>
  </si>
  <si>
    <t>11070-00102, 410/cs</t>
  </si>
  <si>
    <t>100cc 38/400 Amber Glass Packer</t>
  </si>
  <si>
    <t>24/cs</t>
  </si>
  <si>
    <t>1oz 20/400 Amber Boston Round Glass Bottle</t>
  </si>
  <si>
    <t>FHPACKAGING</t>
  </si>
  <si>
    <t>360 ea per case (360 cs per pallet)</t>
  </si>
  <si>
    <t>180cc 45/400  White HDPE Setco</t>
  </si>
  <si>
    <t>Setco btl 45/400; 600/CS</t>
  </si>
  <si>
    <t>20oz 89/400 Plascor White HDPE Jar</t>
  </si>
  <si>
    <t>10208-00002, 2,964/palet MOQ</t>
  </si>
  <si>
    <t>100cc 38/400 White HDPE Bottle</t>
  </si>
  <si>
    <t>640/case_ALP100CCPH38W</t>
  </si>
  <si>
    <t>625cc 53/400 Dark Amber PET Alpha Bottle</t>
  </si>
  <si>
    <t>140/ case</t>
  </si>
  <si>
    <t>16oz Dark Amber PET Squat Boston Round</t>
  </si>
  <si>
    <t>144/cs</t>
  </si>
  <si>
    <t>200cc 38/400 White PETE Packer</t>
  </si>
  <si>
    <t>H3PLASTICS</t>
  </si>
  <si>
    <t>10,000 MOQ</t>
  </si>
  <si>
    <t>25oz 89/400 Black HDPE Jar</t>
  </si>
  <si>
    <t>CANYONPLASTI</t>
  </si>
  <si>
    <t>120cc 38/400 Dark Amber PETE Bottle</t>
  </si>
  <si>
    <t>1500cc 110/400 White HDPE Canister</t>
  </si>
  <si>
    <t>4-8 week lead time 88/cs</t>
  </si>
  <si>
    <t>16oz 89/400 Black PETE Canister</t>
  </si>
  <si>
    <t>32oz 1040cc 89/400 White HDPE</t>
  </si>
  <si>
    <t>AL32OZ89ANTIW_72/cs_Anti-stat = 72/case</t>
  </si>
  <si>
    <t>16oz 89/400 White HDPE Alpha Jar</t>
  </si>
  <si>
    <t>10208-70089 (CBM Pretium Only) / 3792 pallet</t>
  </si>
  <si>
    <t>20oz 38mm Single Bell Amcor Bottle</t>
  </si>
  <si>
    <t>3672/ pallet</t>
  </si>
  <si>
    <t>400cc 45/400 White HDPE Packer Pharma</t>
  </si>
  <si>
    <t>180/case</t>
  </si>
  <si>
    <t>3000cc 110/400 White HDPE Jar</t>
  </si>
  <si>
    <t>630 per pallet/MOQ</t>
  </si>
  <si>
    <t>25cc 28/400 White HDPE Bottle</t>
  </si>
  <si>
    <t>500mL PETE BMI Cylinder</t>
  </si>
  <si>
    <t>19oz 89/400 White HDPE</t>
  </si>
  <si>
    <t>144/bx</t>
  </si>
  <si>
    <t>150cc 38/400 Dark Amber PETE Bottle</t>
  </si>
  <si>
    <t>410/CASE _ITEM: 11070-79011</t>
  </si>
  <si>
    <t>4oz 24/400 Cobalt Blue Boston Round Glass Bottle</t>
  </si>
  <si>
    <t>SILVER SPUR</t>
  </si>
  <si>
    <t>25mL Vogue Bottle</t>
  </si>
  <si>
    <t>5gal Jug Plastic F-Style Natural Food Grade</t>
  </si>
  <si>
    <t>S-16915 or S-16915B</t>
  </si>
  <si>
    <t>250cc 45/400 White HDPE Packer Bottle</t>
  </si>
  <si>
    <t>ALP250CCIWHT_ 270/case</t>
  </si>
  <si>
    <t>150cc 38/400 White Setco HDPE Round Packer</t>
  </si>
  <si>
    <t>11810-00077__450/CASE</t>
  </si>
  <si>
    <t>1oz 20/410 White LDPE Boston Round w/ Neck Bead</t>
  </si>
  <si>
    <t>LM20863-035.W___1500/cs.</t>
  </si>
  <si>
    <t>10mll Pumps- Injection Airless Bottle</t>
  </si>
  <si>
    <t>WINPAK</t>
  </si>
  <si>
    <t>WY2104__5,000 MOQ</t>
  </si>
  <si>
    <t>10ml Bottom - Airless Pump</t>
  </si>
  <si>
    <t>10ml Clear Cap- Airless Pump</t>
  </si>
  <si>
    <t>10ml Inner Bottle - Airless Pump</t>
  </si>
  <si>
    <t>10ml Outer Bottle - Airless Pump</t>
  </si>
  <si>
    <t>3oz 24/410 White HDPE Imperial Round</t>
  </si>
  <si>
    <t>450/cs MOQ</t>
  </si>
  <si>
    <t>14oz 89/400 White HDPE Canisters</t>
  </si>
  <si>
    <t>10208-00012, 240/cs- 2400/plt</t>
  </si>
  <si>
    <t>400cc 45/400 White PET Packer</t>
  </si>
  <si>
    <t>32oz 89/400 White PET Canister</t>
  </si>
  <si>
    <t>16oz 89/400 White HDPE BPA Free Alpha Jar</t>
  </si>
  <si>
    <t>BERLIN  # 105772</t>
  </si>
  <si>
    <t>16oz Dark Amber PET Bottle</t>
  </si>
  <si>
    <t>245/case FOB Ft. Lauderdale__4 wk lead time if not in stock</t>
  </si>
  <si>
    <t>16oz 89/400 HDPE BLACK Canister</t>
  </si>
  <si>
    <t>500cc 53/400 White HDPE W/M RD</t>
  </si>
  <si>
    <t>11810-00122 (196/cs)  or 11567-03009 (164/cs)</t>
  </si>
  <si>
    <t>1oz Colbalt Boston Round w/Child Resistant Glass Dropper</t>
  </si>
  <si>
    <t>GLASSBOTTLEO</t>
  </si>
  <si>
    <t>2oz 35mm x 95 mm (1 3/8 x 3 3/4) White MDPE Tube wFlip Cap</t>
  </si>
  <si>
    <t>BOTTLESJARSA</t>
  </si>
  <si>
    <t>TOD-7</t>
  </si>
  <si>
    <t>1oz 25 X 90 (1 in X 3-9/16 in) White Tube w/ Flip Cap</t>
  </si>
  <si>
    <t>TOD-5-CW</t>
  </si>
  <si>
    <t>2oz VRelief Labeled Amber bottle</t>
  </si>
  <si>
    <t>0.25oz (8ml) Frosted/Natural Bottle Sprayer</t>
  </si>
  <si>
    <t>2oz 28/400 Flint Glass Wide Mouth Boston Round</t>
  </si>
  <si>
    <t>8,000/pallet +$13.00 fee ea</t>
  </si>
  <si>
    <t>1L 28/400 Flint Glass</t>
  </si>
  <si>
    <t>2oz 20/400 Green Glass</t>
  </si>
  <si>
    <t>1oz Green Glass Boston Round</t>
  </si>
  <si>
    <t>15ml 18/415  Amber Euro Glass</t>
  </si>
  <si>
    <t>1oz 20/400  Clear Glass BR Bottle</t>
  </si>
  <si>
    <t>1oz 53/400 30ml Acrylic Jar</t>
  </si>
  <si>
    <t>5,000/cs _ FOB Miami FL</t>
  </si>
  <si>
    <t>2oz 20/410  White PET Cosmo</t>
  </si>
  <si>
    <t>EP-36434</t>
  </si>
  <si>
    <t>70oz 120mm Deep Skirt Canister w/LIP</t>
  </si>
  <si>
    <t>01-9568</t>
  </si>
  <si>
    <t>19oz 89/400 PET Clear Round Jar</t>
  </si>
  <si>
    <t>2oz 70/400 White PP Round Double Wall Jar</t>
  </si>
  <si>
    <t>200cc 38/400 Amber PET W/M Round</t>
  </si>
  <si>
    <t>ALP200s38_ 335 BTLS/BOX</t>
  </si>
  <si>
    <t>2oz 20/400 Clear Flint Glass</t>
  </si>
  <si>
    <t>2oz 20/410 BR Clear PET</t>
  </si>
  <si>
    <t>Pack: 1120/cs.</t>
  </si>
  <si>
    <t>32oz HDPE Carafe Bottle</t>
  </si>
  <si>
    <t>4oz 28/410 Clear PETE Boston Round</t>
  </si>
  <si>
    <t>4oz 24/410 Natural HDPE Bullet Round</t>
  </si>
  <si>
    <t>GLOBALTEK CO</t>
  </si>
  <si>
    <t>100cc 38/400 PET Dark Amber W/M Round</t>
  </si>
  <si>
    <t>560/case_11567-00196</t>
  </si>
  <si>
    <t>1oz 20/410 White LDPE Cylinder Round</t>
  </si>
  <si>
    <t>4oz 24/410 Clear PET Cosmo Bottle</t>
  </si>
  <si>
    <t>FH05</t>
  </si>
  <si>
    <t>1oz 43/485 Natural Round - Spice</t>
  </si>
  <si>
    <t>1100/cs</t>
  </si>
  <si>
    <t>8oz 24/410 Clear PET Cosmo</t>
  </si>
  <si>
    <t>2oz 20/405 FLINT Boston Round</t>
  </si>
  <si>
    <t>250cc 45/400 Light Amber PET Packer</t>
  </si>
  <si>
    <t>11070-79005_ 270/case</t>
  </si>
  <si>
    <t>12oz 83/400 Glass Straight-Sided Jar</t>
  </si>
  <si>
    <t>1oz Amber Slim BR Bottle Piramil</t>
  </si>
  <si>
    <t>1oz 20/400 Frosted Amber Glass Bottle</t>
  </si>
  <si>
    <t>360/case</t>
  </si>
  <si>
    <t>2oz 20/415 Shiny White Glass Bottle</t>
  </si>
  <si>
    <t>360/case_ KE610_FOB:Bradenton,FL</t>
  </si>
  <si>
    <t>30cc 33/400 White HDPE Rround Packer</t>
  </si>
  <si>
    <t>19oz 89/400 Black HDPE Straight Sided</t>
  </si>
  <si>
    <t>20oz 89/400 Black PET Canister</t>
  </si>
  <si>
    <t>175/case</t>
  </si>
  <si>
    <t>55oz 120/400 Black HDPE Canister</t>
  </si>
  <si>
    <t>11070-79069_88/case</t>
  </si>
  <si>
    <t>20oz 89/400 Black HDPE Canister</t>
  </si>
  <si>
    <t>FOB NY_</t>
  </si>
  <si>
    <t>4oz 24/410 Cobalt blue PET Cosmo Round</t>
  </si>
  <si>
    <t>32379-00010__805 bottles/case</t>
  </si>
  <si>
    <t>120cc Black PET</t>
  </si>
  <si>
    <t>450/pk</t>
  </si>
  <si>
    <t>225cc 45/400 White HDPE</t>
  </si>
  <si>
    <t>BY45PS225BHW  Berry Plastics  405/cs</t>
  </si>
  <si>
    <t>150cc 38/400  Light Amber PET packer</t>
  </si>
  <si>
    <t>375/bx  6,000/pallet</t>
  </si>
  <si>
    <t>100cc 38/400  Light Amber PET packer</t>
  </si>
  <si>
    <t>535/BX    8,560/Pallet</t>
  </si>
  <si>
    <t>200cc 38/400 Light Amber PET packer</t>
  </si>
  <si>
    <t>300/bx   4,500/pallet</t>
  </si>
  <si>
    <t>1/2oz 18/400 Amber Glass Bottle</t>
  </si>
  <si>
    <t>25oz 89/400 Light Amber PET Canister</t>
  </si>
  <si>
    <t>1oz 20/410 White PET Slim Cylinder Round</t>
  </si>
  <si>
    <t>920/cs</t>
  </si>
  <si>
    <t>16oz 89/400 Cobalt PET</t>
  </si>
  <si>
    <t>J093B  245/cs</t>
  </si>
  <si>
    <t>19oz 89/400 Cobalt PET</t>
  </si>
  <si>
    <t>J103B</t>
  </si>
  <si>
    <t>16oz 89/400 Black HDPE</t>
  </si>
  <si>
    <t>180/cs - Pretium Bottles Only</t>
  </si>
  <si>
    <t>20oz 89/400 Black HDPE Round Jar</t>
  </si>
  <si>
    <t>1oz 20/400 Matte White Boston Round Glass</t>
  </si>
  <si>
    <t>G868WH</t>
  </si>
  <si>
    <t>1oz 20/400 Red Boston Round Glass</t>
  </si>
  <si>
    <t>PREMIUMVIALS</t>
  </si>
  <si>
    <t>B7821</t>
  </si>
  <si>
    <t>100cc 38/400 Blue PET</t>
  </si>
  <si>
    <t>B641</t>
  </si>
  <si>
    <t>2oz 58/400 Cobalt Blue PET Straight-Sided Round Jar</t>
  </si>
  <si>
    <t>UNITEDPLASTI</t>
  </si>
  <si>
    <t>68954</t>
  </si>
  <si>
    <t>3000cc 110/400 Black HDPE  Jar</t>
  </si>
  <si>
    <t>CP-3000110B 630/pallet  7 pallet MOQ</t>
  </si>
  <si>
    <t>4oz 58/400 Black PET Single Wall Jar</t>
  </si>
  <si>
    <t>CITADEL</t>
  </si>
  <si>
    <t>4J5840000BPET-MD</t>
  </si>
  <si>
    <t>2oz 20/400 White Cosmo PET</t>
  </si>
  <si>
    <t>FH05-20 - 1052 case</t>
  </si>
  <si>
    <t>30ml 18/400 Amber Euro Round Glass</t>
  </si>
  <si>
    <t>R10183004-330 / 330 cs</t>
  </si>
  <si>
    <t>1oz 20/400 Frosted Clear Glass</t>
  </si>
  <si>
    <t>14oz 89/400 HDPE Matte Black Canister</t>
  </si>
  <si>
    <t>CPI-12-89B - 10 pallets (33,600 ea) MOQ</t>
  </si>
  <si>
    <t>400cc 45/400 PET Clear Packer</t>
  </si>
  <si>
    <t>SKU# 400.0000 - 180 ea per case</t>
  </si>
  <si>
    <t>8oz 24/410 White Cosmo Bottle</t>
  </si>
  <si>
    <t>336 / case</t>
  </si>
  <si>
    <t>2oz 20/410 Black PET Boston Round</t>
  </si>
  <si>
    <t>58oz 110/400 Blue Pet Jar</t>
  </si>
  <si>
    <t>J110CT-058-01-0909BL1-TY2-1 - 1080 pack</t>
  </si>
  <si>
    <t>6oz 63/400 Amber Glass Straight Sided Jar</t>
  </si>
  <si>
    <t>2oz 48/400 Cobalt Blue PET Straight-Sided Round Jar</t>
  </si>
  <si>
    <t>736/cs</t>
  </si>
  <si>
    <t>1500cc 110/400 Light Amber PET Canister</t>
  </si>
  <si>
    <t>1oz 20/400 Black Glass Bottle</t>
  </si>
  <si>
    <t>8oz 70/400 Black PET</t>
  </si>
  <si>
    <t>ALP8J70HGPETB - 320 case</t>
  </si>
  <si>
    <t>200cc 38/400 Black Matte PET Packer</t>
  </si>
  <si>
    <t>150cc 53/400 Clear PET Straight Sided Bottle</t>
  </si>
  <si>
    <t>7820/case</t>
  </si>
  <si>
    <t>400cc 45/400 Light Amber PET Packer</t>
  </si>
  <si>
    <t>300cc 45/400 Light Amber PET Packer</t>
  </si>
  <si>
    <t>8oz 70/400 Amber Glass Straight Sided Jar</t>
  </si>
  <si>
    <t>13 x10 x7 BOX</t>
  </si>
  <si>
    <t>S-4982, 25 Bdl. MOQ</t>
  </si>
  <si>
    <t>10 3/16 X 6 3/16 X 6 1/2 
RSC 200#C, PLAIN, GI
C075
(CREAMER</t>
  </si>
  <si>
    <t>QUALITYCARTO</t>
  </si>
  <si>
    <t>2011 pricing QBE PO1309</t>
  </si>
  <si>
    <t>PAD 10 X 6 200#C 
FOR CREAMER CUP C075 MASTER CARTON SHIPPER</t>
  </si>
  <si>
    <t>15 x 10 x 8</t>
  </si>
  <si>
    <t>S-4719_ 25/BUNDLE</t>
  </si>
  <si>
    <t>10 X 10 X 7 CORRUGATED BOX</t>
  </si>
  <si>
    <t>19 X 12 X 6 CORRUGATED SHIPPER BOX
S-4349 SUB:20 X 20 X 6- A</t>
  </si>
  <si>
    <t>10 3/16 X 6 3/16 X 8 3/16 Box
RSC 200#C, PLAIN, GI
500 $ .8</t>
  </si>
  <si>
    <t>12X12X8 USE FOR SAMPLES</t>
  </si>
  <si>
    <t>Cardboard Box 18 X 12 X 12                
(25 boxes per bun</t>
  </si>
  <si>
    <t>26 X 16 X 14 CORREGATED BOX; 15PACKS; MC FOR LTS-FG-0005 &amp; H</t>
  </si>
  <si>
    <t>8 X 8 X 10</t>
  </si>
  <si>
    <t>S-4516</t>
  </si>
  <si>
    <t>Choclevate 20ct IC Printed Display Box</t>
  </si>
  <si>
    <t>GENERALCONVE</t>
  </si>
  <si>
    <t>ASSEMB</t>
  </si>
  <si>
    <t>16 X 16 X 9 Corrugated Box
25/BUNDLE
S-4537</t>
  </si>
  <si>
    <t>23 x 17 x 12 Corrugated Master Case</t>
  </si>
  <si>
    <t>S-4231</t>
  </si>
  <si>
    <t>13 x 10 x 12 Master cases</t>
  </si>
  <si>
    <t>9 1/4 x 7 x 3 3/4</t>
  </si>
  <si>
    <t>RIVERSIDEPAP</t>
  </si>
  <si>
    <t>7 x 6 x 4 Corrugated</t>
  </si>
  <si>
    <t>S-16700</t>
  </si>
  <si>
    <t>12 x 12 x13 Corrugated</t>
  </si>
  <si>
    <t>S-20485</t>
  </si>
  <si>
    <t>14 9/16  X 11 1/4  X 4 9/16 200# Kraft plain</t>
  </si>
  <si>
    <t>ZZ-B-1000976</t>
  </si>
  <si>
    <t>14 x 8 x 5,  box Master
RSC 200# C,</t>
  </si>
  <si>
    <t>S-21004, 14 x 8 x 5" Corrugated Boxes</t>
  </si>
  <si>
    <t>7 3/16" x 4 3/8" x 3 7/16" RSC # 200 Plain Kraft box ( maste</t>
  </si>
  <si>
    <t>14 X 12 X 9 32 ECT; plain brown</t>
  </si>
  <si>
    <t>AVATARPACKAG</t>
  </si>
  <si>
    <t>15 X 12 X 4, 200# KRAFT PLAIN</t>
  </si>
  <si>
    <t>S-4625, 25/Bdl. MOQ</t>
  </si>
  <si>
    <t>DNU NITRO 24ct IC printed display box_NTRSP_Rev 07/19</t>
  </si>
  <si>
    <t>35 btls/bx 19-1/4 X 13 X 12-3/8 RSC 200#C, plain kraft</t>
  </si>
  <si>
    <t>Box 20-7/16 x 13-5/8x13-5/8 RSC#C, plain kraft</t>
  </si>
  <si>
    <t xml:space="preserve"> 22 1/4 x 14 11/16  x 11 13/16, RSC 200#c</t>
  </si>
  <si>
    <t>ZZ-B-1002665</t>
  </si>
  <si>
    <t>8 X 6 X 5 Corrugated Shipper box
25/bundle</t>
  </si>
  <si>
    <t>12 x 8 x 7; S-4979</t>
  </si>
  <si>
    <t>20 X 12 X 12 cardboard box   Double wall brown 15bx/Bundle</t>
  </si>
  <si>
    <t>S-12603, 15/Bdl</t>
  </si>
  <si>
    <t>12 x 12 x 6 single</t>
  </si>
  <si>
    <t>ZZ-B-1003085 - 200SW - 1000 ea min.</t>
  </si>
  <si>
    <t>Choclevate 20ct mr14  IC Printed Display Box</t>
  </si>
  <si>
    <t>P12432_ no added Caffeine_25K</t>
  </si>
  <si>
    <t>6 1/8 X 4 5/8 X 3 7/8  RSC 200C KRAFT , PLAIN;holds 12- 2oz</t>
  </si>
  <si>
    <t>ZEST 20ct printed display box</t>
  </si>
  <si>
    <t>THEM</t>
  </si>
  <si>
    <t>15 X 11 X 9  Corregated box; 25/bundle
used for HEP-FG-0006</t>
  </si>
  <si>
    <t>17x17x10 brown, single walled</t>
  </si>
  <si>
    <t>47" X 39" X 40" 1100# Triwal, GAYLORD PALLETBOX HOLD 750KG</t>
  </si>
  <si>
    <t>FASTENAL</t>
  </si>
  <si>
    <t>10387-02212 __ 20/bdl</t>
  </si>
  <si>
    <t>MR25 Elevate Coffee 20ct Autolock Display Box</t>
  </si>
  <si>
    <t>17 3/8  x 17 1/4  x 3 1/2 RSC Ect32, single wall, kraft, pla</t>
  </si>
  <si>
    <t>7 X 5 X 4</t>
  </si>
  <si>
    <t>S-4063_25/BUNDLE</t>
  </si>
  <si>
    <t>16 13/16 X 15 3/16 X 3 5/16 200#C KRAFT PLAIN
LIVE THE SOURC</t>
  </si>
  <si>
    <t>20 x 20 x 6 single wall box from Uline for PRO NRG BOTTLES.</t>
  </si>
  <si>
    <t>11.25 x 7.5 x 6 1/8 - OLD 6PKSUB: 48CT MASTER CASE ALT-BX-03</t>
  </si>
  <si>
    <t>MOQ, $150.00</t>
  </si>
  <si>
    <t>Zest 20ct printed display box ( UPDATED CORP ADDRESS)</t>
  </si>
  <si>
    <t>12 X 12 X 5</t>
  </si>
  <si>
    <t>12X12X5,  S-4489</t>
  </si>
  <si>
    <t>12x12x6 Double Wall 275lb test, up to 80lbs</t>
  </si>
  <si>
    <t>S-4770, 25ea. /Bdl. MOQ.</t>
  </si>
  <si>
    <t>16 x 12 x 9" Corrugated Boxes</t>
  </si>
  <si>
    <t>Elevacity NITRO 20ct Display box</t>
  </si>
  <si>
    <t>16 X12 X 8 (OPE Resveratrol US &amp; Cell Activator)</t>
  </si>
  <si>
    <t xml:space="preserve"> 13 3/8 X 9 3/16 X 4 2/8, 32 ECT</t>
  </si>
  <si>
    <t>16 ¾ x 14 ½ x 12    RSC 32 ECT Kraft Plain.
1000  $  1.35</t>
  </si>
  <si>
    <t>12 X 9 X 9 corrugated</t>
  </si>
  <si>
    <t>S-4335</t>
  </si>
  <si>
    <t>14 x 11 x 11 PRODOVITE32oz</t>
  </si>
  <si>
    <t>15 X 15 X 15 MULTI- DEPTH CORRUGATED BOX</t>
  </si>
  <si>
    <t>S-4369, 25/ bdl</t>
  </si>
  <si>
    <t>9.5 X 9.5 X 9.5 MASTER SHIPPER</t>
  </si>
  <si>
    <t>Elevacity Nitro 20ct Display Box (with updated address)</t>
  </si>
  <si>
    <t>BOXES4PRODUC</t>
  </si>
  <si>
    <t>20 x 20 x 20 RSC 275#BC Double Wall Box</t>
  </si>
  <si>
    <t>9 3/4" X 8" X 6 1/4" DRC Oyster White MC</t>
  </si>
  <si>
    <t>14 1/4" x 9 1/8 " x 4 1/2 " RSC S/W;</t>
  </si>
  <si>
    <t>14 1/4" x 9 1/8 " x 4 1/2 " RSC D/W; Nergia MC 24CT</t>
  </si>
  <si>
    <t>9 x 9 x 4 Corrugated box</t>
  </si>
  <si>
    <t>S-4595, 25 ea./Bdl</t>
  </si>
  <si>
    <t>15 X 11 5/8 X 5 Master shipper</t>
  </si>
  <si>
    <t>ZZ-B-1000940</t>
  </si>
  <si>
    <t>12 X 9 X 8 BOX; 25/BD</t>
  </si>
  <si>
    <t>14 X 10 X 12 ; S-4149</t>
  </si>
  <si>
    <t>S-4149, 25/Bdl.</t>
  </si>
  <si>
    <t>1oz 1500mg CBD Natural LiveGood Display Box</t>
  </si>
  <si>
    <t>ALTERNATIVEL</t>
  </si>
  <si>
    <t>17 X 12 X 10 MODEL:S-16753</t>
  </si>
  <si>
    <t>20 X 12 X 12 MODEL: S-4204</t>
  </si>
  <si>
    <t>S-4204, bdl/20</t>
  </si>
  <si>
    <t>24 x 12 x 12, CORRUGATED BOX</t>
  </si>
  <si>
    <t>S-4243, BDL</t>
  </si>
  <si>
    <t>14" x 10" x 10 1/2"</t>
  </si>
  <si>
    <t>7.375 X 5 9/16 X 4 9/16 nightingale White Master shipper</t>
  </si>
  <si>
    <t>ASSOCIATEDPA</t>
  </si>
  <si>
    <t>12.5 x 9.5 x 6 7/8 RSC Corrugated Master Case Box</t>
  </si>
  <si>
    <t>10 X 7 X 10 1/2 RSC 32ECT- 32oz Contour 6ct MC</t>
  </si>
  <si>
    <t>1oz FSHO MCT Natural 750mg LiveGood Display Box</t>
  </si>
  <si>
    <t>S-4489</t>
  </si>
  <si>
    <t>12 9/16 x 9 3/8 x 4 ECT32</t>
  </si>
  <si>
    <t>1oz FSHO MCT Mint 1500mg LiveGood Display Box</t>
  </si>
  <si>
    <t>1oz FSHO MCT Mint 750mg LiveGood Display Box</t>
  </si>
  <si>
    <t>1oz FSHO MCT PET 300mg LiveGood Display Box</t>
  </si>
  <si>
    <t>*THE HAPPY CO* Nitro 20ct Display Box</t>
  </si>
  <si>
    <t>PREMIERPACKA</t>
  </si>
  <si>
    <t>10 7/8 x 8 3/8 x 8 ECT32</t>
  </si>
  <si>
    <t>RSC 11 3/4 x 8 7/8 x 10 1/4  ECT32 C #78287</t>
  </si>
  <si>
    <t>MICON</t>
  </si>
  <si>
    <t>13 X 10 X 4 RSC S-4716 MONTEM</t>
  </si>
  <si>
    <t>Gaylord Lid- 41-1/4" x 41-1/4" x 4"</t>
  </si>
  <si>
    <t>5 lids/bundle</t>
  </si>
  <si>
    <t>40" x 40 x 40" 1100# Triwall Gaylord</t>
  </si>
  <si>
    <t>5/bundle</t>
  </si>
  <si>
    <t>8 x 6 x 4 Corrugated Box</t>
  </si>
  <si>
    <t>S-4080__25 boxes/bundle</t>
  </si>
  <si>
    <t>46 X 38 X 36; 300 lb Triple Wall Octagon Bulk Bin w/lid</t>
  </si>
  <si>
    <t>11 ¼  x 8 ¼  x 7 ½. RSC</t>
  </si>
  <si>
    <t>15 X 15 X 15 S-4318</t>
  </si>
  <si>
    <t>S-4318__25/bundle</t>
  </si>
  <si>
    <t>4 x 4 x 4 Corrugated Box</t>
  </si>
  <si>
    <t>9 X 7 X 4</t>
  </si>
  <si>
    <t>S-4594__ 25/BUNDLE</t>
  </si>
  <si>
    <t>10 X 8 X 5, Corrugated Box</t>
  </si>
  <si>
    <t>S-4517, 25/BUNDLE, MOQ</t>
  </si>
  <si>
    <t>26 X 15 X 7  Corrugated box</t>
  </si>
  <si>
    <t>6 x 4 x 8" Corrugated Box</t>
  </si>
  <si>
    <t>26 x 16 x 14; S-4663</t>
  </si>
  <si>
    <t>15/bundle</t>
  </si>
  <si>
    <t>14 x 12 x 6    S-4987</t>
  </si>
  <si>
    <t>dnu 13 1/8" x 13" x 12" 32C Plain Shipper; 48 IC/MC</t>
  </si>
  <si>
    <t>14 x 14 x 12; S-4148</t>
  </si>
  <si>
    <t>20 X 14 X 10" S-4196 corrugated box</t>
  </si>
  <si>
    <t>S-4196__20 bxs/bundle</t>
  </si>
  <si>
    <t>11 X 8 X 8 Corrugated Box</t>
  </si>
  <si>
    <t>S-14268__25/bundle</t>
  </si>
  <si>
    <t>11 1/4 x 8 3/4 x12,10,8   MULTI-DEPTH</t>
  </si>
  <si>
    <t>S-279</t>
  </si>
  <si>
    <t>15 X 10 X 14</t>
  </si>
  <si>
    <t>S-4877</t>
  </si>
  <si>
    <t>prnt 48ct GREENS+ 22 1/4 x 14 11/16  x 11 13/16, RSC 200#c</t>
  </si>
  <si>
    <t>EST#149271  PRINTED GREENS + Master Case(48ct)</t>
  </si>
  <si>
    <t>GREENS+ 22 1/4 x 11 3/16  x 11 9/16, Printed</t>
  </si>
  <si>
    <t>20-9/16" x 11-3/8" x 11-1/4"-48IC/MC_ REVITAL U MC</t>
  </si>
  <si>
    <t>AKERS</t>
  </si>
  <si>
    <t>FOR GEORGE SPATHIS PRODUCTION</t>
  </si>
  <si>
    <t>20CT CHOC STICK MASTER CASE 48CT</t>
  </si>
  <si>
    <t>ITEM: 178334_CAD#42608</t>
  </si>
  <si>
    <t>16.0625 x 12 x 12.375</t>
  </si>
  <si>
    <t>ITEM:178335_CAD# 42607</t>
  </si>
  <si>
    <t>12 x 9 x 6 corrugated box 200LB</t>
  </si>
  <si>
    <t>S-4406__ 25/bundle</t>
  </si>
  <si>
    <t>11 x 8 x 6  Corrugated Box</t>
  </si>
  <si>
    <t>S-4607</t>
  </si>
  <si>
    <t>12 x 8 x 6" Corrugated Box</t>
  </si>
  <si>
    <t>12 x 8 x 4 _ S-4117</t>
  </si>
  <si>
    <t>250 bxes= $.62/bx_25/bndl</t>
  </si>
  <si>
    <t>11.75 x 8.25  x 6  Kraft Box W/Arrows</t>
  </si>
  <si>
    <t>15 X 12 X 14" CORRUGATED BOX</t>
  </si>
  <si>
    <t>S-21058</t>
  </si>
  <si>
    <t>10 x 8 x 6  Corrugated Box</t>
  </si>
  <si>
    <t>S-4103</t>
  </si>
  <si>
    <t>18 x 18 x 24" 275lb Double Wall</t>
  </si>
  <si>
    <t>S-11254__10/bundle__90/bale</t>
  </si>
  <si>
    <t>18  x 18  x 18 275lb Double Wall</t>
  </si>
  <si>
    <t>TRANSFER BOX (GUA BT BX)  used for internal bulk</t>
  </si>
  <si>
    <t>15x15x12</t>
  </si>
  <si>
    <t>S-4494</t>
  </si>
  <si>
    <t>7 x 7 x 5  Corrugated Box</t>
  </si>
  <si>
    <t>S-4070__ 25 boxes/bundle</t>
  </si>
  <si>
    <t>12 X 12 X 12</t>
  </si>
  <si>
    <t>S-4125__25/bundle</t>
  </si>
  <si>
    <t>12 x 10 x 5</t>
  </si>
  <si>
    <t>TETON</t>
  </si>
  <si>
    <t>6 x 5 x 5 Corrugated</t>
  </si>
  <si>
    <t>25 per bundle - S-4704</t>
  </si>
  <si>
    <t>7 x 5 x 5 RSC</t>
  </si>
  <si>
    <t>S-4344</t>
  </si>
  <si>
    <t>15 x 12 x 12</t>
  </si>
  <si>
    <t>S-4989 _25/bundle</t>
  </si>
  <si>
    <t>18 x 18 x 6 RSC  200 LB</t>
  </si>
  <si>
    <t>S-4398</t>
  </si>
  <si>
    <t>15 1/4 x 10  x 7 1/4 Master Case Box</t>
  </si>
  <si>
    <t>16 X 14 X 6 _S-4892</t>
  </si>
  <si>
    <t>S-4892_25/bundle</t>
  </si>
  <si>
    <t>24 X 20 X 6_ S-4448</t>
  </si>
  <si>
    <t xml:space="preserve"> S-4448 10/bundle</t>
  </si>
  <si>
    <t>7 X 6 X 6 corrugated box  _S-4974</t>
  </si>
  <si>
    <t>S-4974</t>
  </si>
  <si>
    <t>16 X 13 X 13 corrugated box _ S-13307</t>
  </si>
  <si>
    <t>S-13307</t>
  </si>
  <si>
    <t>13 X 13 X 12</t>
  </si>
  <si>
    <t>S-19836_ 25 BOXES / BUNDLE</t>
  </si>
  <si>
    <t>Elevacity MAX+ FAT Box Printed Display Box</t>
  </si>
  <si>
    <t>"FAT BOX" _EST:1526</t>
  </si>
  <si>
    <t>14" X 14" X 5"  Corrugated Box</t>
  </si>
  <si>
    <t>S-4621_ 25/bundle</t>
  </si>
  <si>
    <t>18 1/16 x 12 13/16 x 11 5/16</t>
  </si>
  <si>
    <t>AITHEM</t>
  </si>
  <si>
    <t>Elevacity MAX+ "Skinny" Printed Box_HAS PRINTING ERROR</t>
  </si>
  <si>
    <t>16 x 14 x 4 _ S-4991</t>
  </si>
  <si>
    <t>S-4991</t>
  </si>
  <si>
    <t>HappyCo MAX+ SKINNY NEW Design IC Box</t>
  </si>
  <si>
    <t>New Graphics</t>
  </si>
  <si>
    <t>12 X 9 X 5 _ S-4487</t>
  </si>
  <si>
    <t>25 PER BUNDLE</t>
  </si>
  <si>
    <t>22 X 14 X 8 _ S-12605</t>
  </si>
  <si>
    <t>25/BUNDLE</t>
  </si>
  <si>
    <t>HappyCo Max+ Skinny Bx 60ct on front panel</t>
  </si>
  <si>
    <t>12 X 8 X 5 _S-4711</t>
  </si>
  <si>
    <t>S-4711_ 25/bundle</t>
  </si>
  <si>
    <t>16 x 14 x 8 _ S-4564</t>
  </si>
  <si>
    <t>S-4564</t>
  </si>
  <si>
    <t>15 x 13 x 10_ S23974</t>
  </si>
  <si>
    <t>7 x 7 x 4_S-4690</t>
  </si>
  <si>
    <t>12 x 9 x 4" Corrugated Box</t>
  </si>
  <si>
    <t>S-4521</t>
  </si>
  <si>
    <t>20 x 16" Corrugated Pads</t>
  </si>
  <si>
    <t>S-5576 /50 per bundle</t>
  </si>
  <si>
    <t>6 x 6 x 6 Corrugated</t>
  </si>
  <si>
    <t>S-4062 - packs of 25</t>
  </si>
  <si>
    <t>16 x 12 x 9 Corrugated</t>
  </si>
  <si>
    <t>S-14275</t>
  </si>
  <si>
    <t>14 x 8 x 6</t>
  </si>
  <si>
    <t>15 x 15 x 10" 275 lb Double Wall</t>
  </si>
  <si>
    <t>S-22121</t>
  </si>
  <si>
    <t>20 x 14 x8 275 lb double wall</t>
  </si>
  <si>
    <t>16  x 12  x 12 Double wall</t>
  </si>
  <si>
    <t>10 x 10 x 4 Lightweight 32 ECT</t>
  </si>
  <si>
    <t>S-20460</t>
  </si>
  <si>
    <t>15 x 7 5/8 x 5 7/16  200 lb. test RSC.</t>
  </si>
  <si>
    <t>S-4970</t>
  </si>
  <si>
    <t>13x13x5 Corrugated Box</t>
  </si>
  <si>
    <t>S-4887</t>
  </si>
  <si>
    <t>17 x 17 x 10</t>
  </si>
  <si>
    <t>S-11376</t>
  </si>
  <si>
    <t>20 x 18 x 10 Corrugated</t>
  </si>
  <si>
    <t>S-12604 - 20 per bndl</t>
  </si>
  <si>
    <t>15 x 15 x 10</t>
  </si>
  <si>
    <t>S-19819</t>
  </si>
  <si>
    <t>22 x 18 x 14</t>
  </si>
  <si>
    <t>S-24074</t>
  </si>
  <si>
    <t>13 x 9 x 11 Corrugated Box</t>
  </si>
  <si>
    <t>S-4837</t>
  </si>
  <si>
    <t>20 x 20 x 12</t>
  </si>
  <si>
    <t>S-4210</t>
  </si>
  <si>
    <t>12 x 12 x 5 Corrugated Box</t>
  </si>
  <si>
    <t>ZZ-B-1003084 - 200SW - 1000 ea</t>
  </si>
  <si>
    <t>14 x 14 x 10</t>
  </si>
  <si>
    <t>S-4147</t>
  </si>
  <si>
    <t>9 x 9 x 9 corrugated shipper box</t>
  </si>
  <si>
    <t>S-4094</t>
  </si>
  <si>
    <t>Zenium Display Box; 2 7/8 X 7/8 x 4 1/4</t>
  </si>
  <si>
    <t>21STCENTURY</t>
  </si>
  <si>
    <t>25M_Ref#:21STL-1009</t>
  </si>
  <si>
    <t>ALT; PRODOVITE CUPS SHIPPER BOX; 4MC/SC</t>
  </si>
  <si>
    <t>15"W x 12.2"L  x 6.3"H (internal dimension) RSC ECT32 Box</t>
  </si>
  <si>
    <t>15 x 12 x 6 RSC</t>
  </si>
  <si>
    <t>S-4234__25/bundle</t>
  </si>
  <si>
    <t>38mm Natural Crack Band Opti Seal III Liner Hot fill</t>
  </si>
  <si>
    <t>38/430 White Buttress Cap Polypropylene Closure Heat Induc</t>
  </si>
  <si>
    <t>20/400 2oz Black Dropper w/89mm glass pipette</t>
  </si>
  <si>
    <t>24/410 Black Induction HDPE .035 WLP Foil Seal Paper Liner</t>
  </si>
  <si>
    <t>RELIABLECAPS</t>
  </si>
  <si>
    <t>.035 WLP Foil Seal M-1 HDPE / 4000 MOQ</t>
  </si>
  <si>
    <t>38/400 White Jug Cap PP FR Cap w/Printed PS-22 Liner</t>
  </si>
  <si>
    <t>110/400 Black Flat Ribbed Sides PS 113 Lined</t>
  </si>
  <si>
    <t>24/410 Black PCS Phenolic Plastic Cone</t>
  </si>
  <si>
    <t>22/400 Black FR PP w/Sureseal F-217 Liner</t>
  </si>
  <si>
    <t>0091</t>
  </si>
  <si>
    <t>Pack size: 8500</t>
  </si>
  <si>
    <t>22/400 Black FR PP Cap w/ F-217 Liner</t>
  </si>
  <si>
    <t>110/400 White Ribbed Foil/Heat Seal 22</t>
  </si>
  <si>
    <t>Reliable</t>
  </si>
  <si>
    <t>24/410 White Fine Ribbed w/FS-325 Liner</t>
  </si>
  <si>
    <t>28/400 Black Phenoolic Plastic Cone Polyethyelene Cap</t>
  </si>
  <si>
    <t>70mm White Pano Tamper Evident Cap Heat Induction Liner</t>
  </si>
  <si>
    <t>28mm PCO Black Cap OptiSeal III Liner Hot Fill</t>
  </si>
  <si>
    <t>38/430 White Buttress PP Cap</t>
  </si>
  <si>
    <t>REL38430LPE.W, 900/CS</t>
  </si>
  <si>
    <t>28mm Natural PCO Water Bottle Closure</t>
  </si>
  <si>
    <t>20/410 Black Induction Seal</t>
  </si>
  <si>
    <t>250cc White Screw Cap</t>
  </si>
  <si>
    <t>20/400 2oz Black Screw Cap Foam Liner Hot Fill</t>
  </si>
  <si>
    <t>38mm White PCO Plastop OptiSeal III Liner</t>
  </si>
  <si>
    <t>38/400 White Smooth PS22 Liner</t>
  </si>
  <si>
    <t>16510-00007 - 2900/CASE</t>
  </si>
  <si>
    <t>2" White Reike Poly-Bung Seal</t>
  </si>
  <si>
    <t>89/400 Brown Ribbed Lid-PS Foam Liner Printed SFYP</t>
  </si>
  <si>
    <t>OLC89RMPSBRWN_x000D_</t>
  </si>
  <si>
    <t>89/400 Purple Ribbed Lid-PS Foam Liner Printed SFYP</t>
  </si>
  <si>
    <t>OLC89RMPSPRPL_x000D_</t>
  </si>
  <si>
    <t>89/400 Green Ribbed Lid - PS 22 Lner Printed SFYP</t>
  </si>
  <si>
    <t>OLC89RMPS.GRN, 300/cs</t>
  </si>
  <si>
    <t>53mm Violet Ribbed Lid- PS foam Liner Printed SFYP</t>
  </si>
  <si>
    <t>53/400 White PP FR PS22 Printed Liner</t>
  </si>
  <si>
    <t>53/400 Green Ribbed Lid PS Foam Liner Printed SFYP</t>
  </si>
  <si>
    <t>THE CARY</t>
  </si>
  <si>
    <t>68W54G - Min $100 - typically in stock</t>
  </si>
  <si>
    <t>Steel Drum Lid w/ring closure</t>
  </si>
  <si>
    <t>20/410 White Ribbed F217 Foam Liner</t>
  </si>
  <si>
    <t>28/400 Black Metal Plastisol Lined Cap;Cameron Thread Patter</t>
  </si>
  <si>
    <t>89/400 White ribbed lid-PS22 liner printed SFYP</t>
  </si>
  <si>
    <t>22/400 Black/Gold Metal w/Paper Liner</t>
  </si>
  <si>
    <t>38/400 Light Purple, FINE RIBBED SFYP HS035 HEAT SEAL</t>
  </si>
  <si>
    <t>MCKERNANPACK</t>
  </si>
  <si>
    <t>DR-29997</t>
  </si>
  <si>
    <t>20/410 White Fine Mist Sprayer w/Clear Overcap 2.88 DT</t>
  </si>
  <si>
    <t>Aptar_82mm dip tube</t>
  </si>
  <si>
    <t>24/410 White Ribbed w/Heat Induction FS-325 Liner</t>
  </si>
  <si>
    <t>28mm/400 white/gold metal cap with plastisol liner
4,600 Clo</t>
  </si>
  <si>
    <t>SUB FOR: ALT-CA-004-GP; 53mm Purple Ribbed Lid- PS foam lin</t>
  </si>
  <si>
    <t>53mm ORANGE smooth lid-PS foam liner printed SFYP  
Lead Tim</t>
  </si>
  <si>
    <t>28/410 mm Plastop II 1716, White PP cap, TE, EVA Blue Liner</t>
  </si>
  <si>
    <t>24-410 PP RIB White PS cap with .035 SURESEAL 222 LINER BY B</t>
  </si>
  <si>
    <t>20/410 Black Ribbed w/F217 Liner</t>
  </si>
  <si>
    <t>28/410 Black ribbed TE Crack Neck band cap with Blue EVA lin</t>
  </si>
  <si>
    <t>18/415 Gold for Clear glass vitamin E oil</t>
  </si>
  <si>
    <t>22/400 BlackRibbed w/F-828  liner</t>
  </si>
  <si>
    <t>10,500 pack size</t>
  </si>
  <si>
    <t>89/400 Green Rib Cap UL Induction SFYP</t>
  </si>
  <si>
    <t>45mm Black PS SFYP ribbed cap (For 150cc amber packer)</t>
  </si>
  <si>
    <t>89/400 Brown Rib Cap UL Induction SFYP</t>
  </si>
  <si>
    <t>89/400 Purple Rib Cap UL Induction SFYP</t>
  </si>
  <si>
    <t>20/400 Black Ribbed Cap w/F-828 Liner</t>
  </si>
  <si>
    <t xml:space="preserve"> BY20400FRSTBK PACKED: 10,000</t>
  </si>
  <si>
    <t>38mm Extra lok V, Cap White, w/HL 5 Liner</t>
  </si>
  <si>
    <t>WESTCOAST</t>
  </si>
  <si>
    <t>38/400 White smooth INDUCTION cap</t>
  </si>
  <si>
    <t>11655-20689 - 2900 cs</t>
  </si>
  <si>
    <t>38/400 Black cap; ribbed PS22 liner; pk 2900</t>
  </si>
  <si>
    <t>38 mm Extra lok V, DRC cap NATURAL, w/HL 5 Liner</t>
  </si>
  <si>
    <t>45/400 Black smooth cap, PS22 Liner</t>
  </si>
  <si>
    <t>2,000/case</t>
  </si>
  <si>
    <t>22/400 4 oz Black Dropper 108 mm Glass Pipette</t>
  </si>
  <si>
    <t>11630-70514</t>
  </si>
  <si>
    <t>89/400 Black ribbed PS 22 liner</t>
  </si>
  <si>
    <t>300/case</t>
  </si>
  <si>
    <t>53/400 Black ribbed cap, PS 22 liner; 300/cs</t>
  </si>
  <si>
    <t>24/400 Black Ribbed Foam F217 Liner</t>
  </si>
  <si>
    <t>11655-10058__6,500/CASE</t>
  </si>
  <si>
    <t>38/400 BLUE Smooth Cap w/heat induction liner 2900/cs</t>
  </si>
  <si>
    <t>DR-34776</t>
  </si>
  <si>
    <t>89/400 black smooth HS</t>
  </si>
  <si>
    <t>45/400 Blue Cap PS22, Not printed</t>
  </si>
  <si>
    <t>89/400 Black ribbed cap with heat induction liner</t>
  </si>
  <si>
    <t>89/400 White smooth cap, PS 22 liner</t>
  </si>
  <si>
    <t>38/405 BLACK RIBBED CAP, F-217  LINER, 2,900/CS</t>
  </si>
  <si>
    <t>38/405 Black Ribbed Cap, F828 Liner; 2900/case</t>
  </si>
  <si>
    <t>38/400 White CRC Heat Induction Cap</t>
  </si>
  <si>
    <t>11655-00200, 1,500/bx</t>
  </si>
  <si>
    <t>28mm Black Ribbed Heat Seal Cap (FOR: 25cc 28/400 btl)</t>
  </si>
  <si>
    <t>4,000/cs</t>
  </si>
  <si>
    <t>45/400 white ribbed induction seal cap</t>
  </si>
  <si>
    <t>11655-00490 - 2000 case</t>
  </si>
  <si>
    <t>89/400 White Ribbed UL Induction Seal Cap</t>
  </si>
  <si>
    <t>89/400 White Smooth Heat Induction Cap FS1-13 Non Vented</t>
  </si>
  <si>
    <t>45/400 White Smooth PP cap w/INDUCTION LINER</t>
  </si>
  <si>
    <t>11655-00563</t>
  </si>
  <si>
    <t>89/400 White Smooth C1S FS5-10 Self Venting Liner</t>
  </si>
  <si>
    <t>10212-70095      560/cs</t>
  </si>
  <si>
    <t>38/400 Black Smooth HSO35 cap for HDPE bottle</t>
  </si>
  <si>
    <t>11655-10917 - 2900/case</t>
  </si>
  <si>
    <t>38/400 Silver Smooth Cap w/ HS035 Foam Prnt MRPSV01</t>
  </si>
  <si>
    <t>11655-00414__2900/case__42cs/pallet</t>
  </si>
  <si>
    <t>Cap for 25mL Vogue Bottle</t>
  </si>
  <si>
    <t>Valved Mini Sense White Cap</t>
  </si>
  <si>
    <t>$250 MOQ value</t>
  </si>
  <si>
    <t>58mm White Smooth Heat Seal Liner</t>
  </si>
  <si>
    <t>1,100/case__FOB Moldrite__3-4 week lead time</t>
  </si>
  <si>
    <t>58/400mm White Smooth PS22 liner cap</t>
  </si>
  <si>
    <t>1,100/case_FOB Moldrite</t>
  </si>
  <si>
    <t>20 mm Natural Controlled Dropper Tip</t>
  </si>
  <si>
    <t>LM11914-024.W__5000/case</t>
  </si>
  <si>
    <t>20/410 White Dropper Tip</t>
  </si>
  <si>
    <t>LM12729-315.W__4,000/case</t>
  </si>
  <si>
    <t>100mm; white ribbed cap; PS22 liner for HDPE btl</t>
  </si>
  <si>
    <t>OLC100RMPS22W__440/case</t>
  </si>
  <si>
    <t>89/400 White Smooth UL Induction FS5-8 Non Vented</t>
  </si>
  <si>
    <t>11394-00259, 375/bx</t>
  </si>
  <si>
    <t>45/400 Blue Cap w/HS035 FOAM prt liner</t>
  </si>
  <si>
    <t>#MRPBU04, 2,000/case MOQ</t>
  </si>
  <si>
    <t>20/400 1 oz. Black Fine Mist Sprayer with clear overcap</t>
  </si>
  <si>
    <t>DCFM20400625B __1000/case</t>
  </si>
  <si>
    <t>24/410 Black Ribbed Foam F217 Liner</t>
  </si>
  <si>
    <t>4500/CASE</t>
  </si>
  <si>
    <t>20/410 1 oz White Atomizer Clear Overcap 1 3/4" Dip Tube</t>
  </si>
  <si>
    <t>10320-000010, 2,000/case</t>
  </si>
  <si>
    <t>20/400 1 oz BT Black Dropper Glass Pipette length 7x75</t>
  </si>
  <si>
    <t>37637-00003 - pack 1,800</t>
  </si>
  <si>
    <t>89/400 White Ribbed VENTED INDUCTION LIner</t>
  </si>
  <si>
    <t>28/400 WHT RS PP HS035 1 PC FOAM PRINTED LINER</t>
  </si>
  <si>
    <t>11655-10824__5,000/case</t>
  </si>
  <si>
    <t>24/400 Black Ribbed F-217</t>
  </si>
  <si>
    <t>7,000/cs_product: 233910_PS1000831.B_C24/400 FRST-PP-BK7141 PERM</t>
  </si>
  <si>
    <t>20/400 Black Dropper Assembly w/ 89mm Glass Pipette</t>
  </si>
  <si>
    <t>20/400 2 oz Plastic Dropper w/ 1mL mark</t>
  </si>
  <si>
    <t>PLASTICOID</t>
  </si>
  <si>
    <t>ITEM  # 33649       1500/case</t>
  </si>
  <si>
    <t>45/400 Red HS w/ Foam Fine Rib Smooth Top</t>
  </si>
  <si>
    <t>11299-13054 or 11723-70188 (2750/cs)</t>
  </si>
  <si>
    <t>89/400 Silver RIB S70A FS5-4 foamback vented no print Induct</t>
  </si>
  <si>
    <t>89/400 Green RIB S70A FS5-4 foamback vented no print Induct</t>
  </si>
  <si>
    <t>89/400 Brown RIB S70A FS5-4 foamback vented no print Induct</t>
  </si>
  <si>
    <t>89/400 Purple RIB S70A FS5-4 foamback vented no print Induct</t>
  </si>
  <si>
    <t>WHT 89/400 vented FS5-4 paper backed, NON Print liner</t>
  </si>
  <si>
    <t>89/400 Green Rib Cap shell NO LINER</t>
  </si>
  <si>
    <t>89/400 White RIB S70A FS5-4 foamback vented no print Induct</t>
  </si>
  <si>
    <t>EMP89RMHSP..W / pack size 656</t>
  </si>
  <si>
    <t>38/400 WHITE F/R M/T P/P W/ S70/FS5-8 PRNT RED</t>
  </si>
  <si>
    <t>16510-00000__2,900/CASE</t>
  </si>
  <si>
    <t>89/400 Black Smooth Vented UL lined cap - shiny</t>
  </si>
  <si>
    <t>89/400 RED RIB S70A FS5-4 foamback vented no print Induct</t>
  </si>
  <si>
    <t>89/400 WHITE RIBBED  UNLINED CAP SHELLS</t>
  </si>
  <si>
    <t>89/400 Black RIB S70A FS5-4 foamback vented no print</t>
  </si>
  <si>
    <t>ERIE CAP</t>
  </si>
  <si>
    <t>89/400 WhiteSMOOTH S70A FS5-4 foamback vented no print Induc</t>
  </si>
  <si>
    <t>89/400 Brown RIB S70A FS5-4 foamback vented no print ERIE</t>
  </si>
  <si>
    <t>ERIE BROWN CAPS</t>
  </si>
  <si>
    <t>89/400 Bright Red SMOOTH PRC 90958 (21N) HS035N.020 R SFYP</t>
  </si>
  <si>
    <t>11655-20319_580/case</t>
  </si>
  <si>
    <t>89/400 Black Small RIB S70A FS5-4 foamback vented no print</t>
  </si>
  <si>
    <t>olcott</t>
  </si>
  <si>
    <t>DNU 20-400 Black Dropper 76mm Graduated glass pip for 1oz bt</t>
  </si>
  <si>
    <t>part#33220_1,000/case_5,400 pieces    1 oz?</t>
  </si>
  <si>
    <t>20/400 2oz 89mm White Dropper w/Glass Pipette</t>
  </si>
  <si>
    <t>M1868WH - 1000 cs</t>
  </si>
  <si>
    <t>70/400 White Smooth P/P Cap HS035 Liner</t>
  </si>
  <si>
    <t>MRS70.HS35..W__760/case - Price Updated 6/2022</t>
  </si>
  <si>
    <t>24/410 White Smooth Flip Top w/Heat Seal Liner for HDPE</t>
  </si>
  <si>
    <t>89/400 black cap W/ VALENTUS CIRCLE STICKER</t>
  </si>
  <si>
    <t>20/400  Black CRC Dropper 89MM Glass Pipette</t>
  </si>
  <si>
    <t>1,700/case</t>
  </si>
  <si>
    <t>89/400 blk cap with shake it up sticker</t>
  </si>
  <si>
    <t>ALTTERNATIVE</t>
  </si>
  <si>
    <t>20/400 1oz Black Plastic Dropper for 72mm PE Pipette</t>
  </si>
  <si>
    <t>2000 per case / Price Updated 1/2023</t>
  </si>
  <si>
    <t>45/400 Red cap, ribbed F217 Foam Liner</t>
  </si>
  <si>
    <t>DNU******20/400 White Dropper 89mm w/glass pipette graduated</t>
  </si>
  <si>
    <t>18/415 CRC Black Graduated Plastic Dropper for 15mL BR Bottl</t>
  </si>
  <si>
    <t>1400 pcs/box</t>
  </si>
  <si>
    <t>18/415 CRC Black Graduated + Logo Plastic Dropper for 15mL</t>
  </si>
  <si>
    <t>DNU  20/400 BLK CRC Graduated Dropper w/ 91mm GLASS PIPETTE</t>
  </si>
  <si>
    <t>1400/case</t>
  </si>
  <si>
    <t>DNU 20/400 White Dropper Graduated 1 oz bottle 7x75 pipette</t>
  </si>
  <si>
    <t xml:space="preserve"> 89/400 Brown w/ Slimroast Cocoa Circle Stickers</t>
  </si>
  <si>
    <t>Bamboo Wrapped Cap, 15/ml/30ml for 1 oz 53/400 Acrylic Jar</t>
  </si>
  <si>
    <t>38/400 Silver Flake Smooth/Smooth Cap w/C1S 3-19 Round Punch</t>
  </si>
  <si>
    <t>11655-00414</t>
  </si>
  <si>
    <t>SILVER Smooth 120mm cap for 70oz deep skirt canister</t>
  </si>
  <si>
    <t>120/400 White Deep Skirt w/C1S 5-9V Heat Induction</t>
  </si>
  <si>
    <t>CP-120SSDTS-W-59V</t>
  </si>
  <si>
    <t>20/400 2oz 91mm White Plastic Graduated Dropper</t>
  </si>
  <si>
    <t>1,400/ case</t>
  </si>
  <si>
    <t>120/400 Silver Deep Skirt Smooth Side SSDTS Heat C1S 5-9v</t>
  </si>
  <si>
    <t>CP-120SSDTS-59V-SILV2162</t>
  </si>
  <si>
    <t>Black Cardinal Pump with straw length for 1oz bottle (2.9")</t>
  </si>
  <si>
    <t>drug &amp; cosmetics _2,000/case</t>
  </si>
  <si>
    <t>38/400 White Ribbed Matte Top w Prnt FS Heat Universal Liner</t>
  </si>
  <si>
    <t>11655-20682 - 2900/case</t>
  </si>
  <si>
    <t>20/400 2oz 91mm White Dropper w/Glass Pipette</t>
  </si>
  <si>
    <t>20/400 1oz Black CRC embossed Plastic Dropper</t>
  </si>
  <si>
    <t>70-400, White, Dome Cap, Foam Lined</t>
  </si>
  <si>
    <t>DNU**20/410 Spray EUROMIST 2.88” dip tube with clear overcap</t>
  </si>
  <si>
    <t>28/400 Flip Top Cap,  Natural</t>
  </si>
  <si>
    <t>KGINTERNATIO</t>
  </si>
  <si>
    <t>20/400 BLK F/R PUMP C-06 ACT PE GASK DTL 92MM PPDC</t>
  </si>
  <si>
    <t>NEWHIGHGLASS</t>
  </si>
  <si>
    <t>24/410 White Push Pull</t>
  </si>
  <si>
    <t>3000/cs</t>
  </si>
  <si>
    <t>24/410 Clear Ribbed Skirt Hinged Flip Top</t>
  </si>
  <si>
    <t>24/410 White smooth skirt hinged flip top cap</t>
  </si>
  <si>
    <t>24/410 Clear PP Smooth Skirt Disk Top</t>
  </si>
  <si>
    <t>38/400 SILVER C1S FS 5-9 heat Induction foil inner seal</t>
  </si>
  <si>
    <t>MRS38LN402SLV - 2900/case</t>
  </si>
  <si>
    <t>38/400 smooth black Heat seal for PET</t>
  </si>
  <si>
    <t>20/410 White Ribbed Skirt Fine Mist Sprayer w/110mm dip tube</t>
  </si>
  <si>
    <t>3000 case</t>
  </si>
  <si>
    <t>20/410 Black Ribbed Skirt Fine Mist Sprayer w/110mm Dip Tube</t>
  </si>
  <si>
    <t>45/400 Black HS CAP</t>
  </si>
  <si>
    <t>BY45400PRCT.B (2100/CS)</t>
  </si>
  <si>
    <t>24/410 WHT Smooth disc unlined cap</t>
  </si>
  <si>
    <t>11840-10005   3,000/cs</t>
  </si>
  <si>
    <t>43mm White Cap w/Univ Liner and .125 Sifter</t>
  </si>
  <si>
    <t>24/410 White PP Smooth Skirt Disc Top</t>
  </si>
  <si>
    <t>GB04</t>
  </si>
  <si>
    <t>45/400 Black P/P CT  FS 5-9/S70.006 SFYP Rib skirt</t>
  </si>
  <si>
    <t>53/400 Black P/P CT  FS 5-9/S70.006 SFYP Rib skirt</t>
  </si>
  <si>
    <t>83/400 white HS-035 red printing</t>
  </si>
  <si>
    <t xml:space="preserve"> 11394-00371    500 case</t>
  </si>
  <si>
    <t>38/400 SMOOTH(SHINY) TOP RIB SIDE BLACK CAP PS LINER</t>
  </si>
  <si>
    <t>45/400 Black ribbed matte caps mold rite</t>
  </si>
  <si>
    <t>MRRX45BLKLN04</t>
  </si>
  <si>
    <t>63/400 white w/ S70 FS7-6S heat induction liner</t>
  </si>
  <si>
    <t>item  093188_ pack size 900/case</t>
  </si>
  <si>
    <t>20/400 NON CRC Black Graduated Lead free for 1 oz bt</t>
  </si>
  <si>
    <t>20/400 2oz White CRC Plastic Embossed Graduated Dropper</t>
  </si>
  <si>
    <t>33/400 Black ribbed foam liner -x3340blk</t>
  </si>
  <si>
    <t>2oz 20/400 Black 7x89 Plastic Dropper</t>
  </si>
  <si>
    <t>CM20-0152-003_1,700/CASE_FOB: NJ</t>
  </si>
  <si>
    <t>20/400 76mm Black Bulb Plastic PP Embossed Dropper</t>
  </si>
  <si>
    <t>GB08-020-400_ 1,400 per case</t>
  </si>
  <si>
    <t>20/400 2 oz 89mm White CRC Bulb Glass Dropper</t>
  </si>
  <si>
    <t>GB18-020_1400 per case</t>
  </si>
  <si>
    <t>45/400 black HS  smooth</t>
  </si>
  <si>
    <t>ALM45SMFS58-B</t>
  </si>
  <si>
    <t>38/400 smooth top ribbed side HS</t>
  </si>
  <si>
    <t>110/400 Black Ribbed Matte HS</t>
  </si>
  <si>
    <t>38/400 Black Fine Ribbed Cap with HS Liner</t>
  </si>
  <si>
    <t>2,900per case sub for ca-1084</t>
  </si>
  <si>
    <t>20/400 7X72 Black Bulb Dropper Clsr</t>
  </si>
  <si>
    <t>PER 1000</t>
  </si>
  <si>
    <t>120/400 Black Smooth Deep Skirt Cap Vented heat induction</t>
  </si>
  <si>
    <t>10212-00042_ 252/case</t>
  </si>
  <si>
    <t>20/400  2oz Black Plastic 91mm Dropper</t>
  </si>
  <si>
    <t>38/400 BLACK F/R M/T P/P W/ S70/FS5-8 PRNT RED RIBBED</t>
  </si>
  <si>
    <t>16510-00001</t>
  </si>
  <si>
    <t>24/410 WHITE SPRAYER 7.68 DTL STRAW W/ CLEAR OVERCAP F/R F/M</t>
  </si>
  <si>
    <t>32392-00381__1500 CAPS/CASE</t>
  </si>
  <si>
    <t>110/400 Black Ribbed Matte Top Plastic w/Foam Liner NO SEAL</t>
  </si>
  <si>
    <t>67W11K</t>
  </si>
  <si>
    <t>38/400 Black fine ribbed MRPLNO4 universal heat foam liner</t>
  </si>
  <si>
    <t>11655-20684  (2900 cases)</t>
  </si>
  <si>
    <t>38/400 YELLOW w/FS3-19 liner</t>
  </si>
  <si>
    <t>89/400 White Smooth S70A FS5 Vent Foam Back Liner</t>
  </si>
  <si>
    <t>EMP89SMS7A54W       640/PK</t>
  </si>
  <si>
    <t>89/400 SILVER SMOOTH CPS W/HS LINER FS5-4.0 (MRS89HSPLSLV)</t>
  </si>
  <si>
    <t>89/400 BLACK UNLINED CAPS</t>
  </si>
  <si>
    <t>89/400 Silver OLSCOTT Vented caps</t>
  </si>
  <si>
    <t>OLSCOTT CAPS</t>
  </si>
  <si>
    <t>89/400 Black Ribbed PS Liner NON PRINTED LINER</t>
  </si>
  <si>
    <t>L623BKP1</t>
  </si>
  <si>
    <t>89/400 White Smooth 01 HSF 5.0A/10 Plain TT</t>
  </si>
  <si>
    <t>53/400 GreenRibbed Cap with Venting Liner</t>
  </si>
  <si>
    <t>45/400 Red Ribbed Vented Liner</t>
  </si>
  <si>
    <t>38/400 Black PP Smooth Skirt PS Liner (unprinted)</t>
  </si>
  <si>
    <t>L193B</t>
  </si>
  <si>
    <t>38/400 p/p Shiny Silver Metalized UL HS</t>
  </si>
  <si>
    <t>10059-80635</t>
  </si>
  <si>
    <t>18/400  non crc black etched glass dropper  for 1/2oz bt</t>
  </si>
  <si>
    <t>White Dropper with glass pipette for 30 ml Bottle Not Gradua</t>
  </si>
  <si>
    <t>GB08-020-400</t>
  </si>
  <si>
    <t>38/400 Black PP Plastic Smooth w/Foam Liner</t>
  </si>
  <si>
    <t>L1671BKF1</t>
  </si>
  <si>
    <t>89/400 Smooth (Bright) Green Caps w/ FS5-8 Liner</t>
  </si>
  <si>
    <t>Alphamed # AMFP-89-S-G    450/cs</t>
  </si>
  <si>
    <t>58/400 Black UNLINED Smooth Polypropylene</t>
  </si>
  <si>
    <t>67660</t>
  </si>
  <si>
    <t>89/400 Silver RIB  FS70-59 mechanically vented liner Printed</t>
  </si>
  <si>
    <t>89/400 Purple RIB  FS70-59 mechanically vented liner Printed</t>
  </si>
  <si>
    <t>89/400 Green RIB  FS70-59 mechanically vented liner Printed</t>
  </si>
  <si>
    <t>89/400 White  RIB  FS70-59 mechanically vented liner Printed</t>
  </si>
  <si>
    <t>110/400 WHT RIBBED FOAM LINER</t>
  </si>
  <si>
    <t>18/410 White Ribbed Skirt Nasal Sprayer w/78mm diptube</t>
  </si>
  <si>
    <t>PB53-018-410</t>
  </si>
  <si>
    <t>58/400 smooth skirt HS liner for PET and PVC</t>
  </si>
  <si>
    <t>L226BKH7</t>
  </si>
  <si>
    <t>20/410 white ribbed spray UNCUT DIPTUBE</t>
  </si>
  <si>
    <t>28 mm Natural Trigger Sprayers</t>
  </si>
  <si>
    <t>18/410 Yellow Nasal Sprayer w/78mm Dip Tube PMS115C</t>
  </si>
  <si>
    <t>24/410 White Ribbed Skirt Sprayer w/205mm Dip Tube</t>
  </si>
  <si>
    <t>1900 / case</t>
  </si>
  <si>
    <t>20/400 White Metal Lid With Pulp and Aluminum Liner</t>
  </si>
  <si>
    <t>L357WHFL1</t>
  </si>
  <si>
    <t>24/410 White Smooth Skirt Sprayer w/205mm Dip Tube</t>
  </si>
  <si>
    <t>20/410 White Ribbed Skirt Fine Mist Sprayer w/135mm dip tube</t>
  </si>
  <si>
    <t>70/400 Smooth Black Lid w/HS Liner for PET</t>
  </si>
  <si>
    <t>BYSM70400...B - 915 case</t>
  </si>
  <si>
    <t>1oz 20/400 Black Fine Mist Sprayer w/Clear Cap 160mm DT</t>
  </si>
  <si>
    <t>20/400 Black Child Resistant Graduated Glass Dropper (76mm)</t>
  </si>
  <si>
    <t>GB18-020</t>
  </si>
  <si>
    <t>53/485 Black Smooth HSO35</t>
  </si>
  <si>
    <t>SO053 - 25K MOQ</t>
  </si>
  <si>
    <t>38/400 Faux Wood Grain Smooth Sided Foil Lined Lined CRC</t>
  </si>
  <si>
    <t>BAGKING</t>
  </si>
  <si>
    <t>110/400 Lime Green Smooth Top/Side Foam R SFYP</t>
  </si>
  <si>
    <t>A01-04.020</t>
  </si>
  <si>
    <t>63/400 White Smooth Lid w/ HIS Liner</t>
  </si>
  <si>
    <t>20/410 White Ribbed Fine Mist w/ Clear Cap (6.02 DT)</t>
  </si>
  <si>
    <t>48/400 Black PP Smooth Skirt Lid w/ Foam Liner</t>
  </si>
  <si>
    <t>1700/cs</t>
  </si>
  <si>
    <t>28AP-LOK III White; Polypropylene Cap</t>
  </si>
  <si>
    <t>GREEN 28AP-LOK III; Polypropylene Cap</t>
  </si>
  <si>
    <t>51 mm F DIE CUT ; 36K / CASE
ROUNDED TAB FOIL CLOSURE</t>
  </si>
  <si>
    <t>51mm Unprinted foil lid 
(1,000/sleeve - 43,200/case)
FOB Qu</t>
  </si>
  <si>
    <t>Pronto Espresso/51mm/Foil Seal/ 3 color max
($350 one time f</t>
  </si>
  <si>
    <t>Cotton- 16 gram; 8 kg/box (.003kg per btl of cotton is used)</t>
  </si>
  <si>
    <t>Cotton- 9gram; 100% cotton (9.979kg) 22lbs</t>
  </si>
  <si>
    <t>7 x 7 100 Gauge BOPP Cellophane Sheet</t>
  </si>
  <si>
    <t>GLOBALPAK</t>
  </si>
  <si>
    <t>25,000 MOQ</t>
  </si>
  <si>
    <t>"00" NATURAL VEGGIE Capsule Shells</t>
  </si>
  <si>
    <t>SDHEADUSA</t>
  </si>
  <si>
    <t>1 Pallet Min (1,125,000)</t>
  </si>
  <si>
    <t>"0" NATURAL VEGGIE  Capsule Shells</t>
  </si>
  <si>
    <t>1 Pallet MOQ (1,500,000)</t>
  </si>
  <si>
    <t>"0"  NATURAL GELATIN Capsule Shells (100,000/cs)</t>
  </si>
  <si>
    <t>HEALTHCAPS</t>
  </si>
  <si>
    <t>"1" NATURAL VEGGIE Capsule Shells</t>
  </si>
  <si>
    <t>HMPC 1</t>
  </si>
  <si>
    <t>"0"  WHITE GELATIN Capsule Shells (100,000/cs)</t>
  </si>
  <si>
    <t>1.5 Mil MOQ</t>
  </si>
  <si>
    <t>"1" WHITE GELATIN Capsule Shells (125,000/cs)</t>
  </si>
  <si>
    <t>"00" WHITE GELATIN Capsule Shells</t>
  </si>
  <si>
    <t>"00" NATURAL GELATIN Capsule Shells</t>
  </si>
  <si>
    <t>75,000 case</t>
  </si>
  <si>
    <t>"00" WHITE VEGGIE Capsule shell</t>
  </si>
  <si>
    <t>"1" DRcaps Acid resistant Hypromellose Capsule shells</t>
  </si>
  <si>
    <t>CAPSUGEL</t>
  </si>
  <si>
    <t>125,000/case includes $.15 S&amp;H__8.16.2016</t>
  </si>
  <si>
    <t>"00" Gelatin Green/Green</t>
  </si>
  <si>
    <t>G60CS000863_60,000/case_ 3 day lead time_delivered price</t>
  </si>
  <si>
    <t>"0" Gelatin Green/Green</t>
  </si>
  <si>
    <t>9711.01__60,000/case</t>
  </si>
  <si>
    <t>"00" Gelatin Swedish Orange/Opaque (body and cap)</t>
  </si>
  <si>
    <t>Color code: 0191.01__70,000/case price includes S&amp;H</t>
  </si>
  <si>
    <t>"0" DRcaps Acid Resistant Hypromellose capsule shells</t>
  </si>
  <si>
    <t>BRIGHTPHARMA</t>
  </si>
  <si>
    <t>"00" Organic Pullulan Capsules NOP Certified</t>
  </si>
  <si>
    <t>70,000 caps/box NOP Certified Organic</t>
  </si>
  <si>
    <t>"00" DR Acid Resistant Nat capsule shells</t>
  </si>
  <si>
    <t>CAPSULINE</t>
  </si>
  <si>
    <t>75,000/CASE</t>
  </si>
  <si>
    <t>"00" GAR-AS HPMC Natural Capsule shells</t>
  </si>
  <si>
    <t>Gastric Acid Resistant _ 70,000/case</t>
  </si>
  <si>
    <t>"0" GAR-AS HPMC Natural Capsule Shells</t>
  </si>
  <si>
    <t>Gastric Acid Resistant_ 90,000/case</t>
  </si>
  <si>
    <t>00 Gelatin Purple Caspule Shells</t>
  </si>
  <si>
    <t>"00" Natural Chlorophyl Capsule Shell</t>
  </si>
  <si>
    <t>75,000 pack</t>
  </si>
  <si>
    <t>.75 oz cup, white, PP
9984/case 20cases/pallet, 1 pallet min</t>
  </si>
  <si>
    <t>Over Cap; 10ml/20ml  Dosing cup</t>
  </si>
  <si>
    <t>QUO-04100-P1K9G3</t>
  </si>
  <si>
    <t>1 oz cup white pp (9984/case)</t>
  </si>
  <si>
    <t>WILPACK</t>
  </si>
  <si>
    <t>9,984/case</t>
  </si>
  <si>
    <t>58mm White Polypropylene Tabbed Jar Disc</t>
  </si>
  <si>
    <t>68570</t>
  </si>
  <si>
    <t>48mm White PET Sealing Disc</t>
  </si>
  <si>
    <t>55 Gallon Plastic Barrel  w/ lid and ring FDA &amp; USDA COMPL</t>
  </si>
  <si>
    <t>STEEL DRUM</t>
  </si>
  <si>
    <t>55 Gal Plastic Barrel. Food Grade. Removable Top. Includes T</t>
  </si>
  <si>
    <t>oxygen absorber Sorbo Ft-20 Prt Eng
pack size: 10/m per box</t>
  </si>
  <si>
    <t>Performance dry 1 gram, 2in1, 50S/50CB/desiccant</t>
  </si>
  <si>
    <t>DRYPAKINDUST</t>
  </si>
  <si>
    <t>PD-01AD16A19-CH_10 k/Case</t>
  </si>
  <si>
    <t>2 gram; 50S-50CB Desiccant; pack size: 6,000/bx</t>
  </si>
  <si>
    <t>2 gram silica gel desiccant</t>
  </si>
  <si>
    <t>6000/cs, not a stock item, 30 days lead time</t>
  </si>
  <si>
    <t>10 gram Tyvek wrapped silica gel desiccant</t>
  </si>
  <si>
    <t>PD-01AZ11A19-CH _ 1500/bx</t>
  </si>
  <si>
    <t>5 Gram 2-1 Carbon Silica Gel Tyvek Wrapped Desiccant</t>
  </si>
  <si>
    <t>PD-01AP16A19__3,000/box - Price Updated 2/9/22</t>
  </si>
  <si>
    <t>3 Gram Carbon Tyvek Wrapped</t>
  </si>
  <si>
    <t>1 Gram Silica Gel Tyvek ® 22mm x 32mm</t>
  </si>
  <si>
    <t>10,000 / drum</t>
  </si>
  <si>
    <t xml:space="preserve"> 1gram, 2in1, 60/40 22 x 44 desiccant</t>
  </si>
  <si>
    <t>Silica gel desiccant 3 grams</t>
  </si>
  <si>
    <t>PD-01AL11A19_5,000/BOX_FOB: CHICAGO</t>
  </si>
  <si>
    <t>16 Unit (16oz) Silica Gel Tyvek Desiccant</t>
  </si>
  <si>
    <t>PD-02BR11A16_ 150/drum</t>
  </si>
  <si>
    <t>8 Unit (8oz) Silica Gel Tyvek Wrapped Desiccant</t>
  </si>
  <si>
    <t>PD-02BQ11A16RP_300/DRUM</t>
  </si>
  <si>
    <t>Silica Gel Desiccant 1g Roll</t>
  </si>
  <si>
    <t>WISESORBENT</t>
  </si>
  <si>
    <t>A25001 2.5Kpcs/Roll</t>
  </si>
  <si>
    <t>Silica Gel Desiccant 3g Roll</t>
  </si>
  <si>
    <t>A25002 1K pcs/Roll</t>
  </si>
  <si>
    <t>Eucalyptus Oil (Eucalyptus Globalus)</t>
  </si>
  <si>
    <t>JEDWARDSINTE</t>
  </si>
  <si>
    <t>EHM1040 - (3.46 kg)</t>
  </si>
  <si>
    <t>Amacari 120ct</t>
  </si>
  <si>
    <t>CHUCK</t>
  </si>
  <si>
    <t>Gummy Bears (sugar coated)10mg CBD each</t>
  </si>
  <si>
    <t>SECTOR</t>
  </si>
  <si>
    <t>10 x 10 corrugated pad</t>
  </si>
  <si>
    <t>2oz divider, 49 cells</t>
  </si>
  <si>
    <t>ZZ-B-1003088 - 1000 ea</t>
  </si>
  <si>
    <t>1oz divider, 81 cells</t>
  </si>
  <si>
    <t>ZZ-B-1003086 - 1000 ea</t>
  </si>
  <si>
    <t>4oz Divider, 36 Cell</t>
  </si>
  <si>
    <t>ZZ-B-1003087 - 1000 ea</t>
  </si>
  <si>
    <t>VNI: Canadian Prodovite Moments INSERTS</t>
  </si>
  <si>
    <t>VICTORYNUTRI</t>
  </si>
  <si>
    <t>89/400 S70A FS5-4 foam backed universal induction liner</t>
  </si>
  <si>
    <t>38mm S105/FS5-9 Universal Liner</t>
  </si>
  <si>
    <t>Uline Laser Labels - White, 8 1⁄2 x 5 1⁄2"</t>
  </si>
  <si>
    <t>S-5044   1 box / 200 label ( 2 labels per sheet)</t>
  </si>
  <si>
    <t>Heartburn 90 ct Label</t>
  </si>
  <si>
    <t>Pump 2 PS WRAP LABEL 2.25H X 11.5W</t>
  </si>
  <si>
    <t>Life Force Peak Defense 30 Serv</t>
  </si>
  <si>
    <t>WIZARDLABEL</t>
  </si>
  <si>
    <t>FFC Cola Zero Concentrate P/S Label for 16.9oz Amcor Dome To</t>
  </si>
  <si>
    <t>FFC Cola REGULAR Concentrate P/S Label for 16.9oz Amcor Dome</t>
  </si>
  <si>
    <t>FFC Orange Concentrate P/S Label for 16.9oz Amcor Dome Top</t>
  </si>
  <si>
    <t>FFC Citron Concentrate P/S Label for 16.9oz Amcor Dome Top</t>
  </si>
  <si>
    <t>Release Me; Pressure sensitive Wrap Label</t>
  </si>
  <si>
    <t>12/sheet 2" round printable stickers for creamer cups.
Laser</t>
  </si>
  <si>
    <t>RIPPEDSHEETS</t>
  </si>
  <si>
    <t>Slimroast Coffee Stickpack Foil</t>
  </si>
  <si>
    <t>DNU_NITRO RIPSTIX 11up Stickpack Foil</t>
  </si>
  <si>
    <t>DNU *The HappyCO* Nitro Ripstix 11up Stickpack Foil</t>
  </si>
  <si>
    <t>NITRO RIPSTICK 10up STICKPACK FOIL</t>
  </si>
  <si>
    <t>DNU Elevate Coffee 11UP RIPSTIX stickpack foil_ 8.2019</t>
  </si>
  <si>
    <t>ZEST MR6_ Stickpack foil _11up RIPSTIX</t>
  </si>
  <si>
    <t>35mm Choclevate 10up ULTRA RIPSTIX sticpack foil</t>
  </si>
  <si>
    <t>STIKPA</t>
  </si>
  <si>
    <t>Isxperia X-7 60ct PS wrap label</t>
  </si>
  <si>
    <t>Elevate Coffee MR25 11UP RIPSTIX stickpack foil 10.2019</t>
  </si>
  <si>
    <t>Valentus MR201 Slimroast Optimum 10 UP RIPSTIX  ULTRA Foil</t>
  </si>
  <si>
    <t>SHIFT 2UP Ultra Ripstix Gloss</t>
  </si>
  <si>
    <t>Valentus Optimum PHLIPPINES 10UP Ripstix stickpack foi</t>
  </si>
  <si>
    <t>DNU THERMO ROAST PS WRAP LABEL</t>
  </si>
  <si>
    <t>Thermo Roast PS Wrap label for Canister</t>
  </si>
  <si>
    <t>dnu THERMO ROAST CIRCLE CAP STICKER</t>
  </si>
  <si>
    <t>Prevail THERMO COCOA PS Wrap label</t>
  </si>
  <si>
    <t>Prevail THERMO COCOA Circle Cap label</t>
  </si>
  <si>
    <t>DNU THERMO ROAST CIRCLE CAP STICKER_1.28.20 REVISION</t>
  </si>
  <si>
    <t>Thermo Roast Circle Sticker cap label</t>
  </si>
  <si>
    <t>Valentus Optimum Philippines 10UP Ripstix for Trans-Packers</t>
  </si>
  <si>
    <t>TRANSP</t>
  </si>
  <si>
    <t>Valentus Prevail Thermo Roast 11up RIPSTIX stickpack FOIL</t>
  </si>
  <si>
    <t>Elevacity Elevate MAX 23mm Foil 10up</t>
  </si>
  <si>
    <t>ElevaciTEA Chia 30mm X 6" printed stickpack foil</t>
  </si>
  <si>
    <t>BESAFE 4oz Sanitizer Gel PS Wrap Label</t>
  </si>
  <si>
    <t>Air Labels  RED ARROWS 3x4 1/4"  (500/roll)</t>
  </si>
  <si>
    <t>S-2851</t>
  </si>
  <si>
    <t>RipStix 135.466" repeat PPC for ALT 10up</t>
  </si>
  <si>
    <t>PPCFLEXIBLE</t>
  </si>
  <si>
    <t>1,000 ft per roll</t>
  </si>
  <si>
    <t>1" Clear Circle Sticker_5,000/ROLL_ (Mailing labels)</t>
  </si>
  <si>
    <t>S-5502_ or S-20228 (Jumbo Roll)</t>
  </si>
  <si>
    <t>Elevate Coffee MR25 10UP RIPSTIX stickpack foil ALT machine</t>
  </si>
  <si>
    <t>3.00 Mil White Stickpack Film (HC7521) Belmark for ALT 10up</t>
  </si>
  <si>
    <t>BELMARK</t>
  </si>
  <si>
    <t>ULTRA Ripstix 135.466" repeat PPC for ALT 10up</t>
  </si>
  <si>
    <t>6X4 (finished 3x4) White Plain 260HB</t>
  </si>
  <si>
    <t>CONSOLIDATED</t>
  </si>
  <si>
    <t>EYE MARK ONLY revise Quote# 750802</t>
  </si>
  <si>
    <t>1oz FSHO MCT Natural 1500mg LiveGood PS Wrap Label</t>
  </si>
  <si>
    <t>1oz FSHO MCT Natural 750mg LiveGood PS Wrap Label</t>
  </si>
  <si>
    <t>1oz FSHO MCT Mint 1500mg LiveGood PS Wrap Label</t>
  </si>
  <si>
    <t>1oz FSHO MCT Mint 750mg LiveGood PS Wrap Label</t>
  </si>
  <si>
    <t>1oz FSHO MCT PET 300mg LiveGood PS Wrap Label</t>
  </si>
  <si>
    <t>D3K2 60ct Label</t>
  </si>
  <si>
    <t>Live Good Womens Multivitamin 60 Ct</t>
  </si>
  <si>
    <t>Live Good Men Multivitamin 60 Ct</t>
  </si>
  <si>
    <t>Life Force Peak Rest 25 oz</t>
  </si>
  <si>
    <t>Fluorescent Green Monarch 1136  labels</t>
  </si>
  <si>
    <t>S-7978 W, GREEN, 1,750/RL.1 BX MOQ</t>
  </si>
  <si>
    <t>Fluorescent Red Monarch 1136 Labels</t>
  </si>
  <si>
    <t>EU Slimroast 11up Ripstix Stickapck foil</t>
  </si>
  <si>
    <t>Slimroast 11up Ripstix Stickpack Foil</t>
  </si>
  <si>
    <t>White/black Monarch 1136 labels S-15300</t>
  </si>
  <si>
    <t>Monarch 1136 Labels YELLOW S-7978Y</t>
  </si>
  <si>
    <t>S-7978Y, 1,750/RL</t>
  </si>
  <si>
    <t>Heat Treated STAMPED pallets for Export</t>
  </si>
  <si>
    <t>Blue Plastic Pallet</t>
  </si>
  <si>
    <t>CSS Belly Buddies PB LOT:A23294348-B</t>
  </si>
  <si>
    <t>0040</t>
  </si>
  <si>
    <t>kg</t>
  </si>
  <si>
    <t>EnVvy pwd blend lot:13260-2</t>
  </si>
  <si>
    <t>Resveratrol PWDLOT:14108-2 rework (584 btls)</t>
  </si>
  <si>
    <t>2 LB Stand Up Pouch- Silver; 500 pcs/case</t>
  </si>
  <si>
    <t>PLASTICBAGSF</t>
  </si>
  <si>
    <t>2-3 oz (60g) Flat Pouch, Silver 4-1/4" x 6-1/2"; 2000/cs</t>
  </si>
  <si>
    <t>GAYLORD BAGS 49" X 41" X 90" 4MIL item 10387-02217</t>
  </si>
  <si>
    <t>16oz White Stand Up Pouch 7" x 11-1/2" + 4"</t>
  </si>
  <si>
    <t>5lb BLK stand up Pouch item: PBY1.19-BLACK 5.4MIL</t>
  </si>
  <si>
    <t>24oz Kraft paper pouch ; 8.25  X 11.5 X 3.5  6MIL Kraft BAG</t>
  </si>
  <si>
    <t>DOUGCAREEQUI</t>
  </si>
  <si>
    <t>MUB24Z13-NZ_500 BAGS/BX</t>
  </si>
  <si>
    <t>8 oz Stand Up Pouch Black , 5-7/8" x 9" x 3-1/2</t>
  </si>
  <si>
    <t>PBY1.9_ no valve_1,000/CASE</t>
  </si>
  <si>
    <t>HappyCO Ketocre Printed Bag</t>
  </si>
  <si>
    <t>10K</t>
  </si>
  <si>
    <t>2 LB White Stand Up Pouch</t>
  </si>
  <si>
    <t>500 cs/ PBY1.17_MWHITE</t>
  </si>
  <si>
    <t>Kraft Stand-Up Barrier Pouch 5 x 8 x 2-1/2</t>
  </si>
  <si>
    <t>S-21233KRFT - 1000 per carton</t>
  </si>
  <si>
    <t>Kraft Stand-Up Barrier Pouch 7 x 11-1/2 x 4</t>
  </si>
  <si>
    <t>S-21236KRFT - 500 per carton</t>
  </si>
  <si>
    <t>Whole Wild Black Cherry (inner bark)</t>
  </si>
  <si>
    <t>Marshmallow Root</t>
  </si>
  <si>
    <t>Chipped Mullein Leaves</t>
  </si>
  <si>
    <t>Cut / Sift Peach Tree Leaf (Leaves &amp; Bark)</t>
  </si>
  <si>
    <t>R/O WATER</t>
  </si>
  <si>
    <t>Pomegranate Juice Concentrate 65 BRIX</t>
  </si>
  <si>
    <t>FRUITSMART</t>
  </si>
  <si>
    <t>FREEZE</t>
  </si>
  <si>
    <t>Natural Cloud Emulsion</t>
  </si>
  <si>
    <t>Natural MASKING Type Flavor 231a24
; 20.42 kg</t>
  </si>
  <si>
    <t>ABELEI,INC</t>
  </si>
  <si>
    <t>6 pail MOQ_20.42 kg/pail__231a24</t>
  </si>
  <si>
    <t>Exberry Red Color 153330</t>
  </si>
  <si>
    <t>GNT</t>
  </si>
  <si>
    <t xml:space="preserve"> 153330, 25 kg pail (5 gl)</t>
  </si>
  <si>
    <t>Vegetable Glycerin, Kosher</t>
  </si>
  <si>
    <t>258.54 kg/drum MOQ</t>
  </si>
  <si>
    <t>Organic Concord grape concentrate 68 Brix, 262.62 kg/Drum</t>
  </si>
  <si>
    <t>579 lbs (262.70 kgs/drum)_52gal</t>
  </si>
  <si>
    <t>Organic Cranberry Juice Concentrate, 50 Brix; 232.50 kg/drum</t>
  </si>
  <si>
    <t>23.13 kg /pail__51lbs_5gallons</t>
  </si>
  <si>
    <t>Strawberry Flavor WONF S15930; 
7-24lbs $13/ lb; 
25-99 lbs</t>
  </si>
  <si>
    <t>Raspberry Flavor R28530;
7-24lbs $15.40/lb; 
25-99 lbs $13.4</t>
  </si>
  <si>
    <t>Organic Blue Agave syrup, light, Kosher, 285 kg dr</t>
  </si>
  <si>
    <t>CIRANDA,INC.</t>
  </si>
  <si>
    <t>Red Raspberry 65 BRIX  frozen Concentrate 
; 24.90kg pail</t>
  </si>
  <si>
    <t>FLORIDABULKS</t>
  </si>
  <si>
    <t>Mixed Berry Flavor B30430
pack size:</t>
  </si>
  <si>
    <t>Raspberry Flavor R180</t>
  </si>
  <si>
    <t>Natural Masking 1100110511</t>
  </si>
  <si>
    <t>Mixed Berry Flavor 1100111500</t>
  </si>
  <si>
    <t>Cranberry Concentrate
50 Brix   Kosher
; 20.83kg pail</t>
  </si>
  <si>
    <t>USP Isopropyl ALCOHOL</t>
  </si>
  <si>
    <t>MAGNASWEET M110 (2X) LIQUID</t>
  </si>
  <si>
    <t>Cupuacu Flavor 1109711500</t>
  </si>
  <si>
    <t>Natural Citrus Flavor WONF 1109911511</t>
  </si>
  <si>
    <t>Persian Lime Concentrate 51 Brix</t>
  </si>
  <si>
    <t>NATURAL MINT FLAVOR WONF
SILESIA FLAVOR ID: 1100601502</t>
  </si>
  <si>
    <t>Org. Cloudy Lemon Juice Conc; 400 GPL 44-55 Brix, 23.13 kg p</t>
  </si>
  <si>
    <t>CANOLA OIL</t>
  </si>
  <si>
    <t xml:space="preserve"> Mint FLavor-NAT: 1100601502 WONF</t>
  </si>
  <si>
    <t>SILESIAFLAVO</t>
  </si>
  <si>
    <t>Artificial Cooling Flavor  1100410582</t>
  </si>
  <si>
    <t>Lime Concentrate 47 brix 4.62kg/gal</t>
  </si>
  <si>
    <t>Vanilla (Oil Sol) Nat WONF 6309B</t>
  </si>
  <si>
    <t>OSFFLAVORS</t>
  </si>
  <si>
    <t>6309B</t>
  </si>
  <si>
    <t>Eleuthero FE WS</t>
  </si>
  <si>
    <t>NATUREX</t>
  </si>
  <si>
    <t>ADAPTOGEN 10 PRE-BLEND (Complex Herbal Extract) containing:</t>
  </si>
  <si>
    <t>SUNRISEGLOBA</t>
  </si>
  <si>
    <t>Mango Puree 14.8  brix 215 kg/53.62 gal  per aseptic drum:</t>
  </si>
  <si>
    <t>Pineapple Juice Concentrate 61 brix 4.9kg/gal 54gal/drum 264</t>
  </si>
  <si>
    <t>Coconut water concentrate 60brix 
4.92kg/gal 5.1gal/pail</t>
  </si>
  <si>
    <t>KOSHER Orange Juice Concentrate
 65 brix : 4.99kg/gal 5gal/p</t>
  </si>
  <si>
    <t>Natural Flavor Masking Agent MA- 21016</t>
  </si>
  <si>
    <t>Natural Botanical Blast Type Flavor 189a16</t>
  </si>
  <si>
    <t>189a16; 15.43 kg/bx MOQ</t>
  </si>
  <si>
    <t>Stevia Mask Liquid</t>
  </si>
  <si>
    <t>Natural Mixed Berry Flavor Liquid 1100911528</t>
  </si>
  <si>
    <t>Talin GL95_T0006</t>
  </si>
  <si>
    <t>Blood Orange Flavor OR-166
8.34 lbs/gal, 4 gal min 
Pack siz</t>
  </si>
  <si>
    <t>Natural Vitamin &amp; Masking Flavor L17671-R
8.32/lbs/gal, 4 ga</t>
  </si>
  <si>
    <t>Natural Vinegar Toner Flavor VG-105
8.45lbs/gal, 4 gal minim</t>
  </si>
  <si>
    <t>Natural Orange Flavor Enhancer OR-198
8.04lbs/gal, 4 gal min</t>
  </si>
  <si>
    <t>Aloe Vera Gel Concentrate deodorized 10x
$3.75/lb
pack size</t>
  </si>
  <si>
    <t>CamuPure Concentrate; vs: Amazon Pack: 174.54 kg1 Drum</t>
  </si>
  <si>
    <t>ORGANIC RASPBERRY Flv NW 3001A (O); $57.80/LB</t>
  </si>
  <si>
    <t>3001A 22.68kg/bx</t>
  </si>
  <si>
    <t>Organic Natural Coconut Flv 2365A(O)
pack size: 5 gal pai</t>
  </si>
  <si>
    <t>22365A 2.68kg/bx</t>
  </si>
  <si>
    <t>Red Raspberry Flavor 904-295, 5 gal pail 19.66 kg in</t>
  </si>
  <si>
    <t>FLAVORMATIC</t>
  </si>
  <si>
    <t>Exberry Mandarin #429340
$156.77 gal for 5 gal pail    25.02</t>
  </si>
  <si>
    <t>Peach Flavor #777505
$122.08 gal for 5 gal pail    20.5613 k</t>
  </si>
  <si>
    <t>Lemon Lime Flavor #777501
$214.96 gal for 5 gal pail    17.2</t>
  </si>
  <si>
    <t>Caramel Color  #526
$14.57 gal for 5 gal pail    25.602 kg i</t>
  </si>
  <si>
    <t>Pomegranate Flavor #777507
$125.32 gal for 5 gal pail  20.18</t>
  </si>
  <si>
    <t>Pink Grapefruit Flavor #777508
$272.11 gal for 5 gal pail  1</t>
  </si>
  <si>
    <t>Caramel Color #812
$37.32 gal for 5 gal pail  25.3181 kg in</t>
  </si>
  <si>
    <t>Green Apple Flavor #777502
$238.71 gal for 5 gal pail  20.93</t>
  </si>
  <si>
    <t>Grape Flavor #777509
$142.73 gal for 5 gal pail  19.4409 kg</t>
  </si>
  <si>
    <t>Cola Flavor #777511
$133.02 gal for 5 gal pail  15.4364 kg i</t>
  </si>
  <si>
    <t>Root Beer Flavor #777512
$132.84 gal for 5 gal pail  15.5205</t>
  </si>
  <si>
    <t>Clarified Lemon Juice Concentrate (400 GPL)</t>
  </si>
  <si>
    <t>GREENWOODASS</t>
  </si>
  <si>
    <t>Clarified Lime Juice Concentrate (400 GPL - 50 Brix)</t>
  </si>
  <si>
    <t>Nopal Juice; 
Pack size: 5 gl pail contains 30 lbs of net ju</t>
  </si>
  <si>
    <t>Phosphoric Acid 75 %( food grade) item # 312459</t>
  </si>
  <si>
    <t>BRENNTAG</t>
  </si>
  <si>
    <t># 312459, $200. MOQ - Price Updated 1/2023</t>
  </si>
  <si>
    <t>Blood Orange Flavor Mission OR-228</t>
  </si>
  <si>
    <t>Sue Bee Organic Honey vs: Sue Bee brokered by Burley Foods</t>
  </si>
  <si>
    <t>BURLEYFOODS-</t>
  </si>
  <si>
    <t>Lemon Lime Flavor 309-85-A, 3.9 kg/ gl, 5 gl pail</t>
  </si>
  <si>
    <t>NORTHWESTERN</t>
  </si>
  <si>
    <t>Black Tea Extract #1200 (200 FOLD)</t>
  </si>
  <si>
    <t>SolarSea AC™  (ConcenTrace Liquid (low sodium),</t>
  </si>
  <si>
    <t>MINERALRESOU</t>
  </si>
  <si>
    <t>SolarSea 110 Liquid Minerals - 3.79 kg</t>
  </si>
  <si>
    <t>Natural Apple Flavor AP-14373</t>
  </si>
  <si>
    <t>Apple Flavor OSF 5750A</t>
  </si>
  <si>
    <t>Natural Mixed Tocopheryl Acetate 70% Oil</t>
  </si>
  <si>
    <t>Almond Oil</t>
  </si>
  <si>
    <t>ALM-VNI 1:1 Herbal Blend vs: Bio-Botanica</t>
  </si>
  <si>
    <t>BIOBOTANIC</t>
  </si>
  <si>
    <t>20/kg pail, 200 kg. MOQ - Price Updated 3/2023</t>
  </si>
  <si>
    <t>Virun natural water soluble antimicrobial; pack: 18 kg</t>
  </si>
  <si>
    <t>STAUBER</t>
  </si>
  <si>
    <t>Lemon Mint Flavor #778003 vs: flavorman</t>
  </si>
  <si>
    <t>Citrus Extract 150 VS: Arnhem P:3.97 kg</t>
  </si>
  <si>
    <t>Bitter Mask Natural 233q30 vs: FFS, PK: 3.6298kg</t>
  </si>
  <si>
    <t>FLAVORFRAG</t>
  </si>
  <si>
    <t>Lime Extract Natural 233q32 vs: FFS, PK: 3.6298kg</t>
  </si>
  <si>
    <t>Mango Flavor Natural 223q14 vs: FFS, PK: 3.6298kg</t>
  </si>
  <si>
    <t>Coffee Mocha Natural 233q31 vs: FFS, PK: 3.6298kg</t>
  </si>
  <si>
    <t>DS400 liquid Caramel</t>
  </si>
  <si>
    <t>SETHNESS</t>
  </si>
  <si>
    <t>Espresso Coffee Exract Item 142</t>
  </si>
  <si>
    <t>AUTOCRAT</t>
  </si>
  <si>
    <t>Acetic Acid</t>
  </si>
  <si>
    <t>Coconut Flavor 136a62, pk: 34 lb, 15.43 kg</t>
  </si>
  <si>
    <t>Mojito Flavor 175a53; pk: 33 lb, 14.97 kg</t>
  </si>
  <si>
    <t>Cool Mint Flavor 174a97; pk: 33 lb, 14.97 kg</t>
  </si>
  <si>
    <t>Ethyl Alcohol 190PF USP Kosher; 54gallon drums/34.5kg</t>
  </si>
  <si>
    <t>54gallon drums/34.5kg</t>
  </si>
  <si>
    <t>Natural Peppermint Flavor #2538</t>
  </si>
  <si>
    <t>TARGETFLAVOR</t>
  </si>
  <si>
    <t>18.14 kg pack (40 lg)</t>
  </si>
  <si>
    <t>Wildberry Flavor MET0003743; kosher;  vs: Metarom Flavors</t>
  </si>
  <si>
    <t>METAROM</t>
  </si>
  <si>
    <t>Raspberry Flavor kosher 188a58 vs: Abelei</t>
  </si>
  <si>
    <t>Natural Lime Extract Flavor; Item: 116504</t>
  </si>
  <si>
    <t>NATURALFLAVO</t>
  </si>
  <si>
    <t>Natural Citrus Extract Flavor Item #: 116502</t>
  </si>
  <si>
    <t>Adaptogen Lera NON Glycerin Adaptogens</t>
  </si>
  <si>
    <t>LERAGLOBAL</t>
  </si>
  <si>
    <t>Strawberry 65 BRIX Concentrate 
65 Brix;</t>
  </si>
  <si>
    <t>Mango Juice 65 BRIX frozen Concentrate 
65 Brix</t>
  </si>
  <si>
    <t>Coconut oil S1700-c vendor specific</t>
  </si>
  <si>
    <t>S1700-c RBD</t>
  </si>
  <si>
    <t>Pineapple Flv 07124</t>
  </si>
  <si>
    <t>CITROMAXFLAV</t>
  </si>
  <si>
    <t>Organic Exberry Fruit and Veggie Red No.153377; 25 kg</t>
  </si>
  <si>
    <t>Foam Blast ORG 40</t>
  </si>
  <si>
    <t>EMERALD</t>
  </si>
  <si>
    <t>Phosphoric Acid-85% #3004463</t>
  </si>
  <si>
    <t>Organic Vegetable Glycerin USP Grade, 5 gallon pail</t>
  </si>
  <si>
    <t>GLORYBEEFOOD</t>
  </si>
  <si>
    <t>Propylene Glycol</t>
  </si>
  <si>
    <t>217.72 kg MOQ - Updated 3/2022</t>
  </si>
  <si>
    <t>Organic Maple Syrup Grade B</t>
  </si>
  <si>
    <t>COOMBS</t>
  </si>
  <si>
    <t>Lemon Juice Flavor Natural WONF AF14817</t>
  </si>
  <si>
    <t>Lime Essence AF3004</t>
  </si>
  <si>
    <t>ACTIVATED WATER</t>
  </si>
  <si>
    <t>Eleuthero from SUNRISE GLOBAL</t>
  </si>
  <si>
    <t>NATURAL FLAVOR - CARAMEL</t>
  </si>
  <si>
    <t>FCI</t>
  </si>
  <si>
    <t>21032151, 18.1436 kg. MOQ</t>
  </si>
  <si>
    <t>Pepha-Tight</t>
  </si>
  <si>
    <t>CENTERCHEM</t>
  </si>
  <si>
    <t>FRIDGE</t>
  </si>
  <si>
    <t>Diocide</t>
  </si>
  <si>
    <t>pack sizes: 18kg pail; 181 kg drum</t>
  </si>
  <si>
    <t>Lemon Grass Extract</t>
  </si>
  <si>
    <t>POCANTICO</t>
  </si>
  <si>
    <t>Structured Water SK713ES</t>
  </si>
  <si>
    <t>STEVEKUSHNER</t>
  </si>
  <si>
    <t>100% Columbian Coffee Extract #310</t>
  </si>
  <si>
    <t>FINLAYS</t>
  </si>
  <si>
    <t>0231FR150__4.409 kgs/pail (5 gal pail)</t>
  </si>
  <si>
    <t>Organic Elderberry 65 BRIX JC *refrigerated*VS</t>
  </si>
  <si>
    <t>ARTEMIS INTE</t>
  </si>
  <si>
    <t>70120101_25kg pail__FOB:IN</t>
  </si>
  <si>
    <t>HEMP OIL NLT 22.5% CBD Full Spectrum</t>
  </si>
  <si>
    <t>REAKIROLABS</t>
  </si>
  <si>
    <t>THERMAROX</t>
  </si>
  <si>
    <t>ADVANCED PUR</t>
  </si>
  <si>
    <t>1 pail = 20 liters (23kgs)</t>
  </si>
  <si>
    <t>Hemp Oil Extract 10%</t>
  </si>
  <si>
    <t>CAB</t>
  </si>
  <si>
    <t>Virgin Hemp Seed Oil</t>
  </si>
  <si>
    <t>51255-D - 18 kg</t>
  </si>
  <si>
    <t>PURE Olive Oil</t>
  </si>
  <si>
    <t>S1360 - (3.5 kg pack)</t>
  </si>
  <si>
    <t>Avocado Oil</t>
  </si>
  <si>
    <t>S1020-P</t>
  </si>
  <si>
    <t>Grape Seed Oil</t>
  </si>
  <si>
    <t>S-1220-P</t>
  </si>
  <si>
    <t>Peppermint Oil (Supreme - Mentha Piperita)</t>
  </si>
  <si>
    <t>NEWDIRECTION</t>
  </si>
  <si>
    <t>4.99 kg (11 lbs)</t>
  </si>
  <si>
    <t>Natural Chicken Flavor #7065</t>
  </si>
  <si>
    <t>BLUEMOUNTAIN</t>
  </si>
  <si>
    <t>Natural Char Flavor #2007 attractant</t>
  </si>
  <si>
    <t>35lb=15.88 kgs</t>
  </si>
  <si>
    <t>Biosecur Foodgard F410B-K</t>
  </si>
  <si>
    <t>GLANBIA</t>
  </si>
  <si>
    <t>F410B-K</t>
  </si>
  <si>
    <t>HEMP OIL CONCENTRATE NLT 30% **RETESTING**</t>
  </si>
  <si>
    <t>Hemp Oil Full Spectrum 100% ( price per active KG)</t>
  </si>
  <si>
    <t>HEMP OIL NLT 67% CBD Full Spectrum</t>
  </si>
  <si>
    <t>SPEARMINT OIL 16OZ</t>
  </si>
  <si>
    <t>STARWEST</t>
  </si>
  <si>
    <t>445175-05</t>
  </si>
  <si>
    <t>Coconut Caramel Type Nat 4854B</t>
  </si>
  <si>
    <t>Coconut Peach Type Nat 4855B</t>
  </si>
  <si>
    <t>4855B</t>
  </si>
  <si>
    <t>Mint Honey Tea Nat WONF 4856B</t>
  </si>
  <si>
    <t>4856B</t>
  </si>
  <si>
    <t>HEMP OIL NLT 70% CBD Full Spectrum</t>
  </si>
  <si>
    <t>MCT OIL /3595 Kosher</t>
  </si>
  <si>
    <t>190kg(2drums) c1000</t>
  </si>
  <si>
    <t>Sour Diesel Terpenes - Density: 0.8597</t>
  </si>
  <si>
    <t>FLORAPLEX</t>
  </si>
  <si>
    <t>16oz_406.8grams</t>
  </si>
  <si>
    <t>Blueberry Concentrate 65 BRIX</t>
  </si>
  <si>
    <t>PINEAPPLE EXPRESS Terpenes - VS (Density: 0.8540)</t>
  </si>
  <si>
    <t>16oz_404.09 grams</t>
  </si>
  <si>
    <t>CBD Hemp Oil NLT 60%</t>
  </si>
  <si>
    <t>TERPENEX</t>
  </si>
  <si>
    <t>Nutrabiol T50</t>
  </si>
  <si>
    <t>NEWBROOK</t>
  </si>
  <si>
    <t>10kg pail__40kg MOQ</t>
  </si>
  <si>
    <t>Super Concentrate Fulvic &amp; Humic Liquid</t>
  </si>
  <si>
    <t>MOTHER</t>
  </si>
  <si>
    <t>381 kg MOQ (100 gallons)</t>
  </si>
  <si>
    <t>Hemp Oil  NLT 95% THC Free</t>
  </si>
  <si>
    <t>ORGANIC ORANGE JUICE **FREEZER** VS</t>
  </si>
  <si>
    <t>FOODPARTNERS</t>
  </si>
  <si>
    <t>ORGANIC COCONUT NECTAR_FLOWER SYRUP 75-80 BRIX * VS</t>
  </si>
  <si>
    <t>COPRA</t>
  </si>
  <si>
    <t>12 KG/case_ 72 cases/pallet</t>
  </si>
  <si>
    <t>ORGANIC LEMON JUICE NOT FROM CONCENTRATE *FREEZER* VS</t>
  </si>
  <si>
    <t>15 KG PAIL</t>
  </si>
  <si>
    <t>ORGANIC GINGER JUICE Unpasteurized *FREEZER* VS</t>
  </si>
  <si>
    <t>GINGERPEOPLE</t>
  </si>
  <si>
    <t>31101_18.2 Kgs_ 36 pails/pallet</t>
  </si>
  <si>
    <t>ORGANIC POMEGRANATE CONCENTRATE 65 BRIX VS *FREEZER*</t>
  </si>
  <si>
    <t>ENCOREFRUIT</t>
  </si>
  <si>
    <t>5 GAL/ 52 GAL</t>
  </si>
  <si>
    <t>ORGANIC APPLE CIDER VINEGAR VS</t>
  </si>
  <si>
    <t>GOLDENVALLEY</t>
  </si>
  <si>
    <t>55 GAL DRUM</t>
  </si>
  <si>
    <t>ORGANIC COCONUT CREME  VS</t>
  </si>
  <si>
    <t>ITITROPICALS</t>
  </si>
  <si>
    <t>DO NOT FREEZE</t>
  </si>
  <si>
    <t>ORGANIC LEMON ESSENCE  VS</t>
  </si>
  <si>
    <t>FLAVORPRODUC</t>
  </si>
  <si>
    <t xml:space="preserve"> M19LEM123520BF_</t>
  </si>
  <si>
    <t>ORGANIC ORANGE ESSENCE *FRIDGE* VS</t>
  </si>
  <si>
    <t>M19ORA264248BF_</t>
  </si>
  <si>
    <t>ORGANIC LIQUID LIONS MANE Mushroom VS</t>
  </si>
  <si>
    <t>GOURMETMUSHR</t>
  </si>
  <si>
    <t>15 kg</t>
  </si>
  <si>
    <t>ORGANIC REISHI  VS</t>
  </si>
  <si>
    <t>Hemp Oil NLT 44%</t>
  </si>
  <si>
    <t>Organic Beeswax White Granules</t>
  </si>
  <si>
    <t>FOODGUYS</t>
  </si>
  <si>
    <t>Shea Butter</t>
  </si>
  <si>
    <t>pack size?</t>
  </si>
  <si>
    <t>Arnica Herbal Oil</t>
  </si>
  <si>
    <t>18.95 kg (5 gal)</t>
  </si>
  <si>
    <t>SODIUM PCA  HUM-SOPCA-01-125</t>
  </si>
  <si>
    <t>MAKING COSME</t>
  </si>
  <si>
    <t>Lemon Juice Not From Concentrate #D334-45SP-L</t>
  </si>
  <si>
    <t>FLFREE</t>
  </si>
  <si>
    <t>Ethanol 200 proof 5 gallon Can 11678</t>
  </si>
  <si>
    <t>TARR,LLC</t>
  </si>
  <si>
    <t>Euxyl PE9010</t>
  </si>
  <si>
    <t>SCHULKE</t>
  </si>
  <si>
    <t>DNU NaOH 50% Soln</t>
  </si>
  <si>
    <t>Nat WONF Cinnamon (OIL SOLUBLE) 3295A</t>
  </si>
  <si>
    <t>ExBerry Rustic Brown</t>
  </si>
  <si>
    <t>Exberry Organics Fruit &amp; Veg Orange</t>
  </si>
  <si>
    <t>153379</t>
  </si>
  <si>
    <t>Exberry Iris Green</t>
  </si>
  <si>
    <t>Exberry Arizona Sunset</t>
  </si>
  <si>
    <t>Orange Essential Oil</t>
  </si>
  <si>
    <t>0523</t>
  </si>
  <si>
    <t>$4.99 per 1 oz SG:0.842g/mL)</t>
  </si>
  <si>
    <t>Lemon Essential Oil</t>
  </si>
  <si>
    <t>$6.49/1oz SG: 0.849g/mL)</t>
  </si>
  <si>
    <t>Jasmine Fragrance -Topical use</t>
  </si>
  <si>
    <t>$7.99/1oz_SG: 0.992 g/ML</t>
  </si>
  <si>
    <t>Camphor Oil</t>
  </si>
  <si>
    <t>EHM1250 - (3.4 kg pack)</t>
  </si>
  <si>
    <t>Pineapple Flavor type Natural MET00113814-WS</t>
  </si>
  <si>
    <t>MET00113814-WS</t>
  </si>
  <si>
    <t>Coconut Water_Frozen_6.5-8.0 BRIX</t>
  </si>
  <si>
    <t>ALOE VERA INNER LEAF GEL DECOLORIZED 1X  AG-002</t>
  </si>
  <si>
    <t>TERRYLABS</t>
  </si>
  <si>
    <t>AG-002 - 19.05 kg MOQ</t>
  </si>
  <si>
    <t>TOPICAL ONLY*SDA 40-B 190° Sugar Cane Conv.Alcohol denatured</t>
  </si>
  <si>
    <t>Vitamin E Clear</t>
  </si>
  <si>
    <t>SKU:V6005-P</t>
  </si>
  <si>
    <t>Ocean Water Soluble Fragrance</t>
  </si>
  <si>
    <t>WELLINGTON</t>
  </si>
  <si>
    <t>2.27 kg (5lb) pack</t>
  </si>
  <si>
    <t>Elderberry Juice Concentrate   65.0 Brix-VS FBS</t>
  </si>
  <si>
    <t>Triethanolamine 99%</t>
  </si>
  <si>
    <t>GREENCHEMIND</t>
  </si>
  <si>
    <t>CANNABIDIOL ISOLATE</t>
  </si>
  <si>
    <t>EXTRACTECH</t>
  </si>
  <si>
    <t>Black Cherry Nat WONF Flavor 6128</t>
  </si>
  <si>
    <t>FBS Organic Eldberry 65 BRIX</t>
  </si>
  <si>
    <t>PEAR JUICE CONCENTRATE 70 BX</t>
  </si>
  <si>
    <t>72% Ultra Broad Spectrum Distillate Non THC</t>
  </si>
  <si>
    <t>PAALMATE</t>
  </si>
  <si>
    <t>73% Ultra Broad Spectrum Distillate NON THC</t>
  </si>
  <si>
    <t>74% Ultra Broad Spectrum Distillate Non THC</t>
  </si>
  <si>
    <t>Cosmedia ® ACE</t>
  </si>
  <si>
    <t>BASF/COGNIS</t>
  </si>
  <si>
    <t>Nat Masking Type Flavor #34850 Item#:QP72</t>
  </si>
  <si>
    <t>VIRGINIA DAR</t>
  </si>
  <si>
    <t>item:QP72_45lb container MOQ:135lbs</t>
  </si>
  <si>
    <t>Blood Orange (Oil Sol) Type Nat Flavor 4523B</t>
  </si>
  <si>
    <t>4523B_MOQ:15.10 kgs_(33.26 lbs)</t>
  </si>
  <si>
    <t>Rosemary Essential Oil</t>
  </si>
  <si>
    <t>EHM1130 - (3.44 kg pack)</t>
  </si>
  <si>
    <t>8017 FACIAL BASE CREAM</t>
  </si>
  <si>
    <t>COCOJOJO</t>
  </si>
  <si>
    <t>$89/GALLON</t>
  </si>
  <si>
    <t>FS Compliant Crude &lt;0.3% THC_Potency 68%</t>
  </si>
  <si>
    <t>GVBBIOPHARMA</t>
  </si>
  <si>
    <t>Full Spectrum - $500 Price Updated 9/17/21</t>
  </si>
  <si>
    <t>Full Spectrum Compliant Distillate NLT 85% Potency test TBD</t>
  </si>
  <si>
    <t>$800 - Price Updated 9/17/21</t>
  </si>
  <si>
    <t>Ionic Collodial Silver Concentrate</t>
  </si>
  <si>
    <t>H20MINERALS</t>
  </si>
  <si>
    <t>Zinc Chloride Concentrate</t>
  </si>
  <si>
    <t>FSLV2 (Full Spectrum Lv2, Potency TBD VS)</t>
  </si>
  <si>
    <t>ECOGENBIOSCI</t>
  </si>
  <si>
    <t>Pain relief YA Cream</t>
  </si>
  <si>
    <t>208.45 kg (55 gal) - $129 per gal</t>
  </si>
  <si>
    <t>Full Spectrum Compliant Distillate NLT89%</t>
  </si>
  <si>
    <t>Price Updated 12/2022</t>
  </si>
  <si>
    <t>76% Ultra Broad Spectrum Distillate Non THC</t>
  </si>
  <si>
    <t>Hemp Seed Oil</t>
  </si>
  <si>
    <t>FRESHHEMP</t>
  </si>
  <si>
    <t>Mint Flavor 7961B</t>
  </si>
  <si>
    <t>7961B - 14.97 pack size</t>
  </si>
  <si>
    <t>Broad Spectrum Distillate (Non-THC)</t>
  </si>
  <si>
    <t>Full Spectrum Distillate</t>
  </si>
  <si>
    <t>Suncholine PC30</t>
  </si>
  <si>
    <t>PERIMON</t>
  </si>
  <si>
    <t>200 kg pack / 20 kg pack</t>
  </si>
  <si>
    <t>Lemon Flavor Oil 2192B</t>
  </si>
  <si>
    <t>14.97 kg pack</t>
  </si>
  <si>
    <t>Mixed Berry Flavor Oil 6951B</t>
  </si>
  <si>
    <t>Blueberry Flavor Oil 6118B</t>
  </si>
  <si>
    <t>Plum Flavor Oil 1820C</t>
  </si>
  <si>
    <t>Lavender Oil</t>
  </si>
  <si>
    <t>445090-07 - 3.79 kg pack</t>
  </si>
  <si>
    <t>Vanilla Flavor Oil 4214B</t>
  </si>
  <si>
    <t>Watermelon Flavor Oil 9903A</t>
  </si>
  <si>
    <t>V-One™ Hemp Heart Oil</t>
  </si>
  <si>
    <t>VICTORYFOODS</t>
  </si>
  <si>
    <t>5 gal (18.95 kg) pack size</t>
  </si>
  <si>
    <t>Sweet Almond Oil</t>
  </si>
  <si>
    <t>1 gal (3.76 kg) pack size</t>
  </si>
  <si>
    <t>85% Ultra Broad Spectrum Distillate Non THC</t>
  </si>
  <si>
    <t>Manuka Honey</t>
  </si>
  <si>
    <t>J1400-G - 5 kg pack</t>
  </si>
  <si>
    <t>87% Ultra Broad Spectrum Distillate Non THC</t>
  </si>
  <si>
    <t>Myrcene Terpenes</t>
  </si>
  <si>
    <t>.45 kg (16 oz)</t>
  </si>
  <si>
    <t>Glycerin USP BP Non-GMO</t>
  </si>
  <si>
    <t>250 kg MOQ</t>
  </si>
  <si>
    <t>Oregano Oil</t>
  </si>
  <si>
    <t>3.79 kg pack</t>
  </si>
  <si>
    <t>Safflower Oil - High Oleic</t>
  </si>
  <si>
    <t>S1540 - 3.5 kg pack</t>
  </si>
  <si>
    <t>Clove Bud Oil</t>
  </si>
  <si>
    <t>E1055 - (3.9 kg pack)</t>
  </si>
  <si>
    <t>Cinnamon Bark Oil</t>
  </si>
  <si>
    <t>E1035 - (3.96 kg pack)</t>
  </si>
  <si>
    <t>Neobee M-5®</t>
  </si>
  <si>
    <t>STEPAN</t>
  </si>
  <si>
    <t>17.98 kg (39.65lbs) pack</t>
  </si>
  <si>
    <t>42/43 DE Corn Syrup/ Glucose</t>
  </si>
  <si>
    <t>272.16 kg (600 lb drum)</t>
  </si>
  <si>
    <t>Tapioca Syrup 42/43 DE</t>
  </si>
  <si>
    <t>280kg pack</t>
  </si>
  <si>
    <t>Cereal flavor type natural (Fruity Pebbles type) MTA01093</t>
  </si>
  <si>
    <t>MTA01093 - 10kg pack</t>
  </si>
  <si>
    <t>Masking Agent Flavor Type Natural MTA00503</t>
  </si>
  <si>
    <t>MTA00503 - 10kg pack</t>
  </si>
  <si>
    <t>Castor Oil</t>
  </si>
  <si>
    <t>3.50 kg (1 gallon)</t>
  </si>
  <si>
    <t>Exberry Shade Rubescent Red 79180001</t>
  </si>
  <si>
    <t>12.47 pack size</t>
  </si>
  <si>
    <t>Hypochlorous Acid 0.046%</t>
  </si>
  <si>
    <t>OMNI-LYTE</t>
  </si>
  <si>
    <t>ALT; RESCUE ME WIP BULK BLEND IN DRUMS</t>
  </si>
  <si>
    <t>POTASSIUM SORBATE GRAN FCC</t>
  </si>
  <si>
    <t>MCUSTOMIZE</t>
  </si>
  <si>
    <t>25 kg MOQ - Updated 4/2022</t>
  </si>
  <si>
    <t>Gellan Gum-Kelcogel LT100</t>
  </si>
  <si>
    <t>CITRIC ACID ANHYDROUS (Organic Compliant)</t>
  </si>
  <si>
    <t>AMERICANINTE</t>
  </si>
  <si>
    <t>22.68kg / 50 lbs - (952.54 kg/ 2100 lbs = $4.387)</t>
  </si>
  <si>
    <t>Mangosteen P.E. 10:1</t>
  </si>
  <si>
    <t>Stevia, 97-99%, Reb-A</t>
  </si>
  <si>
    <t>HARTENCORP</t>
  </si>
  <si>
    <t>20 kg/bx, MOQ - price updated 10/2022</t>
  </si>
  <si>
    <t>CREATIVECOMP</t>
  </si>
  <si>
    <t>20 kg/dr. MOQ</t>
  </si>
  <si>
    <t>Vitamin K1- 1% -  Phytonadione or Phylloquinone</t>
  </si>
  <si>
    <t>25 kg - price updated 2/2023</t>
  </si>
  <si>
    <t>Sea Lettuce Powder</t>
  </si>
  <si>
    <t>GREEN TEA Powder 100%</t>
  </si>
  <si>
    <t>0528</t>
  </si>
  <si>
    <t>FUCOIDAN EXTRACT 85%_PWD</t>
  </si>
  <si>
    <t>FRUCTOSE, Crystalline Kosher</t>
  </si>
  <si>
    <t>F-FRUC0050, 22.679kg/bg.</t>
  </si>
  <si>
    <t>Magnesium Ascorbate 6.6%
pack size:110 LB drum (50 KG DRUM)</t>
  </si>
  <si>
    <t>Calcium Gluconate Anhydrous &gt;9.31%
pack size: 50 KG BOX</t>
  </si>
  <si>
    <t>SPECTRUMCHEM</t>
  </si>
  <si>
    <t>DL-MALIC ACID</t>
  </si>
  <si>
    <t>22.68 kg/bg</t>
  </si>
  <si>
    <t>Eleuthero Root Extract POWDER; 20 kg pack size; FOB Blooming</t>
  </si>
  <si>
    <t>Pre-Hydrated Ticaxan Xanthan EC   
Pack size: 50lb bags/  75</t>
  </si>
  <si>
    <t>0719</t>
  </si>
  <si>
    <t>Aloe Vera Gel 200:1 (WD: powder)</t>
  </si>
  <si>
    <t>L-Glutamine</t>
  </si>
  <si>
    <t>25 kg pack - Price 11/2022</t>
  </si>
  <si>
    <t>L-Leucine</t>
  </si>
  <si>
    <t>L-Isoleucine</t>
  </si>
  <si>
    <t>L-Valine</t>
  </si>
  <si>
    <t>L-Tyrosine</t>
  </si>
  <si>
    <t>Maltodextrin CR 10 Clintos, Food Grade</t>
  </si>
  <si>
    <t>PACK SIZE: 22.686 KGS - Price Update 1/2022</t>
  </si>
  <si>
    <t>L-Arginine HCL</t>
  </si>
  <si>
    <t>DONGYU</t>
  </si>
  <si>
    <t>25kg pack size</t>
  </si>
  <si>
    <t>Beta Alanine</t>
  </si>
  <si>
    <t>A&amp;APHARMACHE</t>
  </si>
  <si>
    <t>Beta Alanine, CarnoSyn®</t>
  </si>
  <si>
    <t>NATURAL ALTE</t>
  </si>
  <si>
    <t>Caffeine Anhydrous 100 % USP</t>
  </si>
  <si>
    <t>Creatine Monohydrate 
200 mesh</t>
  </si>
  <si>
    <t>DERIANUSA</t>
  </si>
  <si>
    <t>Magnesium Carbonate 25% Mg 
Pack Size: 20kg/ 2.5 kg $49.70kg</t>
  </si>
  <si>
    <t>NUTRISOLSOLU</t>
  </si>
  <si>
    <t>Tri Sodium Citrate Dihydrate 23.45% Na</t>
  </si>
  <si>
    <t>D-Alpha-Tocopheryl Acetate 700IU/G Powder, CWS</t>
  </si>
  <si>
    <t>CPS 100% Coconut Palm Sugar 100% pure evaporated nectar (50l</t>
  </si>
  <si>
    <t>Organic Aloe Vera Gel Powder, 1:200</t>
  </si>
  <si>
    <t>Sprouted Barley Malt Pwd</t>
  </si>
  <si>
    <t>MALTPRODUCTS</t>
  </si>
  <si>
    <t>Sucralose</t>
  </si>
  <si>
    <t>Deoiled Lecithin. Soy</t>
  </si>
  <si>
    <t>ADM</t>
  </si>
  <si>
    <t>Whey Protein Isolate 90% instant (water soluble);</t>
  </si>
  <si>
    <t>OSAGE</t>
  </si>
  <si>
    <t>OFP308IKSUN / 800 kg MOQ (20 kg pack)</t>
  </si>
  <si>
    <t>GTE 165, Green Tea Extract ? Powder (For Viteanol Pain Spray</t>
  </si>
  <si>
    <t>Iron; Ferrous chelate 10%</t>
  </si>
  <si>
    <t>COOLING FLAVOR</t>
  </si>
  <si>
    <t>CHOLINE DIHYDROGEN CITRATE</t>
  </si>
  <si>
    <t>Sodium Benzoate</t>
  </si>
  <si>
    <t>F-SODBENEM-55, 25 kg.MOQ</t>
  </si>
  <si>
    <t>Co Q10 CWS 10%</t>
  </si>
  <si>
    <t>GYMNEMA SYLVESTRE EXTRACT 25%</t>
  </si>
  <si>
    <t>BioPerine®</t>
  </si>
  <si>
    <t>SABINSA</t>
  </si>
  <si>
    <t>2 kg MOQ</t>
  </si>
  <si>
    <t>MAQUI BERRY FRUIT EXTRACT</t>
  </si>
  <si>
    <t>Vitamin B5 ( as Calcium D-Pantothenate)</t>
  </si>
  <si>
    <t>Vitamin A Palmitate Granular 250,000 IU/G CWS</t>
  </si>
  <si>
    <t>PATVITAMINS</t>
  </si>
  <si>
    <t>MOQ 5 kg. Increments</t>
  </si>
  <si>
    <t>ACAI FRUIT EXTRACT 4:1 10% PHENOLIC ACID
STRYKA:
NATUREX:
HA</t>
  </si>
  <si>
    <t>F-VITB6PYR-25, 25 kg. - Price Updated 1/2023</t>
  </si>
  <si>
    <t>GUGGULIPID EXTRACT 2.5% GUGGULSTERONES</t>
  </si>
  <si>
    <t>Vitamin C, Ascorbic acid</t>
  </si>
  <si>
    <t>25 kg __FOB NJ</t>
  </si>
  <si>
    <t>Choline (Choline DL-Bitartrate USP coated)</t>
  </si>
  <si>
    <t>Inositol (NF-12)</t>
  </si>
  <si>
    <t>COLEUS FORSKOHLI EXTRACT 20%
SABINSA:
STRYKA:
NATUREX:</t>
  </si>
  <si>
    <t>WHITE KIDNEY BEAN PWD (PHASEOLUS VULGARIS) EXT 4:1</t>
  </si>
  <si>
    <t>THEOBROMINE</t>
  </si>
  <si>
    <t>Chromemate CM-100M</t>
  </si>
  <si>
    <t>INTERHEALTHN</t>
  </si>
  <si>
    <t>Pack Sizes: 50gram, 100g, 1kg, 5kg, 10kg - price updated 2/2022</t>
  </si>
  <si>
    <t>Biotin 1%</t>
  </si>
  <si>
    <t>20-8421, 25 kg. MOQ (price updated 12/20/21)</t>
  </si>
  <si>
    <t>Phosphorous</t>
  </si>
  <si>
    <t>Calcium Carbonate (40% elemental) PWD  pack: 50 lb</t>
  </si>
  <si>
    <t>POWDER__22.68 kg.</t>
  </si>
  <si>
    <t>Natural Blueberry Flavor WONF</t>
  </si>
  <si>
    <t>Potassium Iodide, 77%, Kosher status pending</t>
  </si>
  <si>
    <t>23845-56225 - 5kg pack</t>
  </si>
  <si>
    <t>Potassium Citrate (36.1-37.28% K) Kosher</t>
  </si>
  <si>
    <t>8116fl - 22.68kg (50lb)</t>
  </si>
  <si>
    <t>Vitamin B12, cyanocobalamin, 100%, non-kosher</t>
  </si>
  <si>
    <t>308109, 100 Grams,  MOQ - Price Updated 3/2022</t>
  </si>
  <si>
    <t>Natural Strawberry Flavor</t>
  </si>
  <si>
    <t>Calcium (Calcium Citrate) 21%</t>
  </si>
  <si>
    <t>MOQ = 22.68</t>
  </si>
  <si>
    <t>Taurine regular 40-80 mesh, kosher</t>
  </si>
  <si>
    <t>Rose Hips Extract 10:1</t>
  </si>
  <si>
    <t>Oat Seed Powder 10:1</t>
  </si>
  <si>
    <t>Skullcap Flower Extract 10:1</t>
  </si>
  <si>
    <t>FOS (FRUCTO-OLIGOSACCHARIDES)</t>
  </si>
  <si>
    <t>INGREDIENTSB</t>
  </si>
  <si>
    <t>25 kg pack - Price Updated 7/2022</t>
  </si>
  <si>
    <t>Dehydrated Whole Prune Powder</t>
  </si>
  <si>
    <t>Brown Rice Protein Powder 80% Protein</t>
  </si>
  <si>
    <t>AGCOMMODITIE</t>
  </si>
  <si>
    <t>Chromium Chloride (19.5% Cr)</t>
  </si>
  <si>
    <t>Guarana, 22%, Kosher status pending</t>
  </si>
  <si>
    <t>20 kg pack</t>
  </si>
  <si>
    <t>Green Tea Extract 45% EGCG; 98% poly &lt;3% caffeine</t>
  </si>
  <si>
    <t>Green Tea Extract 40% EGCG; 95% poly &lt;3% caffeine</t>
  </si>
  <si>
    <t>Ginger Root Powder</t>
  </si>
  <si>
    <t>20 kg, Re-Pack Available</t>
  </si>
  <si>
    <t>Hawthorne Berry Extract 10:1</t>
  </si>
  <si>
    <t>Zinc Sulfate (23% elemental) Heptahydrate</t>
  </si>
  <si>
    <t>PANAX GINSENG EXTRACT 10% GINSENOSIDES</t>
  </si>
  <si>
    <t>Folic Acid 100% (95%-102%)</t>
  </si>
  <si>
    <t>PUREASSEY IN</t>
  </si>
  <si>
    <t>Green Tea Extract 50% EGCG</t>
  </si>
  <si>
    <t>Xanthan Gum (FASTir® Xanthan EC)</t>
  </si>
  <si>
    <t>Probiotic Blend N341</t>
  </si>
  <si>
    <t>FUTURECEUTIC</t>
  </si>
  <si>
    <t>Vitamin E d-alpha tocopheryl succinate 1250 iu/g</t>
  </si>
  <si>
    <t>Natural Vitamin E d-alpha tocopherol succinate 1250 iu/g</t>
  </si>
  <si>
    <t>Chromium Picolinate 12%/Kosher status pending</t>
  </si>
  <si>
    <t>5kg_or 1kg with $25 repack fee (pack size)</t>
  </si>
  <si>
    <t>15kg pack</t>
  </si>
  <si>
    <t>Organic Stevia, 80%, Kosher status pending</t>
  </si>
  <si>
    <t>ECUADORIANRA</t>
  </si>
  <si>
    <t>Organic Nopal Powder, Kosher status pending</t>
  </si>
  <si>
    <t>NPNUTRA</t>
  </si>
  <si>
    <t>SKU 772 - 25 kg pack - Price Updated 10/2022</t>
  </si>
  <si>
    <t>Organic Eleuthero Root</t>
  </si>
  <si>
    <t>15 kg pack</t>
  </si>
  <si>
    <t>Organic Fennel Seed powder</t>
  </si>
  <si>
    <t>EVERLITE</t>
  </si>
  <si>
    <t>Organic Peppermint Leaf Powder</t>
  </si>
  <si>
    <t>Organic Green Tea Fanniings, Kosher status pending</t>
  </si>
  <si>
    <t>PUREGROUND</t>
  </si>
  <si>
    <t>Aloe Vera Gel Extract Powder, 200:1, Kosher</t>
  </si>
  <si>
    <t>STRYKA</t>
  </si>
  <si>
    <t>1 kg MOQ  - Price Updated 6/2022</t>
  </si>
  <si>
    <t>Vitamin B12, Cyanocobalamin, 1%, Kosher status pending</t>
  </si>
  <si>
    <t>VITAMIN D3 SD PWD. (Cholecalciferol) 100,000 iu/g CWD</t>
  </si>
  <si>
    <t>Spinach Leaf Powder</t>
  </si>
  <si>
    <t>SBO-S020192, 25kg/pck</t>
  </si>
  <si>
    <t>Cucumber Powder</t>
  </si>
  <si>
    <t>Tomato Powder
Pack size: 25kg</t>
  </si>
  <si>
    <t>Carrot Root Powder</t>
  </si>
  <si>
    <t>15.88 kg pack</t>
  </si>
  <si>
    <t>Cramberry powder
Pack size: 25kg</t>
  </si>
  <si>
    <t>Lemon powder
Pack size: 25kg</t>
  </si>
  <si>
    <t>Grape powder
Pack size: 25kg</t>
  </si>
  <si>
    <t>Orange Powder
Pack size: 25kg</t>
  </si>
  <si>
    <t>Sweet Banana powder
Pack size: 25 kg</t>
  </si>
  <si>
    <t>Pineapple powder
Pack size: 25 kg</t>
  </si>
  <si>
    <t>Parsley powder
Pack size: 25 kg</t>
  </si>
  <si>
    <t>Kale powder</t>
  </si>
  <si>
    <t>SILVA</t>
  </si>
  <si>
    <t>Oat grass powder
Pack size: 25 kg</t>
  </si>
  <si>
    <t>Cabbage powder
Pack size: 25 kg</t>
  </si>
  <si>
    <t>Aloe vera leaf powder</t>
  </si>
  <si>
    <t>Magnesium Lactate Dihydrate (10% elemental)</t>
  </si>
  <si>
    <t>JOSTCHEMICAL</t>
  </si>
  <si>
    <t>Potassium (Monopotassium Phosphate) (29% K, 23% P)</t>
  </si>
  <si>
    <t>25 kg (55.1 lb bag) pack</t>
  </si>
  <si>
    <t>Acai Juice Powder</t>
  </si>
  <si>
    <t>Xylitol powder 20-60mesh for liquid applications &amp; some pwd</t>
  </si>
  <si>
    <t>25 kg./bx</t>
  </si>
  <si>
    <t>Organic Inulin Agave</t>
  </si>
  <si>
    <t>NUTRALLIANCE</t>
  </si>
  <si>
    <t>100 kg (MOQ) - 20 kg pack</t>
  </si>
  <si>
    <t>Pau D'Arco Bark Powder</t>
  </si>
  <si>
    <t>Alaria Esculenta Organic</t>
  </si>
  <si>
    <t>NATURESGARDE</t>
  </si>
  <si>
    <t>DSTROY</t>
  </si>
  <si>
    <t>Bladderwrack Fucus Vesiculos Organic 60 Mesh</t>
  </si>
  <si>
    <t>MAINECOASTSE</t>
  </si>
  <si>
    <t>BLAD026 - 20 kg bag (44lb)</t>
  </si>
  <si>
    <t>Organic Kelp Powder/Laminaria Digitata
min</t>
  </si>
  <si>
    <t>Sodium Selenite (45.5% Se) non-GMO</t>
  </si>
  <si>
    <t>Sodium Molybdate - non-GMO, (39.63% Mo)</t>
  </si>
  <si>
    <t>Folic Acid 1%, non-GMO</t>
  </si>
  <si>
    <t>Manganese Sulfate Monohydrate (32.5% Mn) Non-GMO</t>
  </si>
  <si>
    <t>Zinc Gluconate (14% Zn) - non-GMO</t>
  </si>
  <si>
    <t>22911-54424 - 25 kg pack size</t>
  </si>
  <si>
    <t>Cha de Burge Powder</t>
  </si>
  <si>
    <t>Chromium Polynicotinate NLT 12.3%</t>
  </si>
  <si>
    <t>pack size: 25 kg - Price Updated 6/2022</t>
  </si>
  <si>
    <t>FD&amp;C Red #40 Pwd
(50lb pack size)</t>
  </si>
  <si>
    <t>Stevia 99%Reb A Kosher</t>
  </si>
  <si>
    <t>Natural Caffeine &gt;98% from Green Tea</t>
  </si>
  <si>
    <t>AMAX</t>
  </si>
  <si>
    <t>20 kg - Price Updated 6/2022</t>
  </si>
  <si>
    <t>IGOB-131-Irvingia Gabonensis (Lepticyt-IG)</t>
  </si>
  <si>
    <t>GATEWAYHEALT</t>
  </si>
  <si>
    <t>Calcium Citrate 100%</t>
  </si>
  <si>
    <t>Organic Evaporated  Cane Juice (Sugar)</t>
  </si>
  <si>
    <t>CITRUS-SHIELD ORAC SUPERFRUIT FLAVONOID FORMULA 50,000 umole</t>
  </si>
  <si>
    <t>0381</t>
  </si>
  <si>
    <t>Magnesium Gluconate Powder 5.4%</t>
  </si>
  <si>
    <t>Calcium Lactate Gluconate 12.43-13.2% Ca</t>
  </si>
  <si>
    <t>JUNGBUNZLAUE</t>
  </si>
  <si>
    <t>Biotin 100%</t>
  </si>
  <si>
    <t>2 kg, or  5kg packsizes</t>
  </si>
  <si>
    <t>Acacia Fiber Powder; 40 bags per pallet;25 kg per bag; FOB</t>
  </si>
  <si>
    <t>OCEANCHEMINT</t>
  </si>
  <si>
    <t>Natural Vanilla Flavor - 1200406133 Silarom Powder</t>
  </si>
  <si>
    <t>Natural Vanilla Flavor - 1200405142; Silarom Powder</t>
  </si>
  <si>
    <t>Vanilla Cake Batter Nat Flv ; 3160A 50 lb carton</t>
  </si>
  <si>
    <t>102.30kg/bx MOQ</t>
  </si>
  <si>
    <t>Egg Protein 78-80% protein non-instantized NON GMO</t>
  </si>
  <si>
    <t>Goji Powder 20%</t>
  </si>
  <si>
    <t>Celery Seed Powder</t>
  </si>
  <si>
    <t>Calcium Sulfate</t>
  </si>
  <si>
    <t>Kiwi Fruit Juice Powder</t>
  </si>
  <si>
    <t>Sodium Bicarbonate (25% Na)</t>
  </si>
  <si>
    <t>22.68 kg pack</t>
  </si>
  <si>
    <t>Luo Han Guo 50% Mogrosides by UV</t>
  </si>
  <si>
    <t>20 kg pack - Price Updated 12/2022</t>
  </si>
  <si>
    <t>Fibersol-2 NPN</t>
  </si>
  <si>
    <t>SKIDMORESALE</t>
  </si>
  <si>
    <t>Fibersol-2 NON GMO_Matsutani</t>
  </si>
  <si>
    <t>$3.63/lb FOB West Chester, OH</t>
  </si>
  <si>
    <t>DigeSEB Plus NCN™</t>
  </si>
  <si>
    <t>SPECIALTYENZ</t>
  </si>
  <si>
    <t>Cupric Sulfate Anhydrous NCN</t>
  </si>
  <si>
    <t>Molybdenum Chelate 0.2%</t>
  </si>
  <si>
    <t>Natural Caffeine 98% from Coffee</t>
  </si>
  <si>
    <t>25 kg. MOQ</t>
  </si>
  <si>
    <t>Flax Seed Meal NCN</t>
  </si>
  <si>
    <t>Chia Seed Meal NCN</t>
  </si>
  <si>
    <t>1 kg pack size - Price Updated 1/2023</t>
  </si>
  <si>
    <t>Calcium Gluconate 98%</t>
  </si>
  <si>
    <t>Manganese Gluconate 11%</t>
  </si>
  <si>
    <t>Magnesium Lactate 100%</t>
  </si>
  <si>
    <t>CQR-300 P (Powder Gram Material)</t>
  </si>
  <si>
    <t>Apple Powder Fiber</t>
  </si>
  <si>
    <t>Yacon Smallanthus Souchifolius</t>
  </si>
  <si>
    <t>Strawberry Fruit Powder</t>
  </si>
  <si>
    <t>Colostrum 9% IgG</t>
  </si>
  <si>
    <t>AMERICANLABO</t>
  </si>
  <si>
    <t>Coconut Oil Powder NCN</t>
  </si>
  <si>
    <t>Carrageenan CL 355 H</t>
  </si>
  <si>
    <t>Whey Protein CONC 80% INSTANT US NON GMO</t>
  </si>
  <si>
    <t>Stevia 85%</t>
  </si>
  <si>
    <t>Paprika Extract Powder</t>
  </si>
  <si>
    <t>EXBERRY Shade Grape Blue Powder 
Product No.: 183922</t>
  </si>
  <si>
    <t>Grande Ultra 9100 Whey Protein Isolate 90% Kosher 15kg bags</t>
  </si>
  <si>
    <t>Acerola Juice PE 17% vitamin C (17%-19% content)</t>
  </si>
  <si>
    <t>BETATENE 7.5% Beta-Carotene  (Trademarked Item)VS.BASF</t>
  </si>
  <si>
    <t>25 kg/bg</t>
  </si>
  <si>
    <t>Soy Bean Lecithin Pwd (UltraLec P)</t>
  </si>
  <si>
    <t>Soy Bean Lecithin Pwd (UltraLec P) VS- ADM MATERIAL Identity</t>
  </si>
  <si>
    <t>FOODINGREDIE</t>
  </si>
  <si>
    <t>AppleActiv DAPP (EU) (5536901681) Organic AppleBoost</t>
  </si>
  <si>
    <t>MAYPRO</t>
  </si>
  <si>
    <t>184gm/ 3346P92L</t>
  </si>
  <si>
    <t>Bee Pollen (North American) Pwd
STARWEST, BEEHIVE, OR RAW DE</t>
  </si>
  <si>
    <t>Bee Pollen (US MATERIAL) Pwd
VS. Buzzing Bee
Pack size: 40 l</t>
  </si>
  <si>
    <t>MYSPICESAGE</t>
  </si>
  <si>
    <t>Royal Jelly (10-HDA 3.5% min) wd, Non-GMO</t>
  </si>
  <si>
    <t>NOVELINGREDI</t>
  </si>
  <si>
    <t>Precipitated Silica (Tixosil® 38A)</t>
  </si>
  <si>
    <t>CHEM/SERV</t>
  </si>
  <si>
    <t>item#20503-RHO (44.092 llb/ bag) 20 kgs/bag</t>
  </si>
  <si>
    <t>Precipitated Silica (Sipernat 22)</t>
  </si>
  <si>
    <t>Hawaiian Spirulina Pacifica Pwd; when split is required inpu</t>
  </si>
  <si>
    <t>BioVin advanced grape seed extract 5% Resveratrol.</t>
  </si>
  <si>
    <t>FIRSTNUTRITI</t>
  </si>
  <si>
    <t>Packsize: 25  kg</t>
  </si>
  <si>
    <t>Flv Mixed Berry Natural 6549JX vs: Flavor Producers</t>
  </si>
  <si>
    <t>6549JX_22.68 kg pack size</t>
  </si>
  <si>
    <t>20 Billion cfu/gram_6 Strain Probiotic Blend _Dairy Free</t>
  </si>
  <si>
    <t>12.5 Billion CFU/Gram_6-strain Probiotic blend</t>
  </si>
  <si>
    <t>25 kg/bx</t>
  </si>
  <si>
    <t>Organic Raspberry Flv Pwd; VS. Gold Coast Ingredie</t>
  </si>
  <si>
    <t>GOLDCOASTING</t>
  </si>
  <si>
    <t>316892R __ 22.68 kg</t>
  </si>
  <si>
    <t>Bilberry SE 25% Anthocyanodins_KOSHER</t>
  </si>
  <si>
    <t>MUST BE KOSHER</t>
  </si>
  <si>
    <t>Nova Scotia Dulse Pwd (Palmeria plamata)</t>
  </si>
  <si>
    <t>22.68 kg, MOQ</t>
  </si>
  <si>
    <t>Eleuthero root ext KOSHER 0.8% Eleutherococcus senticosus</t>
  </si>
  <si>
    <t>Kohser 25 kg FOB NJ</t>
  </si>
  <si>
    <t>Organic Red Beet Powder (beta vulgaris) KOSHER</t>
  </si>
  <si>
    <t>Apple Fiber Powder  AF401 Vitacel; VS. J.REITTENMEIER MATERI</t>
  </si>
  <si>
    <t>Vitacel 401, by pallets, 25kg/bg.</t>
  </si>
  <si>
    <t>Organic Dulse (Palmaria Palmata) Milled 80 mesh Pwd</t>
  </si>
  <si>
    <t>DULS087 - 22.68 kg. pack size</t>
  </si>
  <si>
    <t>Organic Dunaliella Salina Algae Powder KOSHER</t>
  </si>
  <si>
    <t>SELECTINGRED</t>
  </si>
  <si>
    <t>MUST BE KOSHER _BPO - 20 kg box</t>
  </si>
  <si>
    <t>Organic Soy Sprout Pwd; VS. NATURAL SPROUT; SUB VS. RAW DEAL</t>
  </si>
  <si>
    <t>NATURALSPROU</t>
  </si>
  <si>
    <t>Organic Acai (Euterpe oleracea) Freeze Dried Powder</t>
  </si>
  <si>
    <t>VITAFORTE</t>
  </si>
  <si>
    <t>9601-0B0-VFI__10 kg/box</t>
  </si>
  <si>
    <t>Broccoli Powder</t>
  </si>
  <si>
    <t>HP0216 - 20 kg pack - Price Updated 3/23</t>
  </si>
  <si>
    <t>Acai Fruit Powder PE 4:1</t>
  </si>
  <si>
    <t>0604</t>
  </si>
  <si>
    <t>Organic Peruvian Cocoa Powder Natural</t>
  </si>
  <si>
    <t>$5.38 price ***76555,   25kg/ bag, _3-4 day lead time__750 kg/pallet (30 bags ) $6.3707/kg</t>
  </si>
  <si>
    <t>T-Phenol 30,VS: OPTIPURE; Japanese Green Tea Extract (Camell</t>
  </si>
  <si>
    <t>KENKOINTERNA</t>
  </si>
  <si>
    <t>Flv Strawberry Natural 4051A SD Pwd USP; vs. OSF Flavors</t>
  </si>
  <si>
    <t>22.686 Kg Pack - Price Updated 6/2022</t>
  </si>
  <si>
    <t>Organic Natural Choc Flv WONF 9569 (O)</t>
  </si>
  <si>
    <t>WONF 9569, 22.680/kg.MOQ</t>
  </si>
  <si>
    <t>OPE CS: Organic SOUTH AMERICAN  Black Chia Seeds</t>
  </si>
  <si>
    <t>BUNKER</t>
  </si>
  <si>
    <t>FOB NJ, 1,000 kg. pallets units 25kg bag/ 55.12 lbs</t>
  </si>
  <si>
    <t>Alfalfa Grass pwd</t>
  </si>
  <si>
    <t>BDSNATURALPR</t>
  </si>
  <si>
    <t>Astragalus 4:1 Extract Pwd; KOSHER (Astragalus membranaceus)</t>
  </si>
  <si>
    <t>MUST BE KOSHER NON GMO -25 kg/bx $13.80_5 kg @ $19.50/kg</t>
  </si>
  <si>
    <t>Barley Grass pwd</t>
  </si>
  <si>
    <t>Blackberry Fruit Powder</t>
  </si>
  <si>
    <t>Blueberry Fruit Powder</t>
  </si>
  <si>
    <t>Echinacea Angustifolia Root PE 4-7:1</t>
  </si>
  <si>
    <t>GIVAUDAN</t>
  </si>
  <si>
    <t>EC840955, 25KG/BX - item has been discontinued</t>
  </si>
  <si>
    <t>Ginkgo biloba leaf ext NLT 24% Glycosides NLT 6% Terpene</t>
  </si>
  <si>
    <t>Organic Goji (Lycium Barbarum) Fruit Juice (Organic)</t>
  </si>
  <si>
    <t>Goji fruit juice powder</t>
  </si>
  <si>
    <t>Licorice Root 4:1 PE (BRU 3855) Glycyrrhiza glabra)</t>
  </si>
  <si>
    <t>Milk Thistle Seed SE (Silybum marianum) 80% Silymarin KOSHER</t>
  </si>
  <si>
    <t>Organic Alfalfa Grass Pwd (naturally Gluten Free)</t>
  </si>
  <si>
    <t>NHI</t>
  </si>
  <si>
    <t>MUST BE KOSHER_01005.0__20kg/bag,100  kg, MOQ</t>
  </si>
  <si>
    <t>Organic Barley Grass Powder; &lt; 50ppm Gluten</t>
  </si>
  <si>
    <t>Organic Blackberry (Rubus spp.) Fruit Powder</t>
  </si>
  <si>
    <t>GREENSOURCE</t>
  </si>
  <si>
    <t>40 kg pack MOQ - Price Updated 10/2022</t>
  </si>
  <si>
    <t>Organic Blueberry (Vaccinium corymbosum) Pwd</t>
  </si>
  <si>
    <t>40 kg. MOQ - Price Updated 6/2022</t>
  </si>
  <si>
    <t>Organic Black Chia Seed POWDER (16 mesh) sub: Organic White</t>
  </si>
  <si>
    <t>FOODSALIVE</t>
  </si>
  <si>
    <t>Organic Cranberry (Vaccinium macrocarpon) Powder (6% Quinic</t>
  </si>
  <si>
    <t>Organic Raspberry fruit powder (Rubus idacus)</t>
  </si>
  <si>
    <t>Pomegranate Fruit (Punica granatum) Pwd</t>
  </si>
  <si>
    <t>SKU7816  25kg</t>
  </si>
  <si>
    <t>Raspberry Fruit Powder</t>
  </si>
  <si>
    <t>Vanilla Bean Nat 3509B WONF Flavor PDR</t>
  </si>
  <si>
    <t>3509B PDR_50 lbs./22.7 kg</t>
  </si>
  <si>
    <t>Wheat Grass Powder</t>
  </si>
  <si>
    <t>RAWDEALINC</t>
  </si>
  <si>
    <t>Organic Acerola extract (Malpighia glabra linne; 17% to 23%)</t>
  </si>
  <si>
    <t>NEXIRA</t>
  </si>
  <si>
    <t>Organic Stevia Leaf Powder</t>
  </si>
  <si>
    <t>ZNATURAL</t>
  </si>
  <si>
    <t>8111255</t>
  </si>
  <si>
    <t>RiBran200 fine</t>
  </si>
  <si>
    <t>NUTRACEA</t>
  </si>
  <si>
    <t>RBT200, 50LB/BAG, 22.68KG/BAG, 226.80kg/MOQ</t>
  </si>
  <si>
    <t>Certified Organic Spirulina</t>
  </si>
  <si>
    <t>GCINUTRIENTS</t>
  </si>
  <si>
    <t>6971/Kosher - 25 kg pack</t>
  </si>
  <si>
    <t>L-Malic Acid - 1 isomer</t>
  </si>
  <si>
    <t>Organic Stevia Extract 85%-90%  Steviosides Pwd</t>
  </si>
  <si>
    <t>20 kg/box</t>
  </si>
  <si>
    <t>Organic Powdered Sugar</t>
  </si>
  <si>
    <t>22.68 kg pack size</t>
  </si>
  <si>
    <t>Blueberry JUICE Powder</t>
  </si>
  <si>
    <t>Vitamin A (beta Carotene 20%) KOSHER</t>
  </si>
  <si>
    <t>KOSHER - 20 kg pack</t>
  </si>
  <si>
    <t>Calcium Ascorbate (80 mesh)
Pack size: 22.72 kg (50 lb bag)</t>
  </si>
  <si>
    <t>Selenium L-Methionine complex 5000 mcg/g HFG</t>
  </si>
  <si>
    <t>Copper Gluconate, USP Powder</t>
  </si>
  <si>
    <t>N,N-Dimethyl Glycine HCL</t>
  </si>
  <si>
    <t>NUTRISCIENCE</t>
  </si>
  <si>
    <t>Lutein 5% CWS (Marigold Flower Extract)</t>
  </si>
  <si>
    <t>HE0097, 15 kg./bx</t>
  </si>
  <si>
    <t>Lycopene CWS 10% powder</t>
  </si>
  <si>
    <t>5 kg MOQ</t>
  </si>
  <si>
    <t>Phase Sodium Acid Sulfate; 50 lb bag; FOB West Chester (Cinc</t>
  </si>
  <si>
    <t>Guar Gum</t>
  </si>
  <si>
    <t>810006-Procol U, - 22.68 kg pack size</t>
  </si>
  <si>
    <t>Sodium NaCl
 (39% Na)</t>
  </si>
  <si>
    <t>22.68 KG. MOQ</t>
  </si>
  <si>
    <t>Licorice (Monoammonium Glyccyrrhizinate) Glycyrrhizic Acid 1</t>
  </si>
  <si>
    <t>MAG-NIFIQUE Powder</t>
  </si>
  <si>
    <t>WIXON</t>
  </si>
  <si>
    <t>MUST BE KOSHER_605978 __ 25 lb/bx, 11.339 kg</t>
  </si>
  <si>
    <t>Magnesium Stearate; veggie based</t>
  </si>
  <si>
    <t>15 kg. bg. MOQ - Price Updated 7/22</t>
  </si>
  <si>
    <t>Long grain rice Flour</t>
  </si>
  <si>
    <t>0377</t>
  </si>
  <si>
    <t>Vitamin E d-alpha tocopheryl succinate 1210 iu/g</t>
  </si>
  <si>
    <t>Organic Strawberry Flv (OSF 4051A(O)SD)</t>
  </si>
  <si>
    <t>22.68kg/bx  4051A(O)SD</t>
  </si>
  <si>
    <t>Selenium Titrate 1%</t>
  </si>
  <si>
    <t>Orange Flavor; 1218108074; 20kg pack size; FOB: Hoffman Esta</t>
  </si>
  <si>
    <t>Vitamin E 50% (DL Alpha Tocopheryl acetate) CWS</t>
  </si>
  <si>
    <t>L-OptiZinc®</t>
  </si>
  <si>
    <t>FG11010</t>
  </si>
  <si>
    <t>Organic Camu Camu Concentrate Vit C claim</t>
  </si>
  <si>
    <t>UHTCOCORPORA</t>
  </si>
  <si>
    <t>10 kg/bg</t>
  </si>
  <si>
    <t>Microcrystalline Cellulose</t>
  </si>
  <si>
    <t>P/N,  F-MICR00152, 20 kg/bg, MOQ</t>
  </si>
  <si>
    <t>METHYLSUFONYL METHANE PWD 40 to 60 Mesh (MSM)
Pack Size: 25</t>
  </si>
  <si>
    <t>Cinnamon Bark Powder (Cinnamomum Cassia)</t>
  </si>
  <si>
    <t>Cinnamon Bark Extract (8% Flavonoids)</t>
  </si>
  <si>
    <t>Ginger Root Extract (5% gingerols)</t>
  </si>
  <si>
    <t>Turmeric Root Powder (Curcuma longa)</t>
  </si>
  <si>
    <t>Turmeric Root Extract (95% Curcuminoids)</t>
  </si>
  <si>
    <t>20 kg./pk.</t>
  </si>
  <si>
    <t>Ashwagandha Root Powder (Withania somnifera)</t>
  </si>
  <si>
    <t>15 kg pack size</t>
  </si>
  <si>
    <t>Pure ground Madagascar Vanilla Bean  (Vanilla planifolia) VS</t>
  </si>
  <si>
    <t>ARIZONAVANIL</t>
  </si>
  <si>
    <t>Zinc Sulfate (36% elemental) Monohydrate</t>
  </si>
  <si>
    <t>Kelp Extract Powder &gt;5.0%, (Iodine)</t>
  </si>
  <si>
    <t>Vitamin D3</t>
  </si>
  <si>
    <t>MUST BE KOSHER_60-915,  25 kg Pk.</t>
  </si>
  <si>
    <t>Dandelion (Tarazacum Officinale) (Root)</t>
  </si>
  <si>
    <t>Phosphatidylcholine (LECI-PC) 12.5</t>
  </si>
  <si>
    <t>Dry Malt extract 377 from 100% barley , Certified NON GMO; V</t>
  </si>
  <si>
    <t>Chamomilla Recutita Extract
Pack size: 25 kg</t>
  </si>
  <si>
    <t>Mint Flv 320151, Pack: 11.34 kg</t>
  </si>
  <si>
    <t>Organic Cracked Cell Chlorella</t>
  </si>
  <si>
    <t>MUST BE KOSHERr- 25 kg / pk MOQ</t>
  </si>
  <si>
    <t>Raspberry ketone 99%</t>
  </si>
  <si>
    <t>Green Coffee Extract 50% chlorogenic acid</t>
  </si>
  <si>
    <t>Pure Camu Camu Powder*Vit C</t>
  </si>
  <si>
    <t>INTERNATURAL</t>
  </si>
  <si>
    <t>10kg &amp; 20 kg  FOB Pompano Origin Peru</t>
  </si>
  <si>
    <t>Hyaluronic Acid Pwd (cosmetic grade)  fermentation process</t>
  </si>
  <si>
    <t>pack size: 100grams; 500grams;1,000grams</t>
  </si>
  <si>
    <t>Sugar Granulated 
- Kosher</t>
  </si>
  <si>
    <t>MOQ 300# @ 22.72 kg/ kosher (1133 kg per pallet)</t>
  </si>
  <si>
    <t>L-Tryptophan</t>
  </si>
  <si>
    <t>25kg Bag</t>
  </si>
  <si>
    <t>Chamomile Flower</t>
  </si>
  <si>
    <t>Lemon Balm (Melissa officinalis)</t>
  </si>
  <si>
    <t>Organic Camu Camu Powder- KOSHER Certified</t>
  </si>
  <si>
    <t>MUST BE Kosher Certified</t>
  </si>
  <si>
    <t>Organic Moringa Leaf powder</t>
  </si>
  <si>
    <t>Maca Root (raw gelatinized maca root concentrate  6:1) VS: U</t>
  </si>
  <si>
    <t>10kg/bx</t>
  </si>
  <si>
    <t>Organic Maca Pro® Maca Pwd Standard VS:UHTCO</t>
  </si>
  <si>
    <t>MPROSTDPPOWBLK _ 10kg/bx,</t>
  </si>
  <si>
    <t>Yaeyama Japanese Chlorella Cracked Cell Pwd; VS: YAEYAMA
SUB</t>
  </si>
  <si>
    <t>YAEYAMA/KENY</t>
  </si>
  <si>
    <t>Chlorella powder;***TASTE TEST APPROVAL PER LOT NUMBER REQUI</t>
  </si>
  <si>
    <t>Milk Protein Isolate MPI Fonterra 4900; KOSHER VS</t>
  </si>
  <si>
    <t>BATORYFOODS</t>
  </si>
  <si>
    <t>Whey Protein Isolate;Fonterra 895 Instant; $8.05/LB 
APPROVE</t>
  </si>
  <si>
    <t>Bovine Colostrum; 25% IGG; New Zealand; VS:american labs
Pac</t>
  </si>
  <si>
    <t>Pea Protein Isolate; 55%; S85F; VS: Roquette Nutralys</t>
  </si>
  <si>
    <t>Hemp Protein Isolate; 35%; VS: Manitoba Harvest HempPro 70</t>
  </si>
  <si>
    <t>Yacon Root Powder; vs: UHTCO</t>
  </si>
  <si>
    <t>D-Ribose VS BIOENERGY</t>
  </si>
  <si>
    <t>BIOENERGY</t>
  </si>
  <si>
    <t>Green Tea Extract (Leaf Extract) 4:1</t>
  </si>
  <si>
    <t>Black Walnut Leaf Powder</t>
  </si>
  <si>
    <t>Potassium: potassium chloride 52.18%: water soluble</t>
  </si>
  <si>
    <t>113.40 kg drum MOQ</t>
  </si>
  <si>
    <t>Copper (Cupric Sulfate Anhydrous 40% Water Soluble)</t>
  </si>
  <si>
    <t>25 kg pack - Price Updated 5/2022</t>
  </si>
  <si>
    <t>Cobalt: cobalt chloride 97%; water soluble</t>
  </si>
  <si>
    <t>Iodine (potassium iodine) 76.4%; water soluble</t>
  </si>
  <si>
    <t>KO19750301 - 1kg pack size</t>
  </si>
  <si>
    <t>Selenium: sodium selenite 45.5%; water soluble</t>
  </si>
  <si>
    <t>SO206</t>
  </si>
  <si>
    <t>Manganese: manganese sulfate 32.4% ; water soluble</t>
  </si>
  <si>
    <t>Sodium Chloride 39.37%; water soluble, granular</t>
  </si>
  <si>
    <t>22.68 kg - Tru-Flo</t>
  </si>
  <si>
    <t>Zinc: zinc sulfate 36.39%; water soluble</t>
  </si>
  <si>
    <t>Z1100</t>
  </si>
  <si>
    <t>Sodium Metasilicate</t>
  </si>
  <si>
    <t>YACON POWDER-VS:UHTCO
Pack size: 10 kg</t>
  </si>
  <si>
    <t>Organic Natural Cocoa Powder 20/22 Alkalized</t>
  </si>
  <si>
    <t>20221,  25 kg/pk</t>
  </si>
  <si>
    <t>Whey Protein Isolate; FON WPI 90% 895 Instantized SF LEC K</t>
  </si>
  <si>
    <t>Acetyl L-Carnitine</t>
  </si>
  <si>
    <t>White Willow Bark Extract (Salix Alaba); 15% Salicin 
FOB NJ</t>
  </si>
  <si>
    <t>Cocoa Bean Extract (Theobroma cacao) 7%</t>
  </si>
  <si>
    <t>Apple Juice Powder;</t>
  </si>
  <si>
    <t>MAGNASWEET 100  from Mafco SUB ITEM FOR ALT-RP-0470-GP-VS (L</t>
  </si>
  <si>
    <t>Organic Gotu Kola (Centella Asiatica)</t>
  </si>
  <si>
    <t>Grape Seed (Vitis Vinifera) Extract (95% Polyphenols)</t>
  </si>
  <si>
    <t>Soy Bean Lecithin Pwd (UltraLec P) PCR NEGATIVE</t>
  </si>
  <si>
    <t>T-Phenol 60,-DISCONTINUED</t>
  </si>
  <si>
    <t>Coriander powder 
Pack size: 50 lb bag/ 22.68 kg</t>
  </si>
  <si>
    <t>GRANULAR Erythritol</t>
  </si>
  <si>
    <t>25 kg pack (55.12 lb)</t>
  </si>
  <si>
    <t>Melatonin</t>
  </si>
  <si>
    <t>10 kg pack</t>
  </si>
  <si>
    <t>5 HTP Griffonia Seed Extract</t>
  </si>
  <si>
    <t>L-THEANINE</t>
  </si>
  <si>
    <t>L-THREONINE</t>
  </si>
  <si>
    <t>Valerian Root P.E. 0.8% Valerenic Acid</t>
  </si>
  <si>
    <t>Passion Flower Extract 10:1 (Passiflora caerulea)</t>
  </si>
  <si>
    <t>HOPS STROBILE EXTRACT PWD
Pack size: 25 kg</t>
  </si>
  <si>
    <t>MAGNOLLIA BARK EXTRACT 2% PWD</t>
  </si>
  <si>
    <t>SerinAid® 70P - PHOSPHATIDYSERINE 70%; (PS/ Ptd-L-Ser)</t>
  </si>
  <si>
    <t>CHEMINUTRA</t>
  </si>
  <si>
    <t>SERINAID - 10 kg pack</t>
  </si>
  <si>
    <t>Huperzia serrata Extract (Huperzine A 1%)</t>
  </si>
  <si>
    <t>PHENIBUT HCL</t>
  </si>
  <si>
    <t>Lemon Balm Extract 5% Pwd</t>
  </si>
  <si>
    <t>Organic Barley Grass Pwd; Gluten Free &lt;20ppm; KOSHER</t>
  </si>
  <si>
    <t>MUST BE KOSHER __ 02005.0_ 20 kg/bag (100 MOQ) - Price Updated 8/2022</t>
  </si>
  <si>
    <t>Organic Wheat Grass Pwd; Gluten Free &lt;20ppm KOSHER</t>
  </si>
  <si>
    <t>MUST BE KOSHER - 20 kg pack (100 kg MOQ) - Price updated 8/2022</t>
  </si>
  <si>
    <t>Organic Mexican Black Chia Seeds (Salvia hispanica L.)
FOB:</t>
  </si>
  <si>
    <t>PACIFICGRAIN</t>
  </si>
  <si>
    <t>QUERCETIN DIHYDRATE 955</t>
  </si>
  <si>
    <t>25 kg pack - Price Updated 6/2022</t>
  </si>
  <si>
    <t>Phenylethylamine HCL PEA</t>
  </si>
  <si>
    <t>CAS# 156-28-5 - 25 kg pack</t>
  </si>
  <si>
    <t>Sunflower Lecithin Non GMO_KOSHER certified</t>
  </si>
  <si>
    <t>KOSHER_ Sunlec™ 25, or EU 83520__ 40 kg/bx, 100 kg MOQ</t>
  </si>
  <si>
    <t>FINE GRIND ALGAECAL PLANT CALCIUM  VS. ALGAECAL</t>
  </si>
  <si>
    <t>ALGAECAL</t>
  </si>
  <si>
    <t>AL013_20 kg/bag</t>
  </si>
  <si>
    <t>NATURAL VITAMIN D3 400iu</t>
  </si>
  <si>
    <t>CAMU BERRY JUICE POWDER  VS: POWDER PURE</t>
  </si>
  <si>
    <t>GOJI JUICE CONCENTRATE WHOLE FRUIT JUICE PWD
VS: POWDER PURE</t>
  </si>
  <si>
    <t>Organic Pomegranate Juice Pwd</t>
  </si>
  <si>
    <t>ORYZATEIN Silk Brown Rice Protein80 conventional</t>
  </si>
  <si>
    <t>AXIOM</t>
  </si>
  <si>
    <t>Silk80_325__pack size: 25kg__850 kg/pallet__60 day lead time - Price Updated 6/2022</t>
  </si>
  <si>
    <t>PEA PROTEIN 85%
Pack size: 20 kgs</t>
  </si>
  <si>
    <t>CUPUACU POWDER 18%</t>
  </si>
  <si>
    <t>ALGAE PROTEIN POWDER &gt;50% protein</t>
  </si>
  <si>
    <t>NUTRIM OAT BRAN</t>
  </si>
  <si>
    <t>ROSEMARY LEAF POWDER</t>
  </si>
  <si>
    <t>SAGE POWDER</t>
  </si>
  <si>
    <t>Natural Orange Flavor Spray Dried</t>
  </si>
  <si>
    <t>GOLDENSEAL LEAF POWDER</t>
  </si>
  <si>
    <t>SOY PROTEIN ISOLATE (SUPRO XT 219D SOY PROTEIN)</t>
  </si>
  <si>
    <t>ice powder; Pack size: 25 kg</t>
  </si>
  <si>
    <t>CORNSILK POWDER</t>
  </si>
  <si>
    <t>KAMUT GRASS POWDER</t>
  </si>
  <si>
    <t>LEMON GRASS POWDER</t>
  </si>
  <si>
    <t>MARSHMALLOW ROOT POWDER</t>
  </si>
  <si>
    <t>Meadowsweet herb</t>
  </si>
  <si>
    <t>OKRA POWDER</t>
  </si>
  <si>
    <t>PAPAYA LEAF POWDER;</t>
  </si>
  <si>
    <t>PLANTAIN LEAF POWDER</t>
  </si>
  <si>
    <t>SLIPPERY ELM BARK POWDER</t>
  </si>
  <si>
    <t>THYME POWDER</t>
  </si>
  <si>
    <t>WATERCRESS POWDER</t>
  </si>
  <si>
    <t>VANILLA POWDER FLAVOR 9100718</t>
  </si>
  <si>
    <t>CUPUACU JUICE POWDER</t>
  </si>
  <si>
    <t>Chamomile Extract 10%</t>
  </si>
  <si>
    <t>Advantra Z (50% synephrine)</t>
  </si>
  <si>
    <t>NUTRATECHINC</t>
  </si>
  <si>
    <t>Scotch Pine Cone Extract Powder " Proligna®" VS: ALLERA</t>
  </si>
  <si>
    <t>ALLERAHEALTH</t>
  </si>
  <si>
    <t>3 kg MOQ</t>
  </si>
  <si>
    <t>Calcium Ascorbate powder, 20-60 MESH</t>
  </si>
  <si>
    <t>DMAE BITARTRATE</t>
  </si>
  <si>
    <t>R-Gen B's™  (B-Complex)</t>
  </si>
  <si>
    <t>ORGENETICS</t>
  </si>
  <si>
    <t>RBS 130 - 25kg/box</t>
  </si>
  <si>
    <t>Spanish Bee Pollen Powder</t>
  </si>
  <si>
    <t>DELIMENT</t>
  </si>
  <si>
    <t>FULVIC AND HUMIC ACIDS</t>
  </si>
  <si>
    <t>BFG __ 25 kg/bx</t>
  </si>
  <si>
    <t>Organic Bi-Aloe Powder: 200:1 WS Concentrate vs:Lorand Labs</t>
  </si>
  <si>
    <t>LORANDLABS</t>
  </si>
  <si>
    <t>Conventional Spirulina Powder VS: Earthrise</t>
  </si>
  <si>
    <t>EARTHRISE</t>
  </si>
  <si>
    <t>SP002, - 20 kg/bx</t>
  </si>
  <si>
    <t>Organic Dandelion Root Powder</t>
  </si>
  <si>
    <t>Organic Dandelion leaf powder</t>
  </si>
  <si>
    <t>11.33 kg. MOQ, No-Re-pack</t>
  </si>
  <si>
    <t>Green Tea Extract 50% Polyphenols</t>
  </si>
  <si>
    <t>Organic Oat Grass Pwd; Gluten free; &lt;20ppm</t>
  </si>
  <si>
    <t>PINESINTERNA</t>
  </si>
  <si>
    <t>000315_20 kg pack size</t>
  </si>
  <si>
    <t>Organic Alfalfa Grass Pwd; Gluten Free; &lt;20ppm Gluten</t>
  </si>
  <si>
    <t>Organic Strawberry Whole Fruit Powder</t>
  </si>
  <si>
    <t>Min. 40 kg, 20 kg.bx</t>
  </si>
  <si>
    <t>Organic Raspberry Juice Powder</t>
  </si>
  <si>
    <t>Min. 40kg., 20 kg./bg.</t>
  </si>
  <si>
    <t>Cranberry Whole Fruit Powder</t>
  </si>
  <si>
    <t>POWDERPURE</t>
  </si>
  <si>
    <t>Blackberry (marion berry) whole fruit powder</t>
  </si>
  <si>
    <t>20 % Beta-Carotene  (Trademarked Item)VS.BASF
_DUP ITEM #</t>
  </si>
  <si>
    <t>BASF # 53387841</t>
  </si>
  <si>
    <t>Octopamine</t>
  </si>
  <si>
    <t>5 kg. /bg.</t>
  </si>
  <si>
    <t>Infinergy™  DiCaffeine Malate (74-77% Caffeine)</t>
  </si>
  <si>
    <t>25kg./bg.</t>
  </si>
  <si>
    <t>Citric acid (Organic Complaint)VS: Jungbunzlauer; Pk: 25 kg</t>
  </si>
  <si>
    <t>101643 __  min order875kg/pallet</t>
  </si>
  <si>
    <t>DL- Malic Acid; VS: Vivion; pk: 50 lb(22.68 kg)</t>
  </si>
  <si>
    <t>VIVION INC</t>
  </si>
  <si>
    <t>Natural Vanilla Flavor Pwd NON GMO</t>
  </si>
  <si>
    <t>Talin GA90_T0005(90%)</t>
  </si>
  <si>
    <t>D-Glucuronolactone; pk: 25 kg</t>
  </si>
  <si>
    <t>PRINOVA</t>
  </si>
  <si>
    <t>Hordenine HCL</t>
  </si>
  <si>
    <t>25 kg./bg.</t>
  </si>
  <si>
    <t>Red Clover Pwd (Triflium pratense)</t>
  </si>
  <si>
    <t>AMERICANBOTA</t>
  </si>
  <si>
    <t>Burdock Root Powder (Arctium Lappa)</t>
  </si>
  <si>
    <t>20-Hydroxyecdysterone 60%</t>
  </si>
  <si>
    <t>NATURAL L-Malic Acid, derived from Corn, NON GMO</t>
  </si>
  <si>
    <t>NUTRISIENCE</t>
  </si>
  <si>
    <t>L-Malic Acid, NON GMO</t>
  </si>
  <si>
    <t>Resveratrol  PE 20% (Polygonum cuspidatum Extract) KOSHER</t>
  </si>
  <si>
    <t>Resveratrol  PE 10%</t>
  </si>
  <si>
    <t>Calcium Lactate Plus Powder 17.5 %</t>
  </si>
  <si>
    <t>DRPAULLOHMAN</t>
  </si>
  <si>
    <t>ACE K (Acesulfame K)</t>
  </si>
  <si>
    <t>25 kg pack - Price updated 12/2021</t>
  </si>
  <si>
    <t>Naringin 97-99%</t>
  </si>
  <si>
    <t>Beta Cyclodextrin</t>
  </si>
  <si>
    <t>GWI</t>
  </si>
  <si>
    <t>20 kgs</t>
  </si>
  <si>
    <t>Stearic Acid, 22.69 kg</t>
  </si>
  <si>
    <t>Di Calcium Phosphate  (18% P, 23% Ca)</t>
  </si>
  <si>
    <t>25  kg bag</t>
  </si>
  <si>
    <t>Croscarmellose Sodium; 25 kg</t>
  </si>
  <si>
    <t>Yohimbe 10%, 25 kg</t>
  </si>
  <si>
    <t>CEPHAM</t>
  </si>
  <si>
    <t>Cha de Bugre Extract 10:1</t>
  </si>
  <si>
    <t>Amylase 50,000 skb/gm</t>
  </si>
  <si>
    <t>Buchu Leaf Extract 4:1 Powder</t>
  </si>
  <si>
    <t>Uva Ursi Extract 4:1 Extract Powder</t>
  </si>
  <si>
    <t>Artichoke Extract 10:1 Powder</t>
  </si>
  <si>
    <t>Fraxinus PE 10% (FraxiPure™) Powder</t>
  </si>
  <si>
    <t>EA 149251, FraxiPure™</t>
  </si>
  <si>
    <t>Sugar Cane Fiber Powder</t>
  </si>
  <si>
    <t>24886, 40 lb, 18.14 kg./bx. (1800lb MOQ) - Price Updated 1/2023</t>
  </si>
  <si>
    <t>Bamboo Fiber Powder</t>
  </si>
  <si>
    <t>J.RETTENMAIE</t>
  </si>
  <si>
    <t>Pink Himalayan Salt FINE (0-1mm) KILO</t>
  </si>
  <si>
    <t>SALTWORKS</t>
  </si>
  <si>
    <t>HIM-FNE-55 - 25 kg pack - Price Updated 6/22</t>
  </si>
  <si>
    <t>Cinnamon Bark Extract 4:1 (Cinnamomum Verum)</t>
  </si>
  <si>
    <t>20 kg/bx. MOQ</t>
  </si>
  <si>
    <t>Suma Root Powder Extract 4:1</t>
  </si>
  <si>
    <t>5, 10, 25kg.</t>
  </si>
  <si>
    <t>Beta-Ecdysterone (20-Hydroxyecdysone) 90% by UV</t>
  </si>
  <si>
    <t>10 kg min - Price Updated 6/2022</t>
  </si>
  <si>
    <t>Arginine Orotate 2:1 granular, pack: 25 kg</t>
  </si>
  <si>
    <t>Magnesium Orotate 7%, pack: 25 kg</t>
  </si>
  <si>
    <t>Di Sodium Creatine Phosphate, 25kg</t>
  </si>
  <si>
    <t>PHOENIX</t>
  </si>
  <si>
    <t>B-Nicotinamide Adenine NAD</t>
  </si>
  <si>
    <t>Eurycoma Root powder (Tongkat Ali)</t>
  </si>
  <si>
    <t>5 kg. MOQ</t>
  </si>
  <si>
    <t>Black Ant Extract powder 20:1(100% Polyrhachis vicina roger)</t>
  </si>
  <si>
    <t>CONNECTNATUR</t>
  </si>
  <si>
    <t>TribulusTerrestris Extract Saponins 40% UV</t>
  </si>
  <si>
    <t>3 kg</t>
  </si>
  <si>
    <t>Hydrilla Powder</t>
  </si>
  <si>
    <t>NAFA LLC</t>
  </si>
  <si>
    <t>OptiMSM® (Methylsulfonylmethane)</t>
  </si>
  <si>
    <t>BERGSTROMNUT</t>
  </si>
  <si>
    <t>item 10520 __ MOQ 20 kg/bx</t>
  </si>
  <si>
    <t>Yogurt Culture Powder</t>
  </si>
  <si>
    <t>N&amp;A Raspberry Flavor SD-45488</t>
  </si>
  <si>
    <t>N&amp;A Fruit Punch Flavor SD-91133</t>
  </si>
  <si>
    <t>Citral M Citrulline Malate 2 : 1</t>
  </si>
  <si>
    <t>Tribulus Prodocin 20%</t>
  </si>
  <si>
    <t>20 kg pack - Price Updated 6/2022</t>
  </si>
  <si>
    <t>1 KG. MOQ__15-20 days - Price Updated 6/2022</t>
  </si>
  <si>
    <t>Arjuna PE 8:1</t>
  </si>
  <si>
    <t>De-Oiled Lecithin Soy Powder</t>
  </si>
  <si>
    <t>AMERICANLECI</t>
  </si>
  <si>
    <t>Exberry Cherry Red Powder; 44lb/ 19.95 kg</t>
  </si>
  <si>
    <t>Lecimulthin (LPC) Pwd-VS: CARGILL</t>
  </si>
  <si>
    <t>Magnesium Citrate (16% Mg)</t>
  </si>
  <si>
    <t>Zinc Citrate 32%</t>
  </si>
  <si>
    <t>Ferrous (iron) Fumarate 32% Iron</t>
  </si>
  <si>
    <t>AICMA</t>
  </si>
  <si>
    <t>FEFQMP - 25 kg</t>
  </si>
  <si>
    <t>Nisin (Niprosin®)</t>
  </si>
  <si>
    <t>Selenium Chelate 0.2%, complexed w/amino acids &amp; rice</t>
  </si>
  <si>
    <t>Magnesium Citrate 30%</t>
  </si>
  <si>
    <t>25 kg./bx MOQ</t>
  </si>
  <si>
    <t>Manganese Citrate 28%, mang. complexed w/ citric acid</t>
  </si>
  <si>
    <t>Rutin NLT 95%</t>
  </si>
  <si>
    <t>Bovine Collagen Protein</t>
  </si>
  <si>
    <t>DELTAPROTEIN</t>
  </si>
  <si>
    <t>Natural Vanilla Cream SD-59110</t>
  </si>
  <si>
    <t>SD-59110 - 13.6077 kg/pail</t>
  </si>
  <si>
    <t>Horse tail extract 7%, 25 kg</t>
  </si>
  <si>
    <t>AUNUTRA</t>
  </si>
  <si>
    <t>Apple cider vinegar powder, 20kg</t>
  </si>
  <si>
    <t>Garcinia Cambogia Fruit Extract 50%</t>
  </si>
  <si>
    <t>pack size: 20 kg</t>
  </si>
  <si>
    <t>Garcinia Cambogia Fruit Extract 60%</t>
  </si>
  <si>
    <t>Cayenne pepper fruit powder; 30,000-90,000 HU</t>
  </si>
  <si>
    <t>SEAWINDFOODS</t>
  </si>
  <si>
    <t>100CCP50</t>
  </si>
  <si>
    <t>L-Ornithine AKG extract 1:1</t>
  </si>
  <si>
    <t>L-Lysine HCL</t>
  </si>
  <si>
    <t>Zinc Orotate 15%</t>
  </si>
  <si>
    <t>KELATRONCORP</t>
  </si>
  <si>
    <t>Jujuba Extract 5:1</t>
  </si>
  <si>
    <t>COREINGREDIE</t>
  </si>
  <si>
    <t>POLYGONUM CUSPIDATUM EXTRACT 5:1</t>
  </si>
  <si>
    <t>TIANCHENG</t>
  </si>
  <si>
    <t>Mucuna Puriens NLT 98% (L-DOPA)</t>
  </si>
  <si>
    <t>Organic Kale Powder</t>
  </si>
  <si>
    <t>Dragon Fruit PE 10:1</t>
  </si>
  <si>
    <t>Lemon Flavor SD Natural 3251034411.00</t>
  </si>
  <si>
    <t>22.62 kg- 3251034411.00</t>
  </si>
  <si>
    <t>Oregon grape powder</t>
  </si>
  <si>
    <t>ST John' s wort extract Hypericins 0.3% UV</t>
  </si>
  <si>
    <t>Aquamin™(F) (250100) KOSHER</t>
  </si>
  <si>
    <t>MUST BE KOSHER_25284- 57880, pack size:20kg</t>
  </si>
  <si>
    <t>D-Aspartic Acid</t>
  </si>
  <si>
    <t>UNICHEM</t>
  </si>
  <si>
    <t>25 kg/bg.</t>
  </si>
  <si>
    <t>Benzoic acid, 25 kg</t>
  </si>
  <si>
    <t>Shilajit Extract Fulvic Acid 20%</t>
  </si>
  <si>
    <t>N-Acetyl-D-Glucosamine; 25 kg</t>
  </si>
  <si>
    <t>Vitamin E D-Alpha tocopherol Acetate 700 IU/G SD powder</t>
  </si>
  <si>
    <t>Saw Palmetto Berry extract 4:1</t>
  </si>
  <si>
    <t>50 kg pack</t>
  </si>
  <si>
    <t>L-Glutamic acid</t>
  </si>
  <si>
    <t>Nettle root extract 4:1</t>
  </si>
  <si>
    <t>Pygeum africanum extract 13%</t>
  </si>
  <si>
    <t>Beta sitosterol 5%</t>
  </si>
  <si>
    <t>Garlic powder</t>
  </si>
  <si>
    <t>White mulberry powder</t>
  </si>
  <si>
    <t>White Tea PE 80% polyphenols / 30% EGCG</t>
  </si>
  <si>
    <t>A.M.P. Citrate (2-Amino-4-Methylpentane Citrate)</t>
  </si>
  <si>
    <t>Pumpkin seed oil extract (25% fatty acids)</t>
  </si>
  <si>
    <t>G63 Cernitin flower pollen 20:1 Powder-VS-Trademark Graminex</t>
  </si>
  <si>
    <t>GRAMINEX</t>
  </si>
  <si>
    <t>Zinc Bisglycinate Chelate</t>
  </si>
  <si>
    <t>ALBION</t>
  </si>
  <si>
    <t>03506-XX-KG0025 - 25 kg MOQ</t>
  </si>
  <si>
    <t>Shiitake Mushroom PE 4:1</t>
  </si>
  <si>
    <t>Calcium Caseinate 90% Protein</t>
  </si>
  <si>
    <t>20 kg/ bg</t>
  </si>
  <si>
    <t>Red Palm Oil Powder (Tocotrienol Powder)</t>
  </si>
  <si>
    <t>Quinoa Trim TM -  Organic vs: Futureceuticals</t>
  </si>
  <si>
    <t>N980, 20 kg./bx</t>
  </si>
  <si>
    <t>Natural Vanilla Cream WONF #SD-59185</t>
  </si>
  <si>
    <t>WONF# SD-59185, - 13.6 kg (30 lb)</t>
  </si>
  <si>
    <t>Berberine Hydrochloride 97% HPLC granular</t>
  </si>
  <si>
    <t>pTeroPure Pterostilbene</t>
  </si>
  <si>
    <t>Ubidecarenone ( CoQ10 )</t>
  </si>
  <si>
    <t>Papain 2000 USP/MG-NON GMO; 25 kg</t>
  </si>
  <si>
    <t>5 kg.</t>
  </si>
  <si>
    <t>Bromelain 2400 GDU/G</t>
  </si>
  <si>
    <t>Green tea 50% caffeine</t>
  </si>
  <si>
    <t>Rhodiola Rosea Extract 3% rosavins / 1% salidroside</t>
  </si>
  <si>
    <t>Green Tea 98% Polyphenols / 70% EGCG</t>
  </si>
  <si>
    <t>Yerba Mate leaf extract 8% caffeine; 25 kg</t>
  </si>
  <si>
    <t>Rhodiola Rosea P.E. 1% salidroside</t>
  </si>
  <si>
    <t>25 kg pack size - Price Updated 6/2022</t>
  </si>
  <si>
    <t>Black tea extract 60% Polyphenols</t>
  </si>
  <si>
    <t>CLA oil powder DK-FG 50% WS/NO maltodextrin</t>
  </si>
  <si>
    <t>FENUSTEROLS®(FENUGREEK STEROLS) 8:1-10:1</t>
  </si>
  <si>
    <t>Organic Stevia Reb A 98%</t>
  </si>
  <si>
    <t>Betaine Anhydrous-Natural (TMG)</t>
  </si>
  <si>
    <t>ActiVin™ (Grape seed extract)</t>
  </si>
  <si>
    <t>Bacopa Monnieri Ext 20% USP grade</t>
  </si>
  <si>
    <t>Organic Erythritol 18-35 mesh for liquids only</t>
  </si>
  <si>
    <t>PYUREBRANDS,</t>
  </si>
  <si>
    <t>Rose Hips Pwd_Origin:South Africa_VS</t>
  </si>
  <si>
    <t>22.68kg_50lb_ NO CHINA MATERIAL</t>
  </si>
  <si>
    <t>Superoxide Dismutase</t>
  </si>
  <si>
    <t>Catalase 1000 iu/g</t>
  </si>
  <si>
    <t>Fringe Tree Bark powder (chionanthus virginicus)</t>
  </si>
  <si>
    <t>Luo Han Guo 80% Mogrosides; Kosher</t>
  </si>
  <si>
    <t>Bilberry extract 4:1</t>
  </si>
  <si>
    <t>Natural Devil's Food Cake Type Flavor S.D. 123a71</t>
  </si>
  <si>
    <t>Natural Chocolate Flavor WONF Powder SD 131a203</t>
  </si>
  <si>
    <t>elevATP</t>
  </si>
  <si>
    <t>FlavorSweet 40001135</t>
  </si>
  <si>
    <t>25kg_ 40001135 - Price Updated 12/2022</t>
  </si>
  <si>
    <t>DNU___Whey Protein Concentrate 80% Undenatured vsAgrimark</t>
  </si>
  <si>
    <t>Flv Ground Madagascar vanilla bean-VS- Bakto Flavors</t>
  </si>
  <si>
    <t>BAKTOFLAVORS</t>
  </si>
  <si>
    <t>Methocel K4 Red controlled release powder</t>
  </si>
  <si>
    <t>UNIVAR</t>
  </si>
  <si>
    <t>Cocoa Bean Extract (Theobroma cacao) 10%</t>
  </si>
  <si>
    <t>Luo Han Guo (Monk Fruit) 40% VS:AMAX</t>
  </si>
  <si>
    <t>Natural Flavor Powder (Beef Type) #13004144, KOSHER</t>
  </si>
  <si>
    <t>Zinc Fumerate 36% (zinc gluconate/oxide comp w/fumaric acid)</t>
  </si>
  <si>
    <t>Boswellia Serrata Extract  70% Boswellic acid</t>
  </si>
  <si>
    <t>Peanut Butter Flavor 69004145, KOSHER</t>
  </si>
  <si>
    <t>Peanut Butter Flv M507776BF</t>
  </si>
  <si>
    <t>Garbanzo bean flour; 22.68 kg</t>
  </si>
  <si>
    <t>Rolled Oats; 22.68 kg</t>
  </si>
  <si>
    <t>Dried whole egg solids, &gt;3% moisture, 39% fat, 40.5% protein</t>
  </si>
  <si>
    <t>Baking Powder</t>
  </si>
  <si>
    <t>22.68 kg pack - 8271ga</t>
  </si>
  <si>
    <t>Organic Ashwagandha root powder</t>
  </si>
  <si>
    <t>Beef Liver Powder #650</t>
  </si>
  <si>
    <t>HENNINGSEN</t>
  </si>
  <si>
    <t>Clarinol Powder Kosher (OptiCla); 10 kg</t>
  </si>
  <si>
    <t>CHEMPOINT</t>
  </si>
  <si>
    <t>L-Methylfolate Calcium</t>
  </si>
  <si>
    <t>1kg pack</t>
  </si>
  <si>
    <t>Digeseb SUPER PET</t>
  </si>
  <si>
    <t>Exclzyme PET</t>
  </si>
  <si>
    <t>Dry Vitamin K1 5% SD</t>
  </si>
  <si>
    <t>5 kg pack size</t>
  </si>
  <si>
    <t>BEEF TYPE PWD 4 #900</t>
  </si>
  <si>
    <t>Glucosamine Hydrochloride (HCI)</t>
  </si>
  <si>
    <t>Natural Vanilla Bean</t>
  </si>
  <si>
    <t>S&amp;SFLAVORS</t>
  </si>
  <si>
    <t>DIM (3,3' - DIINDOLYMETHANE)</t>
  </si>
  <si>
    <t>SAM-e (50% SAM ion) S-ANDENOSYL-L-METHIONINE DISULPHATE</t>
  </si>
  <si>
    <t>Sodium Carboxymethylcellulose (CMC A-360)</t>
  </si>
  <si>
    <t>SOLKA-FLOC 200 FCC - Cellulose</t>
  </si>
  <si>
    <t>Calcium D-Glucarate USP</t>
  </si>
  <si>
    <t>ERYLITE Erythritol F8030 Fine- Vendor Specific</t>
  </si>
  <si>
    <t>Sodium Molybdate (0.396% Mo)</t>
  </si>
  <si>
    <t>$800 MOQ</t>
  </si>
  <si>
    <t>Green Tea 45% EGCG 75% Catechins; 95 PolyphPwd, &lt;1% Caffeine</t>
  </si>
  <si>
    <t>MUST BE KOSHER **15KG MOQ  FOB:NJ</t>
  </si>
  <si>
    <t>DNA-Na (Deoxyribonucleic Acid Sodium Salt)</t>
  </si>
  <si>
    <t>Chlorella Extract Powder - Chlorella Growth Factor (CGF)</t>
  </si>
  <si>
    <t>Astaxanthin 2% by UV</t>
  </si>
  <si>
    <t>PHARM-RX</t>
  </si>
  <si>
    <t xml:space="preserve"> (25 kg. Pack Size)</t>
  </si>
  <si>
    <t>Waxy Maize (Corn Starch Amylopectin)</t>
  </si>
  <si>
    <t>Pea Protein Isolate 80% NON GMO</t>
  </si>
  <si>
    <t>COMPOUND</t>
  </si>
  <si>
    <t>CocOganic (Organic Freeze Dried Coconut Water Powder)</t>
  </si>
  <si>
    <t>pack size: 7.5 kg pack _SKU 724</t>
  </si>
  <si>
    <t>Organic Burdock Root Powder</t>
  </si>
  <si>
    <t>Orgen C (Organic Amla Extract 50%)</t>
  </si>
  <si>
    <t>Organic Maitake Mushroom PE 4:1</t>
  </si>
  <si>
    <t>Organic Green Instant Tea</t>
  </si>
  <si>
    <t>AMERICANINST</t>
  </si>
  <si>
    <t>Organic Black Instant Tea</t>
  </si>
  <si>
    <t>Organic White Instant Tea</t>
  </si>
  <si>
    <t>Organic Artichoke Leaf Powder (Cynara scolymus)</t>
  </si>
  <si>
    <t>FLORIDAHERBH</t>
  </si>
  <si>
    <t>Andrographis 10%</t>
  </si>
  <si>
    <t>SNK Proprietary Blend IB9701</t>
  </si>
  <si>
    <t>INTERNATIONA</t>
  </si>
  <si>
    <t>Calcium HMB (Hydroxymethylbutyrate)</t>
  </si>
  <si>
    <t>AUSVITA</t>
  </si>
  <si>
    <t>Omega 3 Fish Oil Powder 30/20 MF-NG</t>
  </si>
  <si>
    <t>CONNOILS</t>
  </si>
  <si>
    <t>29563,  25 kg. / bx</t>
  </si>
  <si>
    <t>Potassium Bicarbonate (39% K)</t>
  </si>
  <si>
    <t>POT BICAR FG - KU 22.68kg bags</t>
  </si>
  <si>
    <t>Nat. Masking Flavor #SD-42740</t>
  </si>
  <si>
    <t>Citric Acid Anhydrous, Sucroal S.A.</t>
  </si>
  <si>
    <t>809148, 22.68kg/bag, $500. MOQ</t>
  </si>
  <si>
    <t>Protykin 50% Trans Resveratrol</t>
  </si>
  <si>
    <t>L- Glycine</t>
  </si>
  <si>
    <t>Quercetin Anhydrous 99.5% Granular Powder</t>
  </si>
  <si>
    <t>25 kg/pk</t>
  </si>
  <si>
    <t>Richmix HO Sun 50-NT (18313) Creamer VS Sensory Effects</t>
  </si>
  <si>
    <t>SENSORYEFFEC</t>
  </si>
  <si>
    <t>18313-NPH - 907.18kg MOQ - Price Updated 11/2022</t>
  </si>
  <si>
    <t>Sodium Alginate Food Grade</t>
  </si>
  <si>
    <t>PHARMA</t>
  </si>
  <si>
    <t>PROVON 295 IP; Ireland WPI 90% NON GMO WHEY KOSHER</t>
  </si>
  <si>
    <t>GLANBIA2</t>
  </si>
  <si>
    <t>Fonterra 392 WPC 80% - WHEY PROTEIN CONCENTRATE 80%</t>
  </si>
  <si>
    <t>Sodium Ascorbate</t>
  </si>
  <si>
    <t>25 MOQ</t>
  </si>
  <si>
    <t>Alpha A-GPC 50% WSP Water soluble powder  (AlphaSize)</t>
  </si>
  <si>
    <t>Bovine Colostrum 70-30l 30%IgG 50% Protein NON GMO</t>
  </si>
  <si>
    <t>THEMILKYWHEY</t>
  </si>
  <si>
    <t>20 kg/Bx</t>
  </si>
  <si>
    <t>A.T.P. MINERAL PREBLEND</t>
  </si>
  <si>
    <t>Probiotic Proprietary Blend 7203ALS3501</t>
  </si>
  <si>
    <t>MCT Oil Pwd 50-50 #29520 Food GradeTapioca FG Non GMO</t>
  </si>
  <si>
    <t>25 kg, MOQ</t>
  </si>
  <si>
    <t>Psyllium Husk 85%</t>
  </si>
  <si>
    <t>Organic Turmeric Root</t>
  </si>
  <si>
    <t>ID-aLG (Brown Seaweed Concentrate)</t>
  </si>
  <si>
    <t>PF001437__20kg__FOB NJ - Price Updated 12/2022</t>
  </si>
  <si>
    <t>ChiaMax™</t>
  </si>
  <si>
    <t>VALENSAINTER</t>
  </si>
  <si>
    <t>Organic Astragalus P.E. 10:1</t>
  </si>
  <si>
    <t>SKU 810 - 25 kg pack</t>
  </si>
  <si>
    <t>Broccoli JUICE pwd</t>
  </si>
  <si>
    <t>Apple PECTIN Powder</t>
  </si>
  <si>
    <t>5 or 10 kgs</t>
  </si>
  <si>
    <t>Carrot JUICE pwd</t>
  </si>
  <si>
    <t>Cauliflower pwd</t>
  </si>
  <si>
    <t>Cilantro Powder</t>
  </si>
  <si>
    <t>Blueberry Extract 4:1 pwd</t>
  </si>
  <si>
    <t>Resveratrol 98% Trans-resveratrol HPLC Kosher</t>
  </si>
  <si>
    <t>ReserveNature_1 KG BROKEN PACKS AVAILABLE</t>
  </si>
  <si>
    <t>Red Beet Powder</t>
  </si>
  <si>
    <t>Organic Apple Fiber Powder KOSHER</t>
  </si>
  <si>
    <t>MUST BE KOSHER_White Star WS 400 25 kg</t>
  </si>
  <si>
    <t>Tixosil® 68B FCC Kosher</t>
  </si>
  <si>
    <t>ID884121_ 12.50 kgs/bag</t>
  </si>
  <si>
    <t>Theacrine</t>
  </si>
  <si>
    <t>SINOCHEM</t>
  </si>
  <si>
    <t>Lactospore 15B ®</t>
  </si>
  <si>
    <t>Natural Berry Type Flavor 09054155 4X</t>
  </si>
  <si>
    <t>BevGrad Xsmooth Flax</t>
  </si>
  <si>
    <t>Alkalized Cocoa Powder (Red Russet Cocoa) 10-12%</t>
  </si>
  <si>
    <t>50LB_22.68_1 pallet 500 lbs (price break at 2,000 lbs)</t>
  </si>
  <si>
    <t>Natural Chocolate Type Flavor 24132155 2X</t>
  </si>
  <si>
    <t>Organic erythritol ERYSWEET 30mesh for powder</t>
  </si>
  <si>
    <t>STEVIABRANDS</t>
  </si>
  <si>
    <t>Xylitol Fine Powder 100 MESH for pwd products</t>
  </si>
  <si>
    <t>250 kg.MOQ</t>
  </si>
  <si>
    <t>TEACRINE®</t>
  </si>
  <si>
    <t>5 kg pack/ 5-20 = $587 / 25-100 = 524</t>
  </si>
  <si>
    <t>Eria Jarensis Extract</t>
  </si>
  <si>
    <t>25 kg./Dr., 50 kg.MOQ</t>
  </si>
  <si>
    <t>Organic Amaranth</t>
  </si>
  <si>
    <t>SKU 1100 - 15 kg pack</t>
  </si>
  <si>
    <t>ALMOND SPROUT POWDER</t>
  </si>
  <si>
    <t>WALNUT SPROUT POWDER</t>
  </si>
  <si>
    <t>Clinoptilolite 40-Mesh</t>
  </si>
  <si>
    <t>IDA-ORE</t>
  </si>
  <si>
    <t>HOPS OIL</t>
  </si>
  <si>
    <t>HOPSTAINER</t>
  </si>
  <si>
    <t>Prebiosure™ Digestive Wheat Germ Extract</t>
  </si>
  <si>
    <t>#6218</t>
  </si>
  <si>
    <t>Natural Hawaiian Punch Flavor WONF FP24612</t>
  </si>
  <si>
    <t>Natural Mixed Berry Flv WONF 327931</t>
  </si>
  <si>
    <t>Natural Masking Agent 315241 Flv</t>
  </si>
  <si>
    <t>Beet Leaf Powder</t>
  </si>
  <si>
    <t>Organic Nu-FLOW® 70 R</t>
  </si>
  <si>
    <t>RIBUSINC</t>
  </si>
  <si>
    <t>35lb pack size</t>
  </si>
  <si>
    <t>Laponite® XLG</t>
  </si>
  <si>
    <t>EES</t>
  </si>
  <si>
    <t>25 KG__$200.00 MOQ</t>
  </si>
  <si>
    <t>Zeolite Powder -100 mesh (20lb Bags)</t>
  </si>
  <si>
    <t>KMIZEOLITE</t>
  </si>
  <si>
    <t>20lb Bagged Material Only</t>
  </si>
  <si>
    <t>Lemon Grass Extract 10:1 Pwd</t>
  </si>
  <si>
    <t>Lutein 5% Flower Pwd</t>
  </si>
  <si>
    <t>USPHARMALAB</t>
  </si>
  <si>
    <t>L-Citulline DL-Maltate 1:1</t>
  </si>
  <si>
    <t>TART CHERRY EXTRACT 10:1 Pwd</t>
  </si>
  <si>
    <t>Natural Mango Flv 317564</t>
  </si>
  <si>
    <t>CherryPURE</t>
  </si>
  <si>
    <t>ANDERSON</t>
  </si>
  <si>
    <t>Pink Lemonade Flavor Natural 651804</t>
  </si>
  <si>
    <t>SUMAC BERRY WHOLE PWD</t>
  </si>
  <si>
    <t>Saffron Extract .3%</t>
  </si>
  <si>
    <t>NUTRIENT INO</t>
  </si>
  <si>
    <t>MOQ: 5 kg</t>
  </si>
  <si>
    <t>PHOSPHOLIPON 85G</t>
  </si>
  <si>
    <t>228297 _1 kg,10kg,20kg</t>
  </si>
  <si>
    <t>Nat Bing Cherry Type Flavor pwd CH-42613</t>
  </si>
  <si>
    <t>TICALOID 1155</t>
  </si>
  <si>
    <t>TICGUMS</t>
  </si>
  <si>
    <t>50lb (22.68 kg)__10 day lead time__FOB Belcamp MD</t>
  </si>
  <si>
    <t>Alcolec C20 Lecithin</t>
  </si>
  <si>
    <t>L. Acidophilus 1 billion cfu/gram</t>
  </si>
  <si>
    <t>1,5-Dimethylhexylamine HCL__ 2 Amino 6 Methylheptane HCL</t>
  </si>
  <si>
    <t>SMARTCHEM</t>
  </si>
  <si>
    <t>TELCUM Magnesium Silicate</t>
  </si>
  <si>
    <t>Espresso Coffee Nat Flv Wonf 7509A pwd</t>
  </si>
  <si>
    <t>Clean Cream™ (Vegan, Sunflower)</t>
  </si>
  <si>
    <t>20 kg box - Price Update 1/2022</t>
  </si>
  <si>
    <t>Calcium (as Calcium glycinate chelate buffered) TRAACS®</t>
  </si>
  <si>
    <t>Chromium Nicotinate Glycinate Chelate pwd 2.5% chr</t>
  </si>
  <si>
    <t>03492 - 5 kg - Updated 12/2022</t>
  </si>
  <si>
    <t>Magnesium Bisglycinate Chelate Buffered Granular 18% Mg</t>
  </si>
  <si>
    <t>Vanadium Nicotinate Glycinate Chelate 1%V pwd</t>
  </si>
  <si>
    <t>Potassium Glycinate Complex 18%K</t>
  </si>
  <si>
    <t>03145 - 25 kg - Updated 12/2022</t>
  </si>
  <si>
    <t>Selenium Glycinate</t>
  </si>
  <si>
    <t>ITEM:3522 - 5 kg - Updated 5/2022</t>
  </si>
  <si>
    <t>Espresso Coffee Natural Flv WONF 1455B Kosher</t>
  </si>
  <si>
    <t xml:space="preserve"> WONF 1455B_22.72 kg_50LB_2 weeks</t>
  </si>
  <si>
    <t>Canola Lecithin Alcolec C20- kosher</t>
  </si>
  <si>
    <t>NATURAL CHOCOLATE FLAVOR WONF SD-88430</t>
  </si>
  <si>
    <t>SD-88430__13.61 KG/Pail__136.1 kg MOQ__12 day lead time</t>
  </si>
  <si>
    <t>Suntheanine 100% pure trademarked</t>
  </si>
  <si>
    <t>&lt;9kg $425/kg__FOB Trumbull, CT__10kg $400/kg</t>
  </si>
  <si>
    <t>White Kidney Bean Extract Fabenol Phaseolamin 8,000 units</t>
  </si>
  <si>
    <t>Fabenol_#1641_Kosher_25kg_FOB NJ or UT</t>
  </si>
  <si>
    <t>Green Instant Tea KF7G</t>
  </si>
  <si>
    <t>AII</t>
  </si>
  <si>
    <t>2 Amino 5 Methylheptane HCl (Juglans Regia Extract)</t>
  </si>
  <si>
    <t>RUSHUNCHEM</t>
  </si>
  <si>
    <t>2-Aminoisoheptane5</t>
  </si>
  <si>
    <t>Espresso Spray Dried Coffee</t>
  </si>
  <si>
    <t>Fabenol 20,000 units White Kidney Bean Extract</t>
  </si>
  <si>
    <t>Item# 1643_20,000 units FOB NJ</t>
  </si>
  <si>
    <t>Copper Bisglycinate Chelate 10%</t>
  </si>
  <si>
    <t>item: 03502 - 5 kg - Updated 5/2022</t>
  </si>
  <si>
    <t>Cordyceps mushroom mycelia extract 10:1 PE</t>
  </si>
  <si>
    <t>EXTRACT 10:1 PE, 25kg pack size</t>
  </si>
  <si>
    <t>Manganese Bisglycinate Chelate 16% Mn</t>
  </si>
  <si>
    <t>item:3505 - 5kg - Updated 5/2022</t>
  </si>
  <si>
    <t>Fenugreek Seed Extract 4:1 PE</t>
  </si>
  <si>
    <t>GYMNEMA SYLVESTRE 75% Gymnemic Acid</t>
  </si>
  <si>
    <t>ProBioseb Multi 20 Billion</t>
  </si>
  <si>
    <t>MANGANESE PROTEINATE COMPLEX 20%</t>
  </si>
  <si>
    <t>ProbioSEB Multi 10 billion cfu/gram</t>
  </si>
  <si>
    <t>Pack size: 25kg</t>
  </si>
  <si>
    <t>Indian S/D Coffee (Freeze Concentrate)</t>
  </si>
  <si>
    <t>GROUNDUP</t>
  </si>
  <si>
    <t>XANTHOHUMOL 4%</t>
  </si>
  <si>
    <t>NUTRAMAX</t>
  </si>
  <si>
    <t>5-10 DAY LEAD TIME_ PRICE CFR BY AIR</t>
  </si>
  <si>
    <t>VegOtein™ P80- Pea Protein vs: Axiom</t>
  </si>
  <si>
    <t>CONCENTRACE AC (120 Mesh) (Magnesium Chloride)</t>
  </si>
  <si>
    <t>TRACEMINERAL</t>
  </si>
  <si>
    <t>ViNitrox™ apple-grape</t>
  </si>
  <si>
    <t>25 kg pack - PFI200249</t>
  </si>
  <si>
    <t>AJUGA TURKESTANICA EXTRACT 20:1</t>
  </si>
  <si>
    <t>GANESHAHERBS</t>
  </si>
  <si>
    <t>ORGANIC Carrot Juice powder</t>
  </si>
  <si>
    <t>Deoiled Sunflower Lecithin Powder</t>
  </si>
  <si>
    <t>PROBIOTIC BLEND (7206AL10BG1)</t>
  </si>
  <si>
    <t>3239B PWD Espresso Natural WONF flavor</t>
  </si>
  <si>
    <t>Natural Masking Type 1201002112</t>
  </si>
  <si>
    <t>1201002112 - 100 kg MOQ - Price Updated 11/2022</t>
  </si>
  <si>
    <t>ORGEN-FA</t>
  </si>
  <si>
    <t>Calcium Lactate Excelent Grade 12.7-13.6%</t>
  </si>
  <si>
    <t>Natural Grapefruit WONF #SD-10188</t>
  </si>
  <si>
    <t>SD-10188</t>
  </si>
  <si>
    <t>Glucono-Delta-Lactone</t>
  </si>
  <si>
    <t>PROFOOD</t>
  </si>
  <si>
    <t>CITRUS BIOFLAVINOIDS 50%</t>
  </si>
  <si>
    <t>ANMAR</t>
  </si>
  <si>
    <t>Xanthohumol 15% Wild Hops Flower</t>
  </si>
  <si>
    <t>BADMONKEY</t>
  </si>
  <si>
    <t>Organic Lemon Powder</t>
  </si>
  <si>
    <t>REF#PFI500414 - 25 kg pack</t>
  </si>
  <si>
    <t>Sodium BHB 80%</t>
  </si>
  <si>
    <t>MAGNESIUM BHB 71%</t>
  </si>
  <si>
    <t>CALCIUM BHB 82%</t>
  </si>
  <si>
    <t>MCT 40% Powder C8-C10</t>
  </si>
  <si>
    <t>PINEAPPLE NAT WONF 5122 PWD</t>
  </si>
  <si>
    <t>Organic Medium/short grain WHITE rice flour FINE powder</t>
  </si>
  <si>
    <t>PGPINTERNATI</t>
  </si>
  <si>
    <t>Organic LONG  grain BROWN rice flour FINE powder</t>
  </si>
  <si>
    <t>Packaging – 50lb. paper valve bags</t>
  </si>
  <si>
    <t>L-Carnosine</t>
  </si>
  <si>
    <t>VITAJOY</t>
  </si>
  <si>
    <t>Histidine  HCL</t>
  </si>
  <si>
    <t>Green Tea Extract L Theanine 60%</t>
  </si>
  <si>
    <t>BOTANIEX</t>
  </si>
  <si>
    <t>Ship DHL AIR_45kg/drum_FOB Changsha China</t>
  </si>
  <si>
    <t>rBGH free Avonlac 282 SWC Whey Concentrate 80%</t>
  </si>
  <si>
    <t>item:1041835_20kg/35 per pallet_FOB:Clovis NM</t>
  </si>
  <si>
    <t>Jujube Fruit P.E. 10:1</t>
  </si>
  <si>
    <t>RIAINTERNATI</t>
  </si>
  <si>
    <t>Uva Ursi Leaf Powder</t>
  </si>
  <si>
    <t>AS1LB Super Premium Colombian coffee with microground</t>
  </si>
  <si>
    <t>CORDIALSA</t>
  </si>
  <si>
    <t>MCT 70% powder</t>
  </si>
  <si>
    <t>510120-kg-20 / 20kg drum</t>
  </si>
  <si>
    <t>Coffee Nat WONF 3917B_OSF</t>
  </si>
  <si>
    <t>3917B_22.72kg_50#Bag</t>
  </si>
  <si>
    <t>Organic Butter Powder</t>
  </si>
  <si>
    <t>BLUEGRASS</t>
  </si>
  <si>
    <t>ORG1006 - MOQ=226.8 kg (500 lbs)</t>
  </si>
  <si>
    <t>Sel Gris Celtic Salt</t>
  </si>
  <si>
    <t>11.36 kgs_25lbs bag (5lb also available)</t>
  </si>
  <si>
    <t>Centennial I Coconut powder- Allergen: contains MILK</t>
  </si>
  <si>
    <t>SENSORY</t>
  </si>
  <si>
    <t>178301 - 22.68kg pack size</t>
  </si>
  <si>
    <t>PROMITOR ™ SCF 70 BG B0050L BPO04509</t>
  </si>
  <si>
    <t>Stevia Masker Nat Flv 3964B</t>
  </si>
  <si>
    <t>L-Phenylalanine</t>
  </si>
  <si>
    <t>HEMP JUICE POWDER 2.4% ECN VENDOR SPECIFIC</t>
  </si>
  <si>
    <t>SANAHEMPUSA</t>
  </si>
  <si>
    <t>True Orange Non- GMO 13-9063/13-7026</t>
  </si>
  <si>
    <t>TRUECITRUS</t>
  </si>
  <si>
    <t>13-9063 - price updated 5/2022</t>
  </si>
  <si>
    <t>True Lemon Original Non- GMO #13-9061</t>
  </si>
  <si>
    <t>13-9061 - 22.68 kg pack</t>
  </si>
  <si>
    <t>True Lemon JuiceW/Pectin  Non- GMO #13-9076</t>
  </si>
  <si>
    <t>13-9076 - Price Updated 5/2022</t>
  </si>
  <si>
    <t>Organic NuMAG</t>
  </si>
  <si>
    <t>25kg_NET15</t>
  </si>
  <si>
    <t>Sorbitol Gran 50lb bag</t>
  </si>
  <si>
    <t>Methylparaben</t>
  </si>
  <si>
    <t>Propylparaben</t>
  </si>
  <si>
    <t>Cabosil M-5</t>
  </si>
  <si>
    <t>Natural Chicken Flavor</t>
  </si>
  <si>
    <t>Inhance P001 (flavor component)</t>
  </si>
  <si>
    <t>SODIUM CMC CARBOXYMETHYL CELLULOSE A-2000</t>
  </si>
  <si>
    <t>XYLITOL 35-70 mesh</t>
  </si>
  <si>
    <t>PANASOURCEIN</t>
  </si>
  <si>
    <t>25 kg pack - 100 kg MOQ</t>
  </si>
  <si>
    <t>AEROSIL 200 -meets USP/FCC</t>
  </si>
  <si>
    <t>Organic Luo Han Guo 50% Mongrisides</t>
  </si>
  <si>
    <t>Erythritol FINE Powder</t>
  </si>
  <si>
    <t>100047168</t>
  </si>
  <si>
    <t>Crystalline CBD and Terpene powder 99% + CBD</t>
  </si>
  <si>
    <t>KAZMIRA</t>
  </si>
  <si>
    <t>Lemon Nat WONF 2211 Powder</t>
  </si>
  <si>
    <t>Raspberry Nat WONF 9863A Powder</t>
  </si>
  <si>
    <t>Green Tea Extract 15% EGCT/ NLT 90% Polyphenols (as VASO6™)</t>
  </si>
  <si>
    <t>$160/KG</t>
  </si>
  <si>
    <t>Masking Agent Flavor type natural MET0006686</t>
  </si>
  <si>
    <t>Dynamine (Methylliberine) 99% PURE - VS</t>
  </si>
  <si>
    <t>products: PURE PERK * OPTIMUM COFFEE _Vendor Specific__5kg MOQ</t>
  </si>
  <si>
    <t>Citrus Aurantium Extract (30% Synephrine)</t>
  </si>
  <si>
    <t>Citrus Bioflavonoids (30% Hesperidin) from citrus aurantium</t>
  </si>
  <si>
    <t>FOB LA__25kg MOQ</t>
  </si>
  <si>
    <t>Luo Han Gua Monkfruit 50% Mongrosides vs (Organic)</t>
  </si>
  <si>
    <t>CUSTOMCHEMIC</t>
  </si>
  <si>
    <t>5kg_APURA Material</t>
  </si>
  <si>
    <t>Germanium 132 (GE-132) Sesquioxide</t>
  </si>
  <si>
    <t>Water-Soluble Flax Seed Oil Powder, 70% (Non-GMO)</t>
  </si>
  <si>
    <t>UNITEDINGRED</t>
  </si>
  <si>
    <t>100% Organic Mushroom Blend PeakO2® VS</t>
  </si>
  <si>
    <t>CS: CBD Full spectrum concentrate 99% pwd</t>
  </si>
  <si>
    <t>MIKEL</t>
  </si>
  <si>
    <t>Organic Non-Alk 10/12 Cocoa Powder Item Code: ON01</t>
  </si>
  <si>
    <t>Natural Masking Flavor 2251B</t>
  </si>
  <si>
    <t>Natural Pineapple Grapefruit flavor 4627B</t>
  </si>
  <si>
    <t>PACK SIZE???</t>
  </si>
  <si>
    <t>Instant Black SL1MM Type</t>
  </si>
  <si>
    <t>Uva Ursi Extract 10:1 Extract Powder</t>
  </si>
  <si>
    <t>Guava 4:1 Extract Powder</t>
  </si>
  <si>
    <t>NUTRICARGO</t>
  </si>
  <si>
    <t>Holy Basil 4:1 Extract Powder</t>
  </si>
  <si>
    <t>Lemon Peel 4:1 Exrtract Powder</t>
  </si>
  <si>
    <t>Glucevia</t>
  </si>
  <si>
    <t>Natural Blueberry Flavor 6551 powder</t>
  </si>
  <si>
    <t>Lemon Peel 10:1 Exrtract Powder</t>
  </si>
  <si>
    <t>Holy Basil 10:1 Extract Powder</t>
  </si>
  <si>
    <t>Guava 10:1 Extract Powder</t>
  </si>
  <si>
    <t>Organic Strawberry Juice powder</t>
  </si>
  <si>
    <t>40 kg MOQ - Price Updated10/2022</t>
  </si>
  <si>
    <t>Vanilla Natural WONF 3494B powder</t>
  </si>
  <si>
    <t>CareFlow Mango Extract</t>
  </si>
  <si>
    <t>VITALSOLUTIO</t>
  </si>
  <si>
    <t>Price Updated 10/2022</t>
  </si>
  <si>
    <t>Humic Powder (contains fulvic)- KOSHER Certified</t>
  </si>
  <si>
    <t>LIVEEARTH</t>
  </si>
  <si>
    <t>Quercus Robur (Robuvit)-VS</t>
  </si>
  <si>
    <t>HORPHAG</t>
  </si>
  <si>
    <t>Pine Bark Extract  95%</t>
  </si>
  <si>
    <t>Arabinogalactans "Resist Aid" Powder VS</t>
  </si>
  <si>
    <t>LONZA</t>
  </si>
  <si>
    <t>CoQ10 as MicroActive VS: Maypro</t>
  </si>
  <si>
    <t>5kg MOQ  VS: Maypro</t>
  </si>
  <si>
    <t>NADH powder VS:ENADA</t>
  </si>
  <si>
    <t>ENADA</t>
  </si>
  <si>
    <t>1 kg Packsize (request split possible)</t>
  </si>
  <si>
    <t>Elite Shungit Powder</t>
  </si>
  <si>
    <t>KARELIAN</t>
  </si>
  <si>
    <t>+Plus Shipping and customs duty in Russia $241</t>
  </si>
  <si>
    <t>Activated Charcoal (coconut ultra fine powder)</t>
  </si>
  <si>
    <t>CHARCOALHOUS</t>
  </si>
  <si>
    <t>C-1120 - - 60 kg MOQ (3-44 lb bags)</t>
  </si>
  <si>
    <t>ORGANIC POMEGRANATE JUICE PWD VS</t>
  </si>
  <si>
    <t>SKU 776 - 15 kg pack</t>
  </si>
  <si>
    <t>Pyridoxal - 5 - Phosphate</t>
  </si>
  <si>
    <t>5 kg pack size - price updated 2/2022</t>
  </si>
  <si>
    <t>DL Phenylalanine</t>
  </si>
  <si>
    <t>25KG - Price Updated 1/2023</t>
  </si>
  <si>
    <t>VS- Passiflora Incarnata 3.5% vitexin</t>
  </si>
  <si>
    <t>EUROMED</t>
  </si>
  <si>
    <t>Frutafit ® CLR (Chicory Root Powder)</t>
  </si>
  <si>
    <t>SENSUS</t>
  </si>
  <si>
    <t>1st order : MOQ: 2 bags; 20kg/bag= 40kg</t>
  </si>
  <si>
    <t>Sour Candy Nat WONF 3961B Pwdr _OSF</t>
  </si>
  <si>
    <t>Pomegranate VitaGRANATE 40% ellagic acid VS</t>
  </si>
  <si>
    <t>Copper (cupric Sulfate Pentahydrate USP)</t>
  </si>
  <si>
    <t>Cocoa Extract  Cocoabuterol</t>
  </si>
  <si>
    <t>WINHEALTHINT</t>
  </si>
  <si>
    <t>5 kg ($330) or 25 kg ($300) - Price Updated 5/2022</t>
  </si>
  <si>
    <t>ISOLATE</t>
  </si>
  <si>
    <t>AJINOMOTO</t>
  </si>
  <si>
    <t>EDTA   PRV-EDTA-01-125</t>
  </si>
  <si>
    <t>VITAMIN C (L-ASCORBIC ACID) VIT-VITC-01-50</t>
  </si>
  <si>
    <t>HYALURONIC ACID ECOCERT  HUM-HYAL-01-10</t>
  </si>
  <si>
    <t>Whey Fonterra 392 WPC 80% W/sunflower lecithin</t>
  </si>
  <si>
    <t>Maca Root Extract 20:1 pwd</t>
  </si>
  <si>
    <t>Fenugreek Seed Extract 10:1 pwd std. to 50% Saponins</t>
  </si>
  <si>
    <t>0518</t>
  </si>
  <si>
    <t>L- Carnitine Fumarate</t>
  </si>
  <si>
    <t>L-Citrulline</t>
  </si>
  <si>
    <t>25 kg pack - Price Updated 11/2022</t>
  </si>
  <si>
    <t>Horny Goat Weed Extract Pwd (Epimedium 20% Icariin)</t>
  </si>
  <si>
    <t>Lycopene CWS 5 %</t>
  </si>
  <si>
    <t>Zinc Gluconate 12% Zinc, USP, FCC Grade</t>
  </si>
  <si>
    <t>Mocha Natural Flavor 4526B Pwd</t>
  </si>
  <si>
    <t>Salted Caramel 8944A Natural Flavor Pwd</t>
  </si>
  <si>
    <t>Probiotic 3 Blend Dairy Free 67 b/cfu</t>
  </si>
  <si>
    <t>PB3-67B-DF-FOSMC-AL</t>
  </si>
  <si>
    <t>SOY Lecithin  LECL1K</t>
  </si>
  <si>
    <t>BULKSUPLEMET</t>
  </si>
  <si>
    <t>Crystal Tex 627M</t>
  </si>
  <si>
    <t>INGREDION</t>
  </si>
  <si>
    <t>Dextrin K4484</t>
  </si>
  <si>
    <t>Xanthohumol (Humulus) Extract Powder VS:B.Monkey</t>
  </si>
  <si>
    <t>EnoSTIM™  (Vinitrox + Saffron) PFI200304</t>
  </si>
  <si>
    <t>pack size: 25 kg_see notes tab for price breaks - Price Updated 2/18/22</t>
  </si>
  <si>
    <t>NeuroFactor (Coffee Cherry Extract)</t>
  </si>
  <si>
    <t>pack size: 20 kg  (see notes tab for price breaks)</t>
  </si>
  <si>
    <t>5-Methyl-7-Methoxy Isoflavone</t>
  </si>
  <si>
    <t>Lemon NAT WONF Flavor 2593B PDR</t>
  </si>
  <si>
    <t>2593B PDR__FOB CT ($10.40/lb)</t>
  </si>
  <si>
    <t>Xanthohumol ( Humulus Extract) 5%</t>
  </si>
  <si>
    <t>Hops Dry Extract 4% (xanthhumol) Select Botanical</t>
  </si>
  <si>
    <t>SELECTBOTANI</t>
  </si>
  <si>
    <t>Cocoa Butter 75% Powder-VS</t>
  </si>
  <si>
    <t>Item:7602_25 kg MOQ_Matt Titlow approved pricing</t>
  </si>
  <si>
    <t>Calcium Silicate</t>
  </si>
  <si>
    <t>13.6 kg pack</t>
  </si>
  <si>
    <t>CBG Isolate 99%</t>
  </si>
  <si>
    <t>1 kg pack</t>
  </si>
  <si>
    <t>234S28 FFS COFFEE NAT SD FLAVOR</t>
  </si>
  <si>
    <t>True Lime Granular, non-GMO</t>
  </si>
  <si>
    <t>00-7470 - Price Updated 5/2022</t>
  </si>
  <si>
    <t>Grape Flavor #44022175</t>
  </si>
  <si>
    <t>Strawberry Watermelon 6239B</t>
  </si>
  <si>
    <t>Vitamin K2 (menaquinone 7) (MK-7) 1% powder DCP</t>
  </si>
  <si>
    <t>1 kg pack size</t>
  </si>
  <si>
    <t>Bitter Masker Nat Flavor 3115B Powder</t>
  </si>
  <si>
    <t>MOTHERMURPHY</t>
  </si>
  <si>
    <t>POWD. NAT BITTER MASKER 2621273</t>
  </si>
  <si>
    <t>45.36 kg MOQ (100 lbs)</t>
  </si>
  <si>
    <t>Green Tea Extract 98% Polyphenols, 50% EGCG, &lt;1% Caffeine</t>
  </si>
  <si>
    <t>Beet Powder Steam treated air dried</t>
  </si>
  <si>
    <t>#477</t>
  </si>
  <si>
    <t>Orange Flavor Natural 1761A Powder</t>
  </si>
  <si>
    <t>P-Synephrine HCL &gt;/= 98%</t>
  </si>
  <si>
    <t>25kg drum - Price Updated 1/2023</t>
  </si>
  <si>
    <t>CURCUMIN C3 COMPLEX</t>
  </si>
  <si>
    <t>Gold Coast Natural Masking Agent # 313794</t>
  </si>
  <si>
    <t>313794</t>
  </si>
  <si>
    <t>Black Currant Natural WONF 1900A</t>
  </si>
  <si>
    <t>Blackberry Hibiscus 6207B PDR</t>
  </si>
  <si>
    <t>Blackberry Flavor 5506B</t>
  </si>
  <si>
    <t>Natural Vanilla Bean Flavor WONF #M817913BF</t>
  </si>
  <si>
    <t>M817931bf - 22.68 pk size</t>
  </si>
  <si>
    <t>Lubrizol Carbopol Ultrez 10 NF Polymer</t>
  </si>
  <si>
    <t>ESSENTIAL</t>
  </si>
  <si>
    <t>Sodium hydroxide dr, beaded caustic soda, solid caustic sod</t>
  </si>
  <si>
    <t>Chromium Polynicotinate(nicotinate) 9.5 - 10.5%</t>
  </si>
  <si>
    <t>Coffee flavor WONF Cappuccino type MET0000875</t>
  </si>
  <si>
    <t>MET0000875 / kosher</t>
  </si>
  <si>
    <t>Key Lime Pie 3862A Natural Flavor pwd</t>
  </si>
  <si>
    <t>Key lime Pie 3861A Natural flavor Pwd</t>
  </si>
  <si>
    <t>PIE CRUST 4847B NATURAL FLAVOR PDR</t>
  </si>
  <si>
    <t>Vanilla Flavor Type natural ( French type) MET0010545</t>
  </si>
  <si>
    <t>MET0010545</t>
  </si>
  <si>
    <t>BLACK INSTANT TEA TYPE:CD</t>
  </si>
  <si>
    <t>TYPE: CD_25kg pack sizse</t>
  </si>
  <si>
    <t>Bayberry Root Bark PE 80% Myricetin HPLC (Myrica Rubra)</t>
  </si>
  <si>
    <t>Green Coffee Bean Extract NLT: 50% Chlorogentiic 10% 5-CQA</t>
  </si>
  <si>
    <t>Botanisure Onion (Allium cepa) Extract 90% Quercetin-VS</t>
  </si>
  <si>
    <t>Oliggo-Fiber® inulin F97 from chicory root</t>
  </si>
  <si>
    <t>Price Updated 1/2023</t>
  </si>
  <si>
    <t>Organic Tapioca Maltodextrin DE10</t>
  </si>
  <si>
    <t>20 kg (44.09 lb)</t>
  </si>
  <si>
    <t>NU - MAG</t>
  </si>
  <si>
    <t>25kg-250kg_25kg pack size</t>
  </si>
  <si>
    <t>NAT Wildberry Flavor MET0000365</t>
  </si>
  <si>
    <t>ET0000365</t>
  </si>
  <si>
    <t>Fat replacer flavor natural MET0010352</t>
  </si>
  <si>
    <t>MET0010352_25 kg</t>
  </si>
  <si>
    <t>Org. Strawberry 4325B-O</t>
  </si>
  <si>
    <t>22.68 kg MOQ</t>
  </si>
  <si>
    <t>Organic Hawthorn Berry Powder</t>
  </si>
  <si>
    <t>YOHIMBINE HCL NLT 98%</t>
  </si>
  <si>
    <t>1 KG MOQ - Price Updated 1/2023</t>
  </si>
  <si>
    <t>Salt Masker 2955B</t>
  </si>
  <si>
    <t>FOB Windsor CT</t>
  </si>
  <si>
    <t>Guava Type Nat Flavor 3558B PDR</t>
  </si>
  <si>
    <t>Organic Cinnamon Powder</t>
  </si>
  <si>
    <t>Neuravena (Oat Straw Extract)</t>
  </si>
  <si>
    <t>FRUITAROM</t>
  </si>
  <si>
    <t>packsize???</t>
  </si>
  <si>
    <t>Carbomer 980</t>
  </si>
  <si>
    <t>Caustic Potash Flake &amp; Crystal</t>
  </si>
  <si>
    <t>50lb BAG _22.686 kgs / bag</t>
  </si>
  <si>
    <t>PEACH NAT WONF 6412A PDR</t>
  </si>
  <si>
    <t>Zinc Ascorbate 15% Zn</t>
  </si>
  <si>
    <t>25kg packs &amp; MOQ</t>
  </si>
  <si>
    <t>Steviarome 2050 Natural Flavor</t>
  </si>
  <si>
    <t>ALMENDRA</t>
  </si>
  <si>
    <t>Pack size @ MOQ: 20kg - Price Updated 1/2022</t>
  </si>
  <si>
    <t>Steviose 100 (Stevia Leaf Extract)</t>
  </si>
  <si>
    <t>Pack size @ MOQ: 20 kg</t>
  </si>
  <si>
    <t>Reishi Mushroom (Gandoerma Lucidium)</t>
  </si>
  <si>
    <t>MOQ: 25 kg</t>
  </si>
  <si>
    <t>Chaga ((Organic inonotus obliquus)</t>
  </si>
  <si>
    <t>GCI Item#: 0811_ pack size: 20 kg</t>
  </si>
  <si>
    <t>Organic Cordyceps powder</t>
  </si>
  <si>
    <t>GCI Item#:0800_ pack size 20kg</t>
  </si>
  <si>
    <t>pHase</t>
  </si>
  <si>
    <t>TLCINGREDIEN</t>
  </si>
  <si>
    <t>pack size: (22.72kg)_50lb_FOB Crest Hill IL</t>
  </si>
  <si>
    <t>Sweet Cream Type Nat Flavor 7190B PDR</t>
  </si>
  <si>
    <t>Pumpkin Spice Flavor Type 4977B PDR</t>
  </si>
  <si>
    <t>Vanilla (French Type) NAT WONF FLAVOR 6878 PDR</t>
  </si>
  <si>
    <t>pack size: 22.68 kg</t>
  </si>
  <si>
    <t>OVOMET NLT 90% Protein ALLERGEN</t>
  </si>
  <si>
    <t>Xanthohumol  (Humulus) Extract Powder</t>
  </si>
  <si>
    <t>Hyaluronic Acid (food grade)</t>
  </si>
  <si>
    <t>MOQ: 1 kg - Price Updated 3/2023</t>
  </si>
  <si>
    <t>enXtra_Alphinia Galanga Extract Pwd (300484)</t>
  </si>
  <si>
    <t>OMNIACTIVE</t>
  </si>
  <si>
    <t>300484 - Price Updated 7/2022</t>
  </si>
  <si>
    <t>TRICALCIUM PHOSPHATE</t>
  </si>
  <si>
    <t>TRUE Red Wine Flavor</t>
  </si>
  <si>
    <t>00-5018 - 10 kg pack - Price Change 5/15/22</t>
  </si>
  <si>
    <t>ELDERBERRY EXTRACT 50:1</t>
  </si>
  <si>
    <t>HPI</t>
  </si>
  <si>
    <t>PINEAPPLE 6601B</t>
  </si>
  <si>
    <t>Talc Powder</t>
  </si>
  <si>
    <t>KJCNUTRA</t>
  </si>
  <si>
    <t>Brazilian Spray Dried Roast Coffee #7772</t>
  </si>
  <si>
    <t>7772</t>
  </si>
  <si>
    <t>Cordyceps Powder</t>
  </si>
  <si>
    <t>Bacopa 20% for capsules_FOR CAPSULES_BAD TASTE</t>
  </si>
  <si>
    <t>Panax Ginseng 80% Ginsenosides</t>
  </si>
  <si>
    <t>Red Reishi Mushroom Extract 16:1 PWD</t>
  </si>
  <si>
    <t>MOQ 25KG</t>
  </si>
  <si>
    <t>Purple Plum Pwd (Exberry) #18240041</t>
  </si>
  <si>
    <t># 118240041 - 15 kg pack</t>
  </si>
  <si>
    <t>Coconut Flavor 9552 PDR</t>
  </si>
  <si>
    <t>9552 - 22.68 kg</t>
  </si>
  <si>
    <t>N-ACETYL L-TYROSINE</t>
  </si>
  <si>
    <t>Organic Hemp Protein Powder 60%</t>
  </si>
  <si>
    <t>ORGANICWAYFO</t>
  </si>
  <si>
    <t>Pack sizse: 20kg_Air Freight thru Miami $4/kg</t>
  </si>
  <si>
    <t>L-Histidine</t>
  </si>
  <si>
    <t>Lavender Extract Powder 4:1</t>
  </si>
  <si>
    <t>Green Apple Extract Powder</t>
  </si>
  <si>
    <t>Irvingia Gabonensis Seed Powder</t>
  </si>
  <si>
    <t>pack size: 20kg</t>
  </si>
  <si>
    <t>Apple Cider Vinegar Powder 10%  -VS</t>
  </si>
  <si>
    <t>**VS** pack size: 25kg</t>
  </si>
  <si>
    <t>Amla P.E.  NLT 40% Tannins</t>
  </si>
  <si>
    <t>HICA Hydroxyisocaproic acid (Valeric Acid)</t>
  </si>
  <si>
    <t>MOQ:20 kg</t>
  </si>
  <si>
    <t>Calcium HMB Hydroxymethylbutyrate-VS</t>
  </si>
  <si>
    <t>MOQ:25kg</t>
  </si>
  <si>
    <t>Mediator Phosphatidic Acid</t>
  </si>
  <si>
    <t>MOQ: 10kg</t>
  </si>
  <si>
    <t>Blue Raspberry Nat Wonf Flavor 1586B PDR</t>
  </si>
  <si>
    <t>MOQ:22kg</t>
  </si>
  <si>
    <t>Nucleotide Powder</t>
  </si>
  <si>
    <t>INGNOVATION</t>
  </si>
  <si>
    <t>5-Mixed Nucleotides</t>
  </si>
  <si>
    <t>INAVEA Essential Gum Arabic Organic</t>
  </si>
  <si>
    <t>PFI061795</t>
  </si>
  <si>
    <t>Citrus Bioflavonoids 35% Hesperidin by HPLC(Citrus Sinensis)</t>
  </si>
  <si>
    <t>MOQ. 25kg</t>
  </si>
  <si>
    <t>Maqui Berry</t>
  </si>
  <si>
    <t>Titan Sweet 17718</t>
  </si>
  <si>
    <t>DALLAS FLA</t>
  </si>
  <si>
    <t>17718 - 20 kg</t>
  </si>
  <si>
    <t>Pineapple Nat WONF Flavor 8614A PDR</t>
  </si>
  <si>
    <t>8614A - 22.68 kg pack size</t>
  </si>
  <si>
    <t>DNU_DUPLICATE_Sweet Cream Type Nat Flavor 7190B PDR</t>
  </si>
  <si>
    <t>Spicy Yellow Powder 26000002</t>
  </si>
  <si>
    <t>Brilliant Orange Powder 10180005</t>
  </si>
  <si>
    <t>Organic Dulse Flakes</t>
  </si>
  <si>
    <t>VITAMINSEA</t>
  </si>
  <si>
    <t>Hydromeric® (Water Soluble Turmeric Root Extract)</t>
  </si>
  <si>
    <t>MOQ:10KG/ PACK</t>
  </si>
  <si>
    <t>Cayenne Pepper Powder</t>
  </si>
  <si>
    <t>BDSNATURALS</t>
  </si>
  <si>
    <t xml:space="preserve"> (Capsicum annuum L.) Powder 59,000HU</t>
  </si>
  <si>
    <t>MAGNOLIA BARK EXTRACT 2% HONOKIOL</t>
  </si>
  <si>
    <t>25kg drum</t>
  </si>
  <si>
    <t>E - POLYLYSINE</t>
  </si>
  <si>
    <t>MOQ: 500gram</t>
  </si>
  <si>
    <t>Ascorbyl Palmitate (Vitamin C Ester)</t>
  </si>
  <si>
    <t>A1302 - 20 kg pack</t>
  </si>
  <si>
    <t>Hesperidin 98% UV</t>
  </si>
  <si>
    <t>L-Methionine</t>
  </si>
  <si>
    <t>Prohydroxy P™ Digestive Enzymes</t>
  </si>
  <si>
    <t>MOQ:25kg_4wk lead time - Price Updated 12/2022</t>
  </si>
  <si>
    <t>#91157204 Natural Flavor Pwd (Creamy Vanilla Type)</t>
  </si>
  <si>
    <t>22.68 KGS / 50LB BAG</t>
  </si>
  <si>
    <t>Uridine 5'-monophosphate Disodium Salt</t>
  </si>
  <si>
    <t>Cat's Claw Bark Extract</t>
  </si>
  <si>
    <t>FOB:CA__packsize: 1 kg</t>
  </si>
  <si>
    <t>Red Orange Complex ®</t>
  </si>
  <si>
    <t>BIONAP USA</t>
  </si>
  <si>
    <t>Brand:NORDIC/N.American_packsize:25kg _ 5-7 day lead time_ NJ</t>
  </si>
  <si>
    <t>SelenoExcell® (As High Selenium yeast)</t>
  </si>
  <si>
    <t>CYPRESSSYSTE</t>
  </si>
  <si>
    <t>Brand:NORDIC/N.American__moq: 25kg_ 1-2 day lead time</t>
  </si>
  <si>
    <t>Spectra ™ N850.1</t>
  </si>
  <si>
    <t>N850.1 Spectra - Price Updated 1/2023</t>
  </si>
  <si>
    <t>CBD ISOLATE 99%</t>
  </si>
  <si>
    <t>$350 - Price Updated 9/17/21</t>
  </si>
  <si>
    <t>Org. Cranberry 3128B-O</t>
  </si>
  <si>
    <t>0549</t>
  </si>
  <si>
    <t>Organic Mangosteen Super ORAC powder</t>
  </si>
  <si>
    <t>SKU782</t>
  </si>
  <si>
    <t>Gynostemma Pentaphyllum Extract 98% Gypenosides UV  (80:1)</t>
  </si>
  <si>
    <t>MOQ 1kg (air from China - 3 week lead time)</t>
  </si>
  <si>
    <t>Organic Elderberry Extract 12:1 pwd</t>
  </si>
  <si>
    <t>Whey Protein Conc 80% Instant GRASS FED</t>
  </si>
  <si>
    <t>TRADITIONAL GUM ACACIA</t>
  </si>
  <si>
    <t>INSTANTGUM BA (NEXIRA)</t>
  </si>
  <si>
    <t>Passion Flower (Passiflora incarnata) Extract 4% flavonoids</t>
  </si>
  <si>
    <t>C3 Reduct ODN Curcumin 95% Tetrahydrocurcuminoids</t>
  </si>
  <si>
    <t>Brand: Amplifei</t>
  </si>
  <si>
    <t>Xanthohumol 3% Powder</t>
  </si>
  <si>
    <t>NEOBTIOTECH</t>
  </si>
  <si>
    <t>Mocha Flavor 2826092</t>
  </si>
  <si>
    <t>Natural Vanilla flavor pwd 1610519</t>
  </si>
  <si>
    <t xml:space="preserve"> 1610519 - 22.68 kg pack</t>
  </si>
  <si>
    <t>Nat Berry Flavor Pwd WONF #09041204</t>
  </si>
  <si>
    <t xml:space="preserve"> #09041204_50lb carbon_</t>
  </si>
  <si>
    <t>Conventional Acai SP Powder  (95003)</t>
  </si>
  <si>
    <t>NEWACAIAMAZO</t>
  </si>
  <si>
    <t>95003</t>
  </si>
  <si>
    <t>CoffeeBerry® Soluble Extract 40% N580</t>
  </si>
  <si>
    <t>Nordic clinical_ N995_MOQ Pack size: 10 kgs</t>
  </si>
  <si>
    <t>American Ginseng Root Extract 5% Ginsenosides HPLC</t>
  </si>
  <si>
    <t>25kg pack Size - Price Updated 6/2022</t>
  </si>
  <si>
    <t>CONVENTIONAL TAPIOCA MALTODEXTRIN DE10</t>
  </si>
  <si>
    <t>GREEN COFFEE BN EXT 50% CHLRGNC ACIDS HPLC (COFFEE ROBUSTA)</t>
  </si>
  <si>
    <t>Hops Extract (Humulus Lupulus)</t>
  </si>
  <si>
    <t>Kava Extract 30% Kavalactones HPLC (Ethanol)</t>
  </si>
  <si>
    <t>20kg Pack</t>
  </si>
  <si>
    <t>CHASTE TREE BERRIES POWDER ORGNIC</t>
  </si>
  <si>
    <t>209200-50_40#/20KG BOX</t>
  </si>
  <si>
    <t>PROBIOTIC 10 BLEND Dairy Free 100 Billion</t>
  </si>
  <si>
    <t>MOQ 25KG - SEE NOTES</t>
  </si>
  <si>
    <t>CoQ10 (Chinese)  NLT 98%</t>
  </si>
  <si>
    <t>Red Clover Extract</t>
  </si>
  <si>
    <t>Black Cohosh 2.5%</t>
  </si>
  <si>
    <t>Fibregum B  Conventional</t>
  </si>
  <si>
    <t>61380</t>
  </si>
  <si>
    <t>10% CBD Hemp Full Spectrum Distillate Powder</t>
  </si>
  <si>
    <t>PLANTSCIENCE</t>
  </si>
  <si>
    <t>B-NADH, disodium salt B-Nicotinamide adenine dinucleotide</t>
  </si>
  <si>
    <t>LALILAB</t>
  </si>
  <si>
    <t>NAT HERSHEY'S CHOCOLATE TYPE FLAVOR POWDER CT-53347</t>
  </si>
  <si>
    <t>CT-53347</t>
  </si>
  <si>
    <t>PRUV</t>
  </si>
  <si>
    <t>JRSPHARMA</t>
  </si>
  <si>
    <t>25kg pack size - Price Updated 1/2023</t>
  </si>
  <si>
    <t>CBN Isolate Powder NLT 95%</t>
  </si>
  <si>
    <t>$4000 - Price Updated 2/18/22 - per Bob D.</t>
  </si>
  <si>
    <t>Unmilled Hydrilla</t>
  </si>
  <si>
    <t>Natachloride (Natamycin 50% in NaCL)</t>
  </si>
  <si>
    <t>Powd. NAT Green Apple Flavor WONF (GMO Free) 2213070</t>
  </si>
  <si>
    <t>2213070 - 100 lbs (45.36 kg)</t>
  </si>
  <si>
    <t>Magnesium Glycinate 30% Fine Granular</t>
  </si>
  <si>
    <t xml:space="preserve">Natural Nu-FLOW® </t>
  </si>
  <si>
    <t>5200T - 15.88 kg (35 lb)</t>
  </si>
  <si>
    <t>Vitamin A  Pure assay material (DO NOT USE IN PRODOVITE)</t>
  </si>
  <si>
    <t>Vitamin A  Pure assay material</t>
  </si>
  <si>
    <t>5--Mixed Nucleotide Powder</t>
  </si>
  <si>
    <t>ZNB04</t>
  </si>
  <si>
    <t>Organic DULSE 50 mesh Granules (Palmaria palmata)</t>
  </si>
  <si>
    <t>DULS086  - 22.68 kg pack</t>
  </si>
  <si>
    <t>Fibriss® (Organic Baobab Fruit Pulp Powder)</t>
  </si>
  <si>
    <t>Carb10® (Pea Starch)</t>
  </si>
  <si>
    <t>Organic Tomato Powder</t>
  </si>
  <si>
    <t>Whole Green Papaya</t>
  </si>
  <si>
    <t>Okra Extract</t>
  </si>
  <si>
    <t>Molybdenum Aspartate 0.5%</t>
  </si>
  <si>
    <t>Quatrefolic® (Folate (as [6S]-5-methyltetrahydrofolic acid)</t>
  </si>
  <si>
    <t>GNOSIS</t>
  </si>
  <si>
    <t>Iron Bisglycinate</t>
  </si>
  <si>
    <t>Marigold Flower Extract 10% Zeaxanthin HPLC Powder</t>
  </si>
  <si>
    <t>15 kg pack- HE0696</t>
  </si>
  <si>
    <t>Nicotinamide Mononucleotide (NMN) (SIRTality™)</t>
  </si>
  <si>
    <t>NUTRASHURE</t>
  </si>
  <si>
    <t>Lithium Orotate 9%</t>
  </si>
  <si>
    <t>Spermidine Trihydrochloride</t>
  </si>
  <si>
    <t>BetaPower™ Betaine Anhydrous</t>
  </si>
  <si>
    <t>NAD3</t>
  </si>
  <si>
    <t>10 kg pack size</t>
  </si>
  <si>
    <t>SmartPrime™-OM</t>
  </si>
  <si>
    <t>Apigenin</t>
  </si>
  <si>
    <t>5 kg pack</t>
  </si>
  <si>
    <t>SirtMax - Black Tumeric PE</t>
  </si>
  <si>
    <t>100829/10 kg pack</t>
  </si>
  <si>
    <t>Luteolin</t>
  </si>
  <si>
    <t>Fisetin</t>
  </si>
  <si>
    <t>5kg pack</t>
  </si>
  <si>
    <t>ErgoActive L-Ergothioneine</t>
  </si>
  <si>
    <t>BLUECALIFORN</t>
  </si>
  <si>
    <t>L-Glycine</t>
  </si>
  <si>
    <t>PurCaf™ Organic Caffeine</t>
  </si>
  <si>
    <t>APPLIEDFOOD</t>
  </si>
  <si>
    <t>25 kg pack (lead time = 45 days as of 6/2022)</t>
  </si>
  <si>
    <t>Cereboost™</t>
  </si>
  <si>
    <t>Cognizin® (Citicoline)</t>
  </si>
  <si>
    <t>KYOWA</t>
  </si>
  <si>
    <t>25 kg pack / 25 = $425 / 50+ = $400</t>
  </si>
  <si>
    <t>IQ200</t>
  </si>
  <si>
    <t>5 kg packs</t>
  </si>
  <si>
    <t>Riboflavin-5-Phosphate</t>
  </si>
  <si>
    <t>Sibelus Sage Extract</t>
  </si>
  <si>
    <t>BARRINGTON N</t>
  </si>
  <si>
    <t>20 kg drum / 1-2=$545 / 3-4=$530 / 5-9=$515</t>
  </si>
  <si>
    <t>Myo-Inositol</t>
  </si>
  <si>
    <t>Creatine MagnaPower® (Magnesium Creatine Chelate)</t>
  </si>
  <si>
    <t>03465 - 25 kg pack - Call for Pricing</t>
  </si>
  <si>
    <t>Clock®</t>
  </si>
  <si>
    <t>ININGREDIENT</t>
  </si>
  <si>
    <t>25 kg drums</t>
  </si>
  <si>
    <t>Syntrinol</t>
  </si>
  <si>
    <t>1 kg/ $500 = $75 kg</t>
  </si>
  <si>
    <t>Venetron</t>
  </si>
  <si>
    <t>Zylaria</t>
  </si>
  <si>
    <t>NULIV</t>
  </si>
  <si>
    <t>5 kg min/ 1 kg increment</t>
  </si>
  <si>
    <t>MicroActive SR Melatonin</t>
  </si>
  <si>
    <t>GDP Terpene Blend</t>
  </si>
  <si>
    <t>EXTRACTCONSU</t>
  </si>
  <si>
    <t>Sensoril®</t>
  </si>
  <si>
    <t>NATREON</t>
  </si>
  <si>
    <t>Wellmune</t>
  </si>
  <si>
    <t>KERRY</t>
  </si>
  <si>
    <t>10 kg pack - Price Updated 4/2022</t>
  </si>
  <si>
    <t>Emodin 95%</t>
  </si>
  <si>
    <t>Elderberry 10:1 Concentrate</t>
  </si>
  <si>
    <t>Astragalus 0.5% Astragalossides</t>
  </si>
  <si>
    <t>ACTIValoe®</t>
  </si>
  <si>
    <t>ALOECORP</t>
  </si>
  <si>
    <t>AA8010XQ-80 -</t>
  </si>
  <si>
    <t>DE111 Probiotic</t>
  </si>
  <si>
    <t>DEERLAND</t>
  </si>
  <si>
    <t>5 KG</t>
  </si>
  <si>
    <t>Opitac ™ (L-Glutathione)</t>
  </si>
  <si>
    <t>MITSUBISHIIN</t>
  </si>
  <si>
    <t>6226934 400 01M - Life Force - 5 kg pack</t>
  </si>
  <si>
    <t>Casein Hydrolysate (VasoDrive)</t>
  </si>
  <si>
    <t>190377 - 10 kg pack - Life Force</t>
  </si>
  <si>
    <t>Birch 3% Betulinic Acid</t>
  </si>
  <si>
    <t>ZinMax 20% Zn</t>
  </si>
  <si>
    <t>NUTRITION21</t>
  </si>
  <si>
    <t>Sipernat 50s</t>
  </si>
  <si>
    <t>11.34 kg MOQ</t>
  </si>
  <si>
    <t>Bioferrin</t>
  </si>
  <si>
    <t>Adenosylcobalamin (Cobamamide)</t>
  </si>
  <si>
    <t>0.5 kg pack size</t>
  </si>
  <si>
    <t>Hydroxycobalamin</t>
  </si>
  <si>
    <t>0.1 pack size</t>
  </si>
  <si>
    <t>DHEA</t>
  </si>
  <si>
    <t>7 Keto DHEA</t>
  </si>
  <si>
    <t>1,5,10 or 25 kg packs</t>
  </si>
  <si>
    <t>Pregnenolone Micronized</t>
  </si>
  <si>
    <t>Papaya Seed Powder</t>
  </si>
  <si>
    <t>Organic Spinach Powder</t>
  </si>
  <si>
    <t>Organic Aronia (Chokeberry) Fruit Extract 10:1</t>
  </si>
  <si>
    <t>Organic Hawthorne Berry</t>
  </si>
  <si>
    <t>FermentIQ™ PEA</t>
  </si>
  <si>
    <t>MYCO</t>
  </si>
  <si>
    <t>5027 - 15 kg pack</t>
  </si>
  <si>
    <t>Calcium Malate Anhydrous CAS 17482-42-7</t>
  </si>
  <si>
    <t>2237 - 25 kg pack size</t>
  </si>
  <si>
    <t>Natural Vegetable Masking Flavor</t>
  </si>
  <si>
    <t>FA0482-01 - MOQ = 25 kg</t>
  </si>
  <si>
    <t>Brewster Probiotic 6 Blend 25Bcfu Dairy Free</t>
  </si>
  <si>
    <t>PB6-25B-DF-FOS-M-ALT</t>
  </si>
  <si>
    <t>ProbioSEB DUO 25bcfu</t>
  </si>
  <si>
    <t>Coconut Milk Powder (Vegan )</t>
  </si>
  <si>
    <t>15 kg pack - SKU 727</t>
  </si>
  <si>
    <t>Magnesium Glycinate 30% Powder</t>
  </si>
  <si>
    <t>Phase 2 ™ Carb Controller White Kidney Bean Extract</t>
  </si>
  <si>
    <t>PHARMACHEM</t>
  </si>
  <si>
    <t>1PA07652</t>
  </si>
  <si>
    <t>Organic Matcha Powder</t>
  </si>
  <si>
    <t>AOIMATCHA</t>
  </si>
  <si>
    <t>OR-3</t>
  </si>
  <si>
    <t>Organic KSM-66 Ashwagandha Root Extract (Vegan)</t>
  </si>
  <si>
    <t>KSM-66 - 25 kg pack</t>
  </si>
  <si>
    <t>Dairy Free Yogurt Culture Powder</t>
  </si>
  <si>
    <t>10 kg, 20 kg, 25 kg pack</t>
  </si>
  <si>
    <t>Organic Yogurt Flavor 8905B-O</t>
  </si>
  <si>
    <t>8905B-O - 22.68 kg pack</t>
  </si>
  <si>
    <t>Alpha Yohimbine HCL 90% HPLC</t>
  </si>
  <si>
    <t>0.5 kg pack</t>
  </si>
  <si>
    <t>Gymnema Sylvestra Extract 75% (GS4 Plus)</t>
  </si>
  <si>
    <t>Boric Acid EP</t>
  </si>
  <si>
    <t>25 kg pack/ 50 MOQ</t>
  </si>
  <si>
    <t>Relora ™</t>
  </si>
  <si>
    <t>Black Ginger 7% 5,7 Dimethoxy</t>
  </si>
  <si>
    <t>25 kg pack (broken pack of 5 kg = $445)</t>
  </si>
  <si>
    <t>Zembrin ®</t>
  </si>
  <si>
    <t>PLTHOMAS</t>
  </si>
  <si>
    <t>Extramel M ®</t>
  </si>
  <si>
    <t>ROBERTET</t>
  </si>
  <si>
    <t>HB113001 - 1 kg pack</t>
  </si>
  <si>
    <t>Reducose ®</t>
  </si>
  <si>
    <t>PHYNOVA</t>
  </si>
  <si>
    <t>20 kg pack - 40 kg MOQ</t>
  </si>
  <si>
    <t>Strawberry Flavor 133.16296</t>
  </si>
  <si>
    <t>BELLFLAVORS</t>
  </si>
  <si>
    <t>133.16296 - 22.68 kg pack - MOQ = 90.72 kg (200 lbs)</t>
  </si>
  <si>
    <t>NAT Lemon FL WONF SD 7149001</t>
  </si>
  <si>
    <t>SENSAPURE</t>
  </si>
  <si>
    <t>50 lb pack size (22.68 kg) - 100 lb MOQ (45.36)</t>
  </si>
  <si>
    <t>NAT Texas Tea Type FL SD 7149002</t>
  </si>
  <si>
    <t>NAT Lemongrass FL SD 7149003</t>
  </si>
  <si>
    <t>50 lb pack (22.68 kg) - 100 lb (45.36 kg) MOQ</t>
  </si>
  <si>
    <t>Stevia Extract 7112014</t>
  </si>
  <si>
    <t>100 lbs (45.36 kg)</t>
  </si>
  <si>
    <t>Beta-Carotene 1% SD</t>
  </si>
  <si>
    <t>HNBC01A - 20 kg pack</t>
  </si>
  <si>
    <t>Creatinol-O-Phosphate (COP)</t>
  </si>
  <si>
    <t>Hemp Protein Powder 70% Organic/Conventional V-70</t>
  </si>
  <si>
    <t>Coffee Cherry Extract</t>
  </si>
  <si>
    <t>CCE, 9050220 - 25 kg pack size - Price Eff. 6/2022</t>
  </si>
  <si>
    <t>Cratavin ® (Varuna Extract - Lupeol 1.50%)</t>
  </si>
  <si>
    <t>2201 - 5 kg pack</t>
  </si>
  <si>
    <t>PhytoServ™ Veggie</t>
  </si>
  <si>
    <t>PhytoServ™ Fruit</t>
  </si>
  <si>
    <t>Capros®</t>
  </si>
  <si>
    <t>PrimaVie®</t>
  </si>
  <si>
    <t>PurpleForce™</t>
  </si>
  <si>
    <t>NAT Orange FL SD Non-GMO 7112007</t>
  </si>
  <si>
    <t>22.68 pack size</t>
  </si>
  <si>
    <t>NAT Lemon FL WONF SD Non-GMO 7112020</t>
  </si>
  <si>
    <t>NAT Lime FL WONF SD Non-GMO 7112019</t>
  </si>
  <si>
    <t>NAT Raspberry Type FL SD Non-GMO 7112002</t>
  </si>
  <si>
    <t>NAT Cherry Strawberry Type FL SD 7112005</t>
  </si>
  <si>
    <t>NAT Blueberry Type FL SD 7112022</t>
  </si>
  <si>
    <t>Natural Organic Flavor Powder Green Apple 06064204</t>
  </si>
  <si>
    <t>Organic Yerba Mate Extract</t>
  </si>
  <si>
    <t>RFI</t>
  </si>
  <si>
    <t>CFL-B-81021 - 25 kg pack</t>
  </si>
  <si>
    <t>Apple Powder DD Organic</t>
  </si>
  <si>
    <t>SKU RFI-NO130011A - 100 kg MOQ</t>
  </si>
  <si>
    <t>Bitter Masking Flavor 2923449</t>
  </si>
  <si>
    <t>Terra-Pure™ Freeze Dried Aloe Vera Powder 200X</t>
  </si>
  <si>
    <t>TN003 - .5 kg MOQ</t>
  </si>
  <si>
    <t>Fruit Punch 42022204</t>
  </si>
  <si>
    <t>42022204 - 22.68 kg pack size</t>
  </si>
  <si>
    <t>Cherry Flavor 3124628</t>
  </si>
  <si>
    <t>3124628 - 22.68 kg MOQ</t>
  </si>
  <si>
    <t>Sesamine 70%</t>
  </si>
  <si>
    <t>KEBNUTRA</t>
  </si>
  <si>
    <t>EXBERRY® Shade Brilliant Pink</t>
  </si>
  <si>
    <t>80180005 - 14.97 kg MOQ</t>
  </si>
  <si>
    <t>Fruit Punch 7901A</t>
  </si>
  <si>
    <t>7901A - 22.68 kg pack</t>
  </si>
  <si>
    <t>Jasmine 5893B</t>
  </si>
  <si>
    <t>5893B - 22.68 pack</t>
  </si>
  <si>
    <t>Natural Flavor Power Apple Type 06069204</t>
  </si>
  <si>
    <t>06069204 - 22.68 kg pack</t>
  </si>
  <si>
    <t>Organic Espresso Flavor 1455B-O</t>
  </si>
  <si>
    <t>1455B-O - 22.68 kg pack</t>
  </si>
  <si>
    <t>Rice Bran Powder</t>
  </si>
  <si>
    <t>90.68 kg pack</t>
  </si>
  <si>
    <t>Glucosamine HCL 40 mesh (Vegetarian)</t>
  </si>
  <si>
    <t>Gum Tragacanth T/3</t>
  </si>
  <si>
    <t>AEPCOLLIODS</t>
  </si>
  <si>
    <t>Ghatti Gums</t>
  </si>
  <si>
    <t>COLONYGUMS</t>
  </si>
  <si>
    <t>Magnesium Glycinate 13%</t>
  </si>
  <si>
    <t>Wakame P.E. 10% Fucoxanthin UV</t>
  </si>
  <si>
    <t>Citrus Pectin Powder</t>
  </si>
  <si>
    <t>Organic Mexican SD Coffee Type C</t>
  </si>
  <si>
    <t>THERIDGETRAD</t>
  </si>
  <si>
    <t>30 kg pack size</t>
  </si>
  <si>
    <t>Magnesium Oxide Heavy Powder "LL"</t>
  </si>
  <si>
    <t>Soy Protein Isolate 90%</t>
  </si>
  <si>
    <t>45.36 pack size</t>
  </si>
  <si>
    <t>Natural Cookies &amp; Cream Flavor CC-26184</t>
  </si>
  <si>
    <t>CUSTOMFLAVOR</t>
  </si>
  <si>
    <t>44.36 kg pack MOQ / CC-26184</t>
  </si>
  <si>
    <t>Conjugated Linoleic Acid 60% (CLA TG)</t>
  </si>
  <si>
    <t>Chromax® (Chromium Picolinate)</t>
  </si>
  <si>
    <t>1 kg MOQ 1-5-25 kg pack size - Price increase 6/2022</t>
  </si>
  <si>
    <t>Molybdenum Glycinate Chelate</t>
  </si>
  <si>
    <t>PABA</t>
  </si>
  <si>
    <t>L-Aspartic Acid</t>
  </si>
  <si>
    <t>L-Alanine</t>
  </si>
  <si>
    <t>MenaQ7 Natural 2000 ppm CryoCap</t>
  </si>
  <si>
    <t>NP-0199-60103 / 5 kg MOQ</t>
  </si>
  <si>
    <t>Organic Green Tea 50%</t>
  </si>
  <si>
    <t>TICorganic® Guar Gum 3500 F Powder</t>
  </si>
  <si>
    <t>OG GUAR 3500 F-G  - 45.36 kg</t>
  </si>
  <si>
    <t>Sodium Citrate</t>
  </si>
  <si>
    <t>Nitrosigine®</t>
  </si>
  <si>
    <t>Cyracos® (Lemon Balm Extract)</t>
  </si>
  <si>
    <t>White Peony Extract (10% Paeoniflorin)</t>
  </si>
  <si>
    <t>Lemongrass Powder</t>
  </si>
  <si>
    <t>GivoMag™ (Magnesium Glycerophosphate)</t>
  </si>
  <si>
    <t>60141W - 25 kg pack</t>
  </si>
  <si>
    <t>Ticaloid® ULTRASMOOTH CL</t>
  </si>
  <si>
    <t>68026021 - 22.68 kg pack</t>
  </si>
  <si>
    <t>Reb M 95% (as OnoSweet™)</t>
  </si>
  <si>
    <t>7641 - 20 kg pack</t>
  </si>
  <si>
    <t>Tangerine 8422 Flavor Powder</t>
  </si>
  <si>
    <t>8422 - 22.68 kg pack</t>
  </si>
  <si>
    <t>Watermelon 6843B Powder Flavor</t>
  </si>
  <si>
    <t>6843B - 22.68 kg pack</t>
  </si>
  <si>
    <t>Amino Acid Masker 9238A</t>
  </si>
  <si>
    <t>923A - 22.68 kg pack</t>
  </si>
  <si>
    <t>Tropical Punch 3124A</t>
  </si>
  <si>
    <t>3124A - 22.68 kg pack</t>
  </si>
  <si>
    <t>Magtein® (Magnesium-L-Threonate)</t>
  </si>
  <si>
    <t>T0700 - 25 kg pack</t>
  </si>
  <si>
    <t>DiMagnesium Malate 20% Powder</t>
  </si>
  <si>
    <t>04051 - 25 kg pack - Updated 5/2022</t>
  </si>
  <si>
    <t>Magnolia Extract 90% Honokiol + Magnolol HPLC</t>
  </si>
  <si>
    <t>TauroMag® (Magnesium-N-Acetyltaurinate)</t>
  </si>
  <si>
    <t>M5000 - 25 kg pack</t>
  </si>
  <si>
    <t>Magnesium Biglycinate Chelate 18% Powder</t>
  </si>
  <si>
    <t>Organic Broccoli</t>
  </si>
  <si>
    <t>Organic Green Tea 98% Polyphenols</t>
  </si>
  <si>
    <t>Organic Natural Masking Flavor 2918350</t>
  </si>
  <si>
    <t>Avian (Chicken) Collagen Type II Powder</t>
  </si>
  <si>
    <t>DIAMONDNUTRA</t>
  </si>
  <si>
    <t>Dermaval ™</t>
  </si>
  <si>
    <t>S01110.AA - 20 kg pack</t>
  </si>
  <si>
    <t>Saberry®</t>
  </si>
  <si>
    <t>1901 - 5 kg MOQ (1 kg increments thereafter)</t>
  </si>
  <si>
    <t>Florabella® (Sakura Extract)</t>
  </si>
  <si>
    <t>Pumpkin Seed Protein 71.5% (Organic)</t>
  </si>
  <si>
    <t>AstraGin™</t>
  </si>
  <si>
    <t>1 kg MOQ</t>
  </si>
  <si>
    <t>Cherry Pineapple CH-25786</t>
  </si>
  <si>
    <t>CH-25786 - 45.36 kg pack</t>
  </si>
  <si>
    <t>GlycerSize™</t>
  </si>
  <si>
    <t>ECAHEALTHCAR</t>
  </si>
  <si>
    <t>25 kg pack (1MT = $16/kg)</t>
  </si>
  <si>
    <t>ETAS®50 (Asparagus Extract)</t>
  </si>
  <si>
    <t>10 kg MOQ</t>
  </si>
  <si>
    <t>ImmunoLin®-WP</t>
  </si>
  <si>
    <t>ENTERAHEALTH</t>
  </si>
  <si>
    <t>Breviscapine</t>
  </si>
  <si>
    <t>Notoginseng Herb Extract 20% Notoginsenosides UV</t>
  </si>
  <si>
    <t>Organic Coconut Milk (Vegan)</t>
  </si>
  <si>
    <t>OmniMin AC</t>
  </si>
  <si>
    <t>Agmatine Sulfate</t>
  </si>
  <si>
    <t>L-Citrulline Malate 1:1</t>
  </si>
  <si>
    <t>Fruit Candy Natural Flavor Powder 41015224</t>
  </si>
  <si>
    <t>41015224 - 22.68 kg pack size</t>
  </si>
  <si>
    <t>Green Apple Flavor 2913069</t>
  </si>
  <si>
    <t>Peach Flavor 3848B</t>
  </si>
  <si>
    <t>Dark Roast Arabica Spray Dried Coffee GU-SDDRA</t>
  </si>
  <si>
    <t>4000 kg MOQ</t>
  </si>
  <si>
    <t>Espresso Spray Dried Coffee FG70LBDKRST51</t>
  </si>
  <si>
    <t>FG70LBDKRST51 - 32 kg pack size</t>
  </si>
  <si>
    <t>Maca Extract 0.6% Macamides+Macaenes HPLC</t>
  </si>
  <si>
    <t>FiberGem® GLUTEN ALLERGEN</t>
  </si>
  <si>
    <t>MANILDRAMILL</t>
  </si>
  <si>
    <t>GemPro® HPG GLUTEN ALLERGEN</t>
  </si>
  <si>
    <t>GemPro® Prime-E GLUTEN ALLERGEN</t>
  </si>
  <si>
    <t>Allulose</t>
  </si>
  <si>
    <t>Sweetness Enhancer 141.46825</t>
  </si>
  <si>
    <t>22.68 kg pack - 141.46825</t>
  </si>
  <si>
    <t>Low Heat Nonfat Dry Milk Powder (ALLERGEN)</t>
  </si>
  <si>
    <t>1191315 - 25 kg pack</t>
  </si>
  <si>
    <t>Buttermilk Powder</t>
  </si>
  <si>
    <t>BDF0034 - 226.80 kg MOQ (500 lb)</t>
  </si>
  <si>
    <t>Butter Buds 8X NPHO</t>
  </si>
  <si>
    <t>BUTTERBUDS</t>
  </si>
  <si>
    <t>W49450- 22.68 kg pack</t>
  </si>
  <si>
    <t>Longvida SD®</t>
  </si>
  <si>
    <t>GENIHERBS</t>
  </si>
  <si>
    <t>Oatmilk Powder GF</t>
  </si>
  <si>
    <t>INNOVATIVEPR</t>
  </si>
  <si>
    <t>IPOMGF - 800 kg MOQ</t>
  </si>
  <si>
    <t>BettaBerries™ Antioxidant Blend</t>
  </si>
  <si>
    <t>SKU 8005 - 20 kg pack</t>
  </si>
  <si>
    <t>Green Balance Alkalizing Blend® (Organic)</t>
  </si>
  <si>
    <t>SKU 735 - 20 kg pack</t>
  </si>
  <si>
    <t>Magnesium Glycinate 18% (Biglycinate) Powder</t>
  </si>
  <si>
    <t>Grains of Paradise (Aframomum Melegueta Extract 5:1)</t>
  </si>
  <si>
    <t>L-Carnitine L-Tartrate</t>
  </si>
  <si>
    <t>Coleus Forskohlii Extract 4:1</t>
  </si>
  <si>
    <t>Juniper Berry Extract 4:1</t>
  </si>
  <si>
    <t>ProbioSEB CSC-3 (20 Billion)</t>
  </si>
  <si>
    <t>ImmunoSEB</t>
  </si>
  <si>
    <t>Cherry Flavor N&amp;A MET0010251</t>
  </si>
  <si>
    <t>MET0010251 - 25 kg pack</t>
  </si>
  <si>
    <t>Lemon Flavor Artificial MET0017156</t>
  </si>
  <si>
    <t>MET0017156 - 25 kg pack</t>
  </si>
  <si>
    <t>Blue Raspberry Flavor Artificial MET0010631</t>
  </si>
  <si>
    <t>MET0010631 - 25 kg pack</t>
  </si>
  <si>
    <t>Grapefruit Seed Extract 4:1</t>
  </si>
  <si>
    <t>CitraPeak®</t>
  </si>
  <si>
    <t>S7 Blend</t>
  </si>
  <si>
    <t>N1284 - 10 kg pack</t>
  </si>
  <si>
    <t>SYLOID® 244 FP</t>
  </si>
  <si>
    <t>13.61 kg pack - Price Updated 3/2023</t>
  </si>
  <si>
    <t>Diatomaceous earth</t>
  </si>
  <si>
    <t>2.27 kg (5 lb)</t>
  </si>
  <si>
    <t>Dark Chocolate Flavor 1091B</t>
  </si>
  <si>
    <t>1091B - 22.68 kg</t>
  </si>
  <si>
    <t>Jet Black Alkalized Cocoa</t>
  </si>
  <si>
    <t>907.18 kg (2000 lb) MOQ</t>
  </si>
  <si>
    <t>Chocolate Flavor 2197B</t>
  </si>
  <si>
    <t>2197B - 22.68 kg</t>
  </si>
  <si>
    <t>Vanilla Flavor 8432A</t>
  </si>
  <si>
    <t>8432A - 22.68 kg</t>
  </si>
  <si>
    <t>Vanilla N&amp;A Flavor 7897</t>
  </si>
  <si>
    <t>7897 - 22.68 kg</t>
  </si>
  <si>
    <t>DiMagnesium Phosphate</t>
  </si>
  <si>
    <t>Vanilla (French Type) Flavor N&amp;A 7764</t>
  </si>
  <si>
    <t>7764 - 22.68 kg</t>
  </si>
  <si>
    <t>PhytoD3 100,000 IU/g</t>
  </si>
  <si>
    <t>Gotu Kola Extract 10:1</t>
  </si>
  <si>
    <t>Arjuna Extract 30%</t>
  </si>
  <si>
    <t>Olive Leaft Extract 40% Oleuropein</t>
  </si>
  <si>
    <t>Citrus Bergamonte 10:1</t>
  </si>
  <si>
    <t>Artichoke Extract 5% Cynarin</t>
  </si>
  <si>
    <t>Beta Sitosterol 40%</t>
  </si>
  <si>
    <t>Bacopa Monnieri Extract 50% Bacosides</t>
  </si>
  <si>
    <t>CaraFlame®</t>
  </si>
  <si>
    <t>American Ginseng 10% Ginsenosides</t>
  </si>
  <si>
    <t>R-Alpha Lipoic Acid</t>
  </si>
  <si>
    <t>Instaminos (Instant BCAA 2:1:1 Fermented)</t>
  </si>
  <si>
    <t>Amino9® Vegan</t>
  </si>
  <si>
    <t>7543 - 25 kg pack</t>
  </si>
  <si>
    <t>VitaCherry® Sport</t>
  </si>
  <si>
    <t>N1244 - 18.14 kg pack</t>
  </si>
  <si>
    <t>ClusterDextrin</t>
  </si>
  <si>
    <t>6225876 - 100 kg MOQ</t>
  </si>
  <si>
    <t>BetaPrime™</t>
  </si>
  <si>
    <t>CARNOCO</t>
  </si>
  <si>
    <t>Natural Dragon Fruit Flavor DF-27567</t>
  </si>
  <si>
    <t>DF-27567 - 45.36 kg MOQ</t>
  </si>
  <si>
    <t>Amino Acid Masker N&amp;A 9365B</t>
  </si>
  <si>
    <t>9365B - 22.68 kg pack</t>
  </si>
  <si>
    <t>Beet Powder HC 036051020</t>
  </si>
  <si>
    <t>SENSIENT</t>
  </si>
  <si>
    <t>036051020 - 20 kg pack</t>
  </si>
  <si>
    <t>Strawberry Kiwi ST-27984</t>
  </si>
  <si>
    <t>ST-27984 - 45.36 kg pack</t>
  </si>
  <si>
    <t>Aquamin™ Magnesium Tg</t>
  </si>
  <si>
    <t>25476-58083 - 20 kg pack</t>
  </si>
  <si>
    <t>VegD3® Powder Organic</t>
  </si>
  <si>
    <t>V1060T - 5 kg pack MOQ</t>
  </si>
  <si>
    <t>Cucumber NAT WONF 9575B</t>
  </si>
  <si>
    <t>9575B - 22.68 kg pack</t>
  </si>
  <si>
    <t>Natural Lime Flavor WONF 52032204</t>
  </si>
  <si>
    <t>Velositol®</t>
  </si>
  <si>
    <t>Natural Vanilla Flavor VA-24152</t>
  </si>
  <si>
    <t>11.34 kg pack - 45.36 kg MOQ</t>
  </si>
  <si>
    <t>Chocolate Brownie 2543A</t>
  </si>
  <si>
    <t>S.D. Natural Vanilla Cookie Filling 2723161</t>
  </si>
  <si>
    <t>Grape Skin Extract 50%</t>
  </si>
  <si>
    <t>Sour Black Cherry 5505B</t>
  </si>
  <si>
    <t>TUDCA</t>
  </si>
  <si>
    <t>5kg &amp; 25 kg pack</t>
  </si>
  <si>
    <t>Kudzu 40%</t>
  </si>
  <si>
    <t>Citicoline Sodium</t>
  </si>
  <si>
    <t>Senactiv</t>
  </si>
  <si>
    <t>NLS04r - 1k / 5kg / 25 kg pack size</t>
  </si>
  <si>
    <t>Vitashure (Caffeine 65%)</t>
  </si>
  <si>
    <t>D4006217-I50 / 22.68 kg pack</t>
  </si>
  <si>
    <t>Epicatechin</t>
  </si>
  <si>
    <t>Ajuga Turkestanica Extract (10% Turkesterone)</t>
  </si>
  <si>
    <t>Lion's Mane (30%Polysaccharides)</t>
  </si>
  <si>
    <t>DNU Duplicate-Natural Dragon Fruit Flavor</t>
  </si>
  <si>
    <t>DF-27567- 45.36 kg</t>
  </si>
  <si>
    <t>VegiZest™ Complete Protein Blend 85%</t>
  </si>
  <si>
    <t>20kg Bags</t>
  </si>
  <si>
    <t>Phospholipon 90G</t>
  </si>
  <si>
    <t>GoFat Creamer (50% Olive Oil)</t>
  </si>
  <si>
    <t>Irish Cream Flavor IR-19503</t>
  </si>
  <si>
    <t>45.36 kg pack</t>
  </si>
  <si>
    <t>Chaga Mushroom</t>
  </si>
  <si>
    <t>15 kg MOQ</t>
  </si>
  <si>
    <t>Lion's Mane Mushroom</t>
  </si>
  <si>
    <t>CBD Infused Dextrose 2.7%</t>
  </si>
  <si>
    <t>Green Banana Prebiotic Fiber</t>
  </si>
  <si>
    <t>Hemp Seed Powder</t>
  </si>
  <si>
    <t>23% = 50 kg</t>
  </si>
  <si>
    <t>Purified Acacia Hyrolasate (as Sukre™)</t>
  </si>
  <si>
    <t>Beeswax (Yellow) USA Origin</t>
  </si>
  <si>
    <t>B4010 - (5kg pack)</t>
  </si>
  <si>
    <t>Menthol Crystals</t>
  </si>
  <si>
    <t>B4095 - (2kg pack size)</t>
  </si>
  <si>
    <t>DehydraTECH Powder (Valerian Tapioca CBN Blend)</t>
  </si>
  <si>
    <t>Deglycyrrhizinated Licorice (DGL) Extract</t>
  </si>
  <si>
    <t>AstaReal® P4AF (4% Astaxanthin Powder)</t>
  </si>
  <si>
    <t>ASTAREAL</t>
  </si>
  <si>
    <t>1kg &amp; 10 kg bags</t>
  </si>
  <si>
    <t>Soybean Lecithin Powder</t>
  </si>
  <si>
    <t>NatCholine PC30 - 20 kg pack</t>
  </si>
  <si>
    <t>Curry Tree Leaf Extract</t>
  </si>
  <si>
    <t>BOTANICHEALT</t>
  </si>
  <si>
    <t>Citrus Bioflavonoids Extract 35% (Citrus aurantium L.)</t>
  </si>
  <si>
    <t>Sugar Organic EFT Wholesome Raw Cane Non-GMO</t>
  </si>
  <si>
    <t>Omega-3 F-30 Powder (18% EPA+12% DHA)</t>
  </si>
  <si>
    <t>NOVOTECH</t>
  </si>
  <si>
    <t>12.5 kg pack - 25 kg MOQ</t>
  </si>
  <si>
    <t>Levagen+</t>
  </si>
  <si>
    <t>GENCOR</t>
  </si>
  <si>
    <t>Curcuwin Ultra+</t>
  </si>
  <si>
    <t>Cyanotis Vaga Extract 90% 20-betahydroxyecdysone</t>
  </si>
  <si>
    <t>Tongkat Ali 200:1</t>
  </si>
  <si>
    <t>GutGuard</t>
  </si>
  <si>
    <t>G6100D - 25 kg pack</t>
  </si>
  <si>
    <t>Slow Set Pectin - Classic CS502</t>
  </si>
  <si>
    <t>HERBSTREITH</t>
  </si>
  <si>
    <t>StevioBliss™ Zero Stevia Leaf Extract</t>
  </si>
  <si>
    <t>20 kg pack size</t>
  </si>
  <si>
    <t>N&amp;A Blueberry Flavor BL-50003</t>
  </si>
  <si>
    <t>BL-50003 - 45.36 kg</t>
  </si>
  <si>
    <t>Uva Ursi Powder</t>
  </si>
  <si>
    <t>Organic Marshmallow Root 4:1</t>
  </si>
  <si>
    <t>Zinc Carnosine</t>
  </si>
  <si>
    <t>SantEnergy NU</t>
  </si>
  <si>
    <t>BIBELLEBIOCH</t>
  </si>
  <si>
    <t>DiSodium Phosphate</t>
  </si>
  <si>
    <t>He Shou Wu Extract 30:1</t>
  </si>
  <si>
    <t>Magnesium Biglycinate Chelate 10% (TRAACS®)</t>
  </si>
  <si>
    <t>Cherry Art N&amp;A 2557C</t>
  </si>
  <si>
    <t>Lemon Art N&amp;A 2549C</t>
  </si>
  <si>
    <t>Blue Raspberry N&amp;A 8646</t>
  </si>
  <si>
    <t>Exberry® Shade Rubescent Red 79180001</t>
  </si>
  <si>
    <t>7918001 - 12.47 kg pack</t>
  </si>
  <si>
    <t>Belgian Dark Chocolate 8929A</t>
  </si>
  <si>
    <t>8929A - Price Updated 12/2022</t>
  </si>
  <si>
    <t>Nat Vanilla Ice Cream Flavor CL-VA-25242</t>
  </si>
  <si>
    <t>CL-VA-25242 - 45.36 MOQ</t>
  </si>
  <si>
    <t>Dextrose</t>
  </si>
  <si>
    <t>Raspberry Flavor 1913379</t>
  </si>
  <si>
    <t>SierraSIL</t>
  </si>
  <si>
    <t>Trubroc</t>
  </si>
  <si>
    <t>Factor 21</t>
  </si>
  <si>
    <t>InnoSlim</t>
  </si>
  <si>
    <t>CaloriBurn GP</t>
  </si>
  <si>
    <t>NNBNUTRI</t>
  </si>
  <si>
    <t>ApresFlex</t>
  </si>
  <si>
    <t>Paractin</t>
  </si>
  <si>
    <t>Boron Citrate</t>
  </si>
  <si>
    <t>N-acetyl-Glucosamine</t>
  </si>
  <si>
    <t>Dynamine 40%</t>
  </si>
  <si>
    <t>Oxyjum</t>
  </si>
  <si>
    <t>INNOPHOS</t>
  </si>
  <si>
    <t>3D-pump</t>
  </si>
  <si>
    <t>Pomella</t>
  </si>
  <si>
    <t>VERDURE</t>
  </si>
  <si>
    <t>Cran-Max 40 Mesh</t>
  </si>
  <si>
    <t>Aurora Blue</t>
  </si>
  <si>
    <t>Cell Berry</t>
  </si>
  <si>
    <t>PreForPro</t>
  </si>
  <si>
    <t>Organic Actazin</t>
  </si>
  <si>
    <t>10kg MOQ</t>
  </si>
  <si>
    <t>Organic Triphala</t>
  </si>
  <si>
    <t>Organic Flax Seed Powder</t>
  </si>
  <si>
    <t>PhosphoComplex Silybin</t>
  </si>
  <si>
    <t>60 cc Short Handle NATURAL Scoop</t>
  </si>
  <si>
    <t>NATIONALMEAS</t>
  </si>
  <si>
    <t>900/case_ $57.75/case</t>
  </si>
  <si>
    <t>39 cc SH Natural Scoop, 1200/cs</t>
  </si>
  <si>
    <t>010100 /1200 per case</t>
  </si>
  <si>
    <t>6 cc Long Handle NATURAL Scoop</t>
  </si>
  <si>
    <t>63 cc LH Natural Scoop</t>
  </si>
  <si>
    <t>650 ea./cs</t>
  </si>
  <si>
    <t>67 cc LH Natural Scoop</t>
  </si>
  <si>
    <t>600/case - 100749</t>
  </si>
  <si>
    <t>16 cc BMH Natural</t>
  </si>
  <si>
    <t>2000/bx.</t>
  </si>
  <si>
    <t>1.25 cc SH Natural</t>
  </si>
  <si>
    <t>5500/cs  #100072</t>
  </si>
  <si>
    <t>2.5 cc LH NATURAL SCOOP/flat bottom</t>
  </si>
  <si>
    <t>77 cc Natural Long Handle Scoop</t>
  </si>
  <si>
    <t>12 cc BMH Natural Scoop ( medium handle, bowl bottom scoop)</t>
  </si>
  <si>
    <t>14.79 cc BSH Natural Scoop</t>
  </si>
  <si>
    <t>29.6 cc SH Natural color scoop; 1500/cs</t>
  </si>
  <si>
    <t>3.5 cc LH Scoop Natural color; 1100/cs</t>
  </si>
  <si>
    <t>9 cc Natural Short Handle Scoop</t>
  </si>
  <si>
    <t>4000 PCS</t>
  </si>
  <si>
    <t>6 cc Short Handle NATURAL Scoop</t>
  </si>
  <si>
    <t>5 cc Long Handle Scoop</t>
  </si>
  <si>
    <t>2400/case</t>
  </si>
  <si>
    <t>32 cc Medium Handle Natural</t>
  </si>
  <si>
    <t>5 cc Short Handle Natural</t>
  </si>
  <si>
    <t>6,000 pack size/case</t>
  </si>
  <si>
    <t>25 cc Short Handle Natural Scoop</t>
  </si>
  <si>
    <t>.5 cc SH Natural Scoop</t>
  </si>
  <si>
    <t>4500/CASE    #101546</t>
  </si>
  <si>
    <t>12 cc BLH Natural Scoops</t>
  </si>
  <si>
    <t>2000/case</t>
  </si>
  <si>
    <t>43 cc Natural Long Handle Scoop</t>
  </si>
  <si>
    <t>43LH__900/case</t>
  </si>
  <si>
    <t>20 cc WBLH Natural color long handle wide scoop</t>
  </si>
  <si>
    <t>2500/cs, MOQ</t>
  </si>
  <si>
    <t>16.8 cc Natural Scoop</t>
  </si>
  <si>
    <t>AIRLITEPLAST</t>
  </si>
  <si>
    <t>20 cc "Flat" MH Natural</t>
  </si>
  <si>
    <t>.15 cc white bowl handle sccop</t>
  </si>
  <si>
    <t>18 cc LH FLAT SCOOP</t>
  </si>
  <si>
    <t>0100411 - 1600/cs</t>
  </si>
  <si>
    <t>18 cc MH Flat scoops</t>
  </si>
  <si>
    <t>6 cc MEDIUM  Handle NATURAL Scoop</t>
  </si>
  <si>
    <t>33 cc extra long handle scoop NATURAL</t>
  </si>
  <si>
    <t>900 /case</t>
  </si>
  <si>
    <t>5 cc natural MH scoop</t>
  </si>
  <si>
    <t>50 cc NATURAL Long Handle Scoop</t>
  </si>
  <si>
    <t>50LH_750 per case</t>
  </si>
  <si>
    <t>50 cc WHITE LH Scoop</t>
  </si>
  <si>
    <t>7.5 cc SH Natural Scoop</t>
  </si>
  <si>
    <t>32 cc NATURAL Long Handle Scoop</t>
  </si>
  <si>
    <t>1200 case</t>
  </si>
  <si>
    <t>7.5 cc NATURAL Long Handle Scoop</t>
  </si>
  <si>
    <t>20cc LH Natural Scoops</t>
  </si>
  <si>
    <t>#0101336 - 1500 case</t>
  </si>
  <si>
    <t>23 cc SH Natural Scoop</t>
  </si>
  <si>
    <t>20 cc SH Natural scoop</t>
  </si>
  <si>
    <t>14.79 LH Natural Scoop</t>
  </si>
  <si>
    <t>11 cc Natural Short Handle Scoop</t>
  </si>
  <si>
    <t>0101245 - 3500 cs</t>
  </si>
  <si>
    <t>26.5 cc Short Handle Scoop</t>
  </si>
  <si>
    <t>10 cc Natural Long Handle Scoop</t>
  </si>
  <si>
    <t>3,000 / cs</t>
  </si>
  <si>
    <t>6.5 cc SHORT handle natural scoop</t>
  </si>
  <si>
    <t>25 cc Long Handle Natural Scoop</t>
  </si>
  <si>
    <t>0100543 - 1,200 cs</t>
  </si>
  <si>
    <t>8.5 cc SH Natural Scoop</t>
  </si>
  <si>
    <t>0100746 - 4,000 cs</t>
  </si>
  <si>
    <t>11 cc Medium Handle Natural Scoop</t>
  </si>
  <si>
    <t>0101400 - 3000/cs</t>
  </si>
  <si>
    <t>3.5 cc  Short Handle Natural Scoop</t>
  </si>
  <si>
    <t>2700 cs</t>
  </si>
  <si>
    <t>13 cc Short handle Scoop</t>
  </si>
  <si>
    <t>2700/ case</t>
  </si>
  <si>
    <t>23 cc Long Handle Natural Scoop</t>
  </si>
  <si>
    <t>1400/ case</t>
  </si>
  <si>
    <t>26.5 cc LH scoop</t>
  </si>
  <si>
    <t>1200/cs</t>
  </si>
  <si>
    <t>14.79 cc Natural SH Flat Scoop</t>
  </si>
  <si>
    <t>2500/cs</t>
  </si>
  <si>
    <t>29 cc Long Handle Natural Scoop</t>
  </si>
  <si>
    <t>0101412 - 1200/cs</t>
  </si>
  <si>
    <t>4 cc Short Handle Natural Scoop</t>
  </si>
  <si>
    <t>29.6 cc Long Handle Natural scoop</t>
  </si>
  <si>
    <t>73 cc Long Handle Natural Scoop</t>
  </si>
  <si>
    <t>550scoops/case - Price Updated 1/2023</t>
  </si>
  <si>
    <t>11 cc LONG Handle Natural Scoop</t>
  </si>
  <si>
    <t>2300 per case</t>
  </si>
  <si>
    <t>12 cc SH bowl scoop 1 1/8 x 2 3/4 x 1/2</t>
  </si>
  <si>
    <t>13 cc LH Scoop</t>
  </si>
  <si>
    <t>2000 case</t>
  </si>
  <si>
    <t>39cc Long Handle Scoop Natural</t>
  </si>
  <si>
    <t>#0101389      1,000/cs</t>
  </si>
  <si>
    <t>94 cc LH Natural</t>
  </si>
  <si>
    <t>450/cs</t>
  </si>
  <si>
    <t>10 cc BSH natural</t>
  </si>
  <si>
    <t>10034 - 3500/cs</t>
  </si>
  <si>
    <t>9cc Scoop Long Handle</t>
  </si>
  <si>
    <t>Conjugated linoleic Acid 80% (CLA)</t>
  </si>
  <si>
    <t>MOQ:120k 6,000/ cs</t>
  </si>
  <si>
    <t>CLA 1000 mg 80% CLEAR FROM Safflower Non GMO</t>
  </si>
  <si>
    <t>PC-BK-0176_ 6,000/BX</t>
  </si>
  <si>
    <t>15"x1.5MILx13"Diameter; $1.24 per lb; 
6,867 feet per roll a</t>
  </si>
  <si>
    <t>5.75" Slim Wrapped White School Milk Straw- 12,000/ case   2</t>
  </si>
  <si>
    <t>Coffee Stick Pack 3.5g</t>
  </si>
  <si>
    <t>EU Brazilian Roast Bulk stickpacks</t>
  </si>
  <si>
    <t>ASSEMBLIESUN</t>
  </si>
  <si>
    <t>Cafe Utopia 3.5g stick filling -labor</t>
  </si>
  <si>
    <t>PARADISEPACK</t>
  </si>
  <si>
    <t>Slimroast Optimum Bulk stickpacks-labor</t>
  </si>
  <si>
    <t>Slimroast Optimum Packed 20ct Bag- Labor</t>
  </si>
  <si>
    <t>TETONLABS</t>
  </si>
  <si>
    <t>.05 X 80mmW X 180mm H, clear, full body, no perf</t>
  </si>
  <si>
    <t>.05 x 63mm layflat x 146.05mm, clear fullbody shrinks w/ ver</t>
  </si>
  <si>
    <t>.05 x 38 x 25 (1")  Black printed SFYP; Vert. perf</t>
  </si>
  <si>
    <t>OAKLEEINTERN</t>
  </si>
  <si>
    <t>5,000 MOQ</t>
  </si>
  <si>
    <t>.05x77mmx53mm clear w/ blk print vert perf</t>
  </si>
  <si>
    <t>.05 x 185 x 40mm Clear Neckband w/ Perf</t>
  </si>
  <si>
    <t>DNU 45mm cap TE Neckband 78X26mm  prnt SFYP</t>
  </si>
  <si>
    <t>$45.00 MOQ</t>
  </si>
  <si>
    <t>0.5x185x40MM TE band for RSP 600 gm jar</t>
  </si>
  <si>
    <t>35X133mm Clear full body shrink T-perf/2ml for black SAM tub</t>
  </si>
  <si>
    <t>AMERI-SEALIN</t>
  </si>
  <si>
    <t>71X25mm SFYP 200cc pill bottle TE bands</t>
  </si>
  <si>
    <t>.05 x 190 x 40mm clear w/ vert. perf.</t>
  </si>
  <si>
    <t>2400 pcs; $45 MOQ 2-4 days</t>
  </si>
  <si>
    <t>.05 x 77 x 26  black, SFYP; PERF, For 45mm cap</t>
  </si>
  <si>
    <t>MOQ, 5,000</t>
  </si>
  <si>
    <t>55X27mm TE band for 16 oz boston round bottle TE Neck Band w</t>
  </si>
  <si>
    <t>150 x 110 clear perforated FBSS</t>
  </si>
  <si>
    <t>0.66 clear, single vertical perforation sleeve. Purchased by</t>
  </si>
  <si>
    <t>0.66  x 134 clear, single vertical perforation sleeve</t>
  </si>
  <si>
    <t>52 x 80 clear, single vertical perforation sleeve to use for</t>
  </si>
  <si>
    <t>.05 X 150 X 50 Clear w/vert. perf,</t>
  </si>
  <si>
    <t>3/4 " Round TE clear sticker; 20 piece sheet</t>
  </si>
  <si>
    <t>CLEARBAGS</t>
  </si>
  <si>
    <t>.05 x 42 x 25 2 mil Clr/ Blk SFYP w/ SVPerforation</t>
  </si>
  <si>
    <t>38/400 .05 x 67mm x 25mm clear w/blk Prnt/Perf</t>
  </si>
  <si>
    <t>53/400 TE Neckband .05mm x 90mm x 25mm clear w/blk Prnt/Perf</t>
  </si>
  <si>
    <t>35X67mm Clear half body shrink V-perf/2ml for black SAM tub</t>
  </si>
  <si>
    <t>.05 x 66mm x 25mm Clear NO PRINT Vert Perf TE for 38/400</t>
  </si>
  <si>
    <t>4,400/pk, MOQ</t>
  </si>
  <si>
    <t>.05 X 240 X 80 Clear NO Perf</t>
  </si>
  <si>
    <t>.05 X 150 X 34 Clear w/vert. perf,</t>
  </si>
  <si>
    <t>.05 x 55 x 75 clear with vertical perforation</t>
  </si>
  <si>
    <t>80,000 order price; $45 MOQ</t>
  </si>
  <si>
    <t>.05 X 42 X 135 Tamper Evident Neckband Full Vertical Perf</t>
  </si>
  <si>
    <t>Quote#:7632</t>
  </si>
  <si>
    <t>66 x 46 (2 mil) Clear SFYP</t>
  </si>
  <si>
    <t>.05 X 42 X 25 CLEAR with Vert Perf</t>
  </si>
  <si>
    <t>105 mm x 45mm TE neckband w/ vertical perf</t>
  </si>
  <si>
    <t>3,300 MOQ</t>
  </si>
  <si>
    <t>.05x77x26 Clear w/ Vert Perf</t>
  </si>
  <si>
    <t>48mm x 28mm neckband 200 gauge PVC</t>
  </si>
  <si>
    <t>48 x 28 mm Perf Shrink Band S-12227*check TE-0051 for more</t>
  </si>
  <si>
    <t>S-12227</t>
  </si>
  <si>
    <t>.05 x 152 x 50 clear w/vert perf</t>
  </si>
  <si>
    <t>.05 x 152 x 34 clear w/vert perf</t>
  </si>
  <si>
    <t xml:space="preserve"> 62 X 44 W/SVPCLR CUT BANDS</t>
  </si>
  <si>
    <t>.05 x 38 x 25 clear with vert perf</t>
  </si>
  <si>
    <t>.05 x 66mm  x 24mm NO PRINT Vert PERF</t>
  </si>
  <si>
    <t>48mm x 28mm; perforated neckband *check TE-0044* for more</t>
  </si>
  <si>
    <t>S-12227  pack size: 1,000</t>
  </si>
  <si>
    <t>.05 x 52 x 25 clear  w/vert perf</t>
  </si>
  <si>
    <t>.05 x 38 x 500 meters CLEAR PVC ROLL STOCK ( 1 roll 20,000)</t>
  </si>
  <si>
    <t>1 roll yield 20,000</t>
  </si>
  <si>
    <t>.05 x 52 x 500 meters CLEAR PVC ROLL STOCK w/Vert Perf</t>
  </si>
  <si>
    <t>1 roll yields 20,000</t>
  </si>
  <si>
    <t>.05 X 150 X 83 Clear w/vert. perf,</t>
  </si>
  <si>
    <t>.05 x 40  x 500 meters CLEAR PVC ROLL STOCK ( 1 roll 20,000)</t>
  </si>
  <si>
    <t>.05 x 155 x 83 Clear w/vert perf</t>
  </si>
  <si>
    <t>10.000 per case</t>
  </si>
  <si>
    <t>.05 x 155 x 500 meters NO PERF  CLEAR PVC ROLL STOCK</t>
  </si>
  <si>
    <t>0.5 x185 x  36 clear with vert perf</t>
  </si>
  <si>
    <t>.05 x 125 x 85 Clear with Vert perf full body</t>
  </si>
  <si>
    <t>.05 x 70 x 120 seamed PET with VERT PERF</t>
  </si>
  <si>
    <t>.05 x 77 x 76  printed SFYP</t>
  </si>
  <si>
    <t>.05 x 155  x 110 clear with vert perf</t>
  </si>
  <si>
    <t>.05 X 270 X 125  Clear Perf Neckband- Small Box</t>
  </si>
  <si>
    <t>.05 X 330 X 180  Clear Perf Neckband - Large Box</t>
  </si>
  <si>
    <t>.05 x 68mm x 26 mm clear w/blk Prnt/Perf</t>
  </si>
  <si>
    <t>.05 x 155 x 500 meters WITH VERT PERF  CLEAR ROLL STOCK</t>
  </si>
  <si>
    <t>.05 x 150 x 155 w/vert perf</t>
  </si>
  <si>
    <t>.05x48x500 Clear w/Vert Perf - Roll</t>
  </si>
  <si>
    <t>.05x40x500 Clear w/Vert Perf Roll</t>
  </si>
  <si>
    <t xml:space="preserve"> .05 x 102 x 55  Clear with Vetical Perf Full Body</t>
  </si>
  <si>
    <t>.05 x 150 x 175 Clear w/Vert Perf Full Body</t>
  </si>
  <si>
    <t>.05 x 52 x 115 Clear w/Vert Perf</t>
  </si>
  <si>
    <t>.05 x 118 x 50 Clear with Vert/Perf</t>
  </si>
  <si>
    <t>.05 x 58 x 118 Clear w/ Vert. Perf</t>
  </si>
  <si>
    <t>66mm  x 28mm  clear perf neck band</t>
  </si>
  <si>
    <t>.05 x 77 x 26 blk SFYP; NO PERF, for 45mm cap</t>
  </si>
  <si>
    <t>44mm x 25mm SFYP neckbands w/ vert perf</t>
  </si>
  <si>
    <t>.05 x 145 x 56  Vert perf clear neckband  200 pvc gage</t>
  </si>
  <si>
    <t>S-18631</t>
  </si>
  <si>
    <t>.05 x 140 x 90  Vert perf clear neckband</t>
  </si>
  <si>
    <t>MOQ 4k</t>
  </si>
  <si>
    <t>.05x 70x105 clear seamed, PET w/vert perf</t>
  </si>
  <si>
    <t>.05 x 60 Clear w/vert. perf</t>
  </si>
  <si>
    <t>.05 x 200 x 50 clear w/vertical perf</t>
  </si>
  <si>
    <t>for 120/400 cap</t>
  </si>
  <si>
    <t>.05 x 205 x 28  clear PVC w/vertical perf</t>
  </si>
  <si>
    <t>s-22536</t>
  </si>
  <si>
    <t>.05 x 70 x 105 clear PET Dual Vert Perf w/ Pull tab</t>
  </si>
  <si>
    <t>quote:18725</t>
  </si>
  <si>
    <t>.05X70X162 Clear, Seamed, PETG W/Vertical Perf - 4 oz bottle</t>
  </si>
  <si>
    <t>.05 x 95 x 40 Clear with vertical Perforation</t>
  </si>
  <si>
    <t>98mm x 87mm _2.0mil clear double perf neckband</t>
  </si>
  <si>
    <t>74x24 perf_sample:746</t>
  </si>
  <si>
    <t>102mm  x 60mm_ 2.0mil_Clear double Perf neckband</t>
  </si>
  <si>
    <t>58x54 perf_ Sample req:746</t>
  </si>
  <si>
    <t>.05 x 40 x 51 Clear Perforated 2.0 mil</t>
  </si>
  <si>
    <t>NECKBAND FOR NASAL SPRAY NEED DIMS</t>
  </si>
  <si>
    <t>55 x 140 Clear Vert perf Tribag</t>
  </si>
  <si>
    <t>tribag open top&amp; open bottom MOQ 25,000</t>
  </si>
  <si>
    <t>56/57 x 120 2.0 Clear Perforated</t>
  </si>
  <si>
    <t>98 x 72 Clear Perforated</t>
  </si>
  <si>
    <t>48 x 100  clear with vert perf</t>
  </si>
  <si>
    <t>.05 x 77 x 210 clear (PETG)  with vert perf</t>
  </si>
  <si>
    <t>80 x 110 clear 2.0  vert perf</t>
  </si>
  <si>
    <t>55 x 105 2.0 C1R Tribag</t>
  </si>
  <si>
    <t>25,000 min.</t>
  </si>
  <si>
    <t>55 x 140 2.0 Full Sleeve Clear w/ Vert Perforation</t>
  </si>
  <si>
    <t>77 x 210 1.5 mil Clear</t>
  </si>
  <si>
    <t>3500 ea MOQ</t>
  </si>
  <si>
    <t>100 x 215 Dome Top Bag w/ Verticle Perf.</t>
  </si>
  <si>
    <t>.05 x 58 x 110 PETG, Seamed w/ Vert. Perf</t>
  </si>
  <si>
    <t>.05 x 75 x 31 Clear No Print Vert Perf</t>
  </si>
  <si>
    <t>.05 x 190 x 40mm Clear w/ NO Perf</t>
  </si>
  <si>
    <t>.05 x 110 x 95 Clear w/ Vert Perf. Full Body</t>
  </si>
  <si>
    <t>5000 ea</t>
  </si>
  <si>
    <t>.05 x 85.5 x55 Clear w/ Vert Perf</t>
  </si>
  <si>
    <t>2600 MOQ</t>
  </si>
  <si>
    <t>.05 x 150 x 100 Clear w/ Vert Perf</t>
  </si>
  <si>
    <t>.05 x 42 Clear w/ Black Print "SFYP" w/ Vert. Perf</t>
  </si>
  <si>
    <t>1 roll pack size</t>
  </si>
  <si>
    <t>.07 x 68 x 50 black gloss neckband, Vert Perf; Zen Gourmet</t>
  </si>
  <si>
    <t>10 1/16X7 1/2 X 2 1/2 brown tray, 29 ECT, requires assembly</t>
  </si>
  <si>
    <t>PRATTINDUSTR</t>
  </si>
  <si>
    <t>11 1/16 X 8 7/16 X 2 1/2; 32ECT B; For 16.9oz Amcor Dome Top</t>
  </si>
  <si>
    <t>File#:843</t>
  </si>
  <si>
    <t>9 1-8X6 13-16X2 29 ect Tray-12 pk 8oz Amcor hinge (FLAT FORM</t>
  </si>
  <si>
    <t>11 1/4 X 8 1/4 X 2 1/2 ECT32 TRAY- for 16.9oz bottle</t>
  </si>
  <si>
    <t>5 in 1 tubes PLAIN 2 ML</t>
  </si>
  <si>
    <t>GUANGZHOU</t>
  </si>
  <si>
    <t xml:space="preserve"> 5 in1 tubes 2 ml  PRINTED Hemplevate</t>
  </si>
  <si>
    <t>5 in 1 PLAIN tubes 1.5 ml</t>
  </si>
  <si>
    <t>5 in 1 printed tubes M.O.R.E Detox 2ml</t>
  </si>
  <si>
    <t>Amazon Origins; CAMU POWDER (Radiant Dried)</t>
  </si>
  <si>
    <t>Amazon Origins; BiAloe Powder</t>
  </si>
  <si>
    <t>Camu Camu Star -K Puree</t>
  </si>
  <si>
    <t>Alpha CutThermogenic Fat Burner Capsules Label</t>
  </si>
  <si>
    <t>ALPHA PRO</t>
  </si>
  <si>
    <t>Heart Burn PS Wrap Label Arrae</t>
  </si>
  <si>
    <t>Amped Coffee printed black bag</t>
  </si>
  <si>
    <t>ASD</t>
  </si>
  <si>
    <t>Happy Tides Printed Bag</t>
  </si>
  <si>
    <t>Amplifei Earth Shake 28 serv CS bag</t>
  </si>
  <si>
    <t>Amplifei TEMP Earth Shake Bag 7X11 1/2 + 4(INCH) 5.4MIL</t>
  </si>
  <si>
    <t>12oz PET Black Jar 89mm neck</t>
  </si>
  <si>
    <t>14oz HDPE Black Jar 89mm neck</t>
  </si>
  <si>
    <t>ASD Immune Display  Box</t>
  </si>
  <si>
    <t>ASD Silver display box</t>
  </si>
  <si>
    <t>HapiTides Citrus Nucleotide Drink FRONT PANEL BAG LABEL</t>
  </si>
  <si>
    <t>ShutEi 60ct PS Wrap label</t>
  </si>
  <si>
    <t>EnergyAH 60ct PS Label</t>
  </si>
  <si>
    <t>NaturalAH 60 ct PS Label</t>
  </si>
  <si>
    <t>AMPED Original Coffee 14oz PS Wrap label</t>
  </si>
  <si>
    <t>1oz Pet Hemp 300mg  PS Wrap label</t>
  </si>
  <si>
    <t>1 oz Pet Hemp 300mg PS Wrap Label</t>
  </si>
  <si>
    <t>OFF 4ct Packet FOIL</t>
  </si>
  <si>
    <t>c/o consolidated</t>
  </si>
  <si>
    <t>ON 2ct packet FOIL</t>
  </si>
  <si>
    <t>HapiTides Stickpack foil</t>
  </si>
  <si>
    <t>HapiTides 90 serv Tub PS Wrap label</t>
  </si>
  <si>
    <t>HAPITIDES 90 SERV PS WRAP LABEL</t>
  </si>
  <si>
    <t>HapiCaps 30ct PS Wrap Label</t>
  </si>
  <si>
    <t>HapiTides 30serv PS wrap label for 19oz TUB</t>
  </si>
  <si>
    <t>C/O wizard</t>
  </si>
  <si>
    <t>HapiHumol 30 ct PS Wrap label</t>
  </si>
  <si>
    <t>Coffee Stickpack foil</t>
  </si>
  <si>
    <t>HAPITIDES CHOCOLATE PS WRAP LABEL</t>
  </si>
  <si>
    <t>DNU_HapiTides Acai PS wrap label</t>
  </si>
  <si>
    <t>HapiTides Acai 30 serv PS Wrap</t>
  </si>
  <si>
    <t>Haptides ACAI 19oz 30 Ct Serving TUB</t>
  </si>
  <si>
    <t>AMPED COFFEE 14 oz CANADA PS wrap label</t>
  </si>
  <si>
    <t>Amped Coffee Uforia</t>
  </si>
  <si>
    <t>Xpedition Cafe 14oz PS wrap label* order &amp; invoice client*</t>
  </si>
  <si>
    <t>Immune PS Wrap label , customer supplied</t>
  </si>
  <si>
    <t>**ALT ORDERS** Collodial Silver PS wrap label</t>
  </si>
  <si>
    <t>c/o Amplifei</t>
  </si>
  <si>
    <t>Pure Silver Amplife 2 oz wrap label</t>
  </si>
  <si>
    <t>Amplifei Earth Shake Bag Temp Back label</t>
  </si>
  <si>
    <t>Amplifei Earth Shake Bag Temp FRONT label</t>
  </si>
  <si>
    <t>Collodial Silver ppm Liquid</t>
  </si>
  <si>
    <t>BIOGENUS</t>
  </si>
  <si>
    <t>C/O Amplifei CS Material</t>
  </si>
  <si>
    <t>7oz PET clear bottle; 28/400 neck</t>
  </si>
  <si>
    <t>28/410 Lime Green TE Crack Neck band cap</t>
  </si>
  <si>
    <t>After Party Recovery; under neck shrink sleeve label; custom</t>
  </si>
  <si>
    <t>Opus; After Party Recovery CS Tray: 15x10x2.5 TRAY; 24 btls/</t>
  </si>
  <si>
    <t>Oligen</t>
  </si>
  <si>
    <t>Avant Garde EYE CREAM PS WRAP LABEL</t>
  </si>
  <si>
    <t>AVANTGARDE</t>
  </si>
  <si>
    <t>M1 Bol 60 Ct</t>
  </si>
  <si>
    <t>17 Bol 60 ct Bottle Avry Labs</t>
  </si>
  <si>
    <t>FSHO 30day tincture 2oz 600mg PS wrap label</t>
  </si>
  <si>
    <t>600mg 2oz CBD WS Sour Diesel Terpene PS wrap label</t>
  </si>
  <si>
    <t>Blueberry Nootropic 20mg CBD Shot FBSS label-cut &amp; preperf</t>
  </si>
  <si>
    <t>Blue Dog PCR Softgels</t>
  </si>
  <si>
    <t>BLUDOGPRODU</t>
  </si>
  <si>
    <t>Red Beet Juice Concentrate CLBETT0055/CC00180008</t>
  </si>
  <si>
    <t>DIANAFOOD</t>
  </si>
  <si>
    <t>14 kg pail</t>
  </si>
  <si>
    <t>Prenatal Mutli Be Healthy Co Wrap Label</t>
  </si>
  <si>
    <t>POSTNatal Mutli Be Healthy Co Wrap Label</t>
  </si>
  <si>
    <t>Be Healthy Co - Protein Shake - Vanilla - CS- 6.25" x 16" W</t>
  </si>
  <si>
    <t>Be Healthy Co - Protein Shake - Chocolate - CS- 6.25" x 16"</t>
  </si>
  <si>
    <t>Energy 30 Ct Beleaf Medical</t>
  </si>
  <si>
    <t>BELEAF</t>
  </si>
  <si>
    <t>Natural 30 Ct Beleaf Medical</t>
  </si>
  <si>
    <t>Sleep 30 Beleaf Medicine</t>
  </si>
  <si>
    <t>CBD Relief Cream 2oz</t>
  </si>
  <si>
    <t>Healing Balm Tin Can Bottom J&amp;S Biotech</t>
  </si>
  <si>
    <t>Healing Balm Lid Tin Can J&amp;S Biotech</t>
  </si>
  <si>
    <t>Healing Balm Display Case J &amp;S Biotech</t>
  </si>
  <si>
    <t>MASTER CASE 108 COUNT 13 x 9 x 11</t>
  </si>
  <si>
    <t>BEEKEEPERS</t>
  </si>
  <si>
    <t>BeeKeepers Master Case</t>
  </si>
  <si>
    <t>Master Case 120 Count/20 inner boxes</t>
  </si>
  <si>
    <t>20/410 Yellow Nasal Sprayer PMS115C</t>
  </si>
  <si>
    <t>BeeKeepers Display Box</t>
  </si>
  <si>
    <t>BeeKeepers Nasal Spray Display Box</t>
  </si>
  <si>
    <t>BeeKeepers Propolis Nasal Spray Inner Case</t>
  </si>
  <si>
    <t>Beekeepers Nasal Spray Autolock Box</t>
  </si>
  <si>
    <t>BeeKeepers Display Box /Holds 6 Bottles</t>
  </si>
  <si>
    <t>BeeKeepers Nasal Spray + Display Box</t>
  </si>
  <si>
    <t>Beekeepers Nasal Spray - 6 pack white box</t>
  </si>
  <si>
    <t>BEEKEEPER INSERT 1</t>
  </si>
  <si>
    <t>BeeKeeper Insert 2</t>
  </si>
  <si>
    <t>Beekeepers Propolis Nasal Spray CS Wrap Label 1.719"H  X 4"W</t>
  </si>
  <si>
    <t>Beekeepers Propolis Nasal Spray + CS Wrap Label 1.719"H X4"W</t>
  </si>
  <si>
    <t>Bee Propolis Liquid Extract</t>
  </si>
  <si>
    <t>BLACK CHERRY FSHO 2oz</t>
  </si>
  <si>
    <t>MINT FSHO</t>
  </si>
  <si>
    <t>DNU_HapiCaps 30ct PS Wrap label</t>
  </si>
  <si>
    <t>DNU CLEAN SLATE PS wrap label for 1oz glass btl</t>
  </si>
  <si>
    <t>BOOTHEELLAB</t>
  </si>
  <si>
    <t>NAVAN Daily Detox PS wrap label</t>
  </si>
  <si>
    <t>Clean Spirits Zeo Solution PS Wrap Label</t>
  </si>
  <si>
    <t>Combo box divider</t>
  </si>
  <si>
    <t>PRINT 24/7</t>
  </si>
  <si>
    <t>Superwet Combo box divider</t>
  </si>
  <si>
    <t>Super Wet MINT Display Box</t>
  </si>
  <si>
    <t>TBG</t>
  </si>
  <si>
    <t>Mint Super Wet Display Box</t>
  </si>
  <si>
    <t>Super Wet Fruit Punch Display Box</t>
  </si>
  <si>
    <t>Fruit Punch Super Wet Display Box</t>
  </si>
  <si>
    <t>Super Wet Lemon Display Box</t>
  </si>
  <si>
    <t>Lemon Superwet Display Box</t>
  </si>
  <si>
    <t>Super Wet Cherry Lime Display Box</t>
  </si>
  <si>
    <t>Super Wet Display Box Peach  4 x 4 x 4.75</t>
  </si>
  <si>
    <t>Super Wet Display Box Pina Coloda  4 x 4 x 4.75</t>
  </si>
  <si>
    <t>Superwet COMBO display box</t>
  </si>
  <si>
    <t>Mint Superwet Sleeve</t>
  </si>
  <si>
    <t>Fruit Punch Sleeve Super Wet</t>
  </si>
  <si>
    <t>Lemon Super Wet Sleeve</t>
  </si>
  <si>
    <t>SUPER WET Cherry Lime Shrink Sleeve Label</t>
  </si>
  <si>
    <t>Super Wet Peach Shrink sleeve label; Dimensions: 125mm Heigh</t>
  </si>
  <si>
    <t>Super Wet Pina Colada Shrink sleeve label; Dimensions: 125mm</t>
  </si>
  <si>
    <t>Carotec; MSM The Universal Molecule wrap label</t>
  </si>
  <si>
    <t>OptiMSM Flakes
Pack size: 20 kg</t>
  </si>
  <si>
    <t>Centech; Hydrablast Hydration Spray; 12 pack printed display</t>
  </si>
  <si>
    <t>Centech; 2 oz Hydrablast Hydration Spray; 12 pack printed di</t>
  </si>
  <si>
    <t>Centech; 1 oz Hydrablast Hydration Spray; Master Case</t>
  </si>
  <si>
    <t>1oz Hydrablast Hydration Spray; Full Body Shrink Sleeve over</t>
  </si>
  <si>
    <t>Centech; PrevailMax; 2oz FBSS Wrap label</t>
  </si>
  <si>
    <t>PREVAIL K-9; 2oz PS WRAP LABEL</t>
  </si>
  <si>
    <t>Prevail Max Eu Compliant FBSS label</t>
  </si>
  <si>
    <t>Detox  120ct Label</t>
  </si>
  <si>
    <t>CS: Deca-Bol 30ct caplet PS Wrap Label</t>
  </si>
  <si>
    <t>CS: HyperGrowth 5X Wrap label</t>
  </si>
  <si>
    <t>CIBEXOLABS</t>
  </si>
  <si>
    <t>Superfoodz Greens Berry 30 Serv</t>
  </si>
  <si>
    <t>MRP Chocolate 30 serv Label</t>
  </si>
  <si>
    <t>MRP Vanilla 30 Serv Label</t>
  </si>
  <si>
    <t>Full Spectrum Hemp Oil 660mg IC printed box; 1 btl/bx</t>
  </si>
  <si>
    <t>CSS</t>
  </si>
  <si>
    <t>BERRY FSHO 660mg IC printed box; 1 btl/bx</t>
  </si>
  <si>
    <t>CSS FS HEMP TOPICAL printed display box</t>
  </si>
  <si>
    <t>CSS FS Hemp Oil 660mg MINT IC printed box; 1 btl/bx</t>
  </si>
  <si>
    <t>ADK10 90ct Capsule REWORK</t>
  </si>
  <si>
    <t>COMMONSENSE</t>
  </si>
  <si>
    <t>Low TE Belly Buddies Wrap Label</t>
  </si>
  <si>
    <t>Belly Buddies Wrap Label</t>
  </si>
  <si>
    <t>Belly Buddies PS Wrap Label</t>
  </si>
  <si>
    <t>BELLY BUDDIES PS WRAP LABEL - CUSTOMER SUPPLIED</t>
  </si>
  <si>
    <t>CSS BELLY BUDDIES PS WRAP LABEL</t>
  </si>
  <si>
    <t>DNU CSS MINT Full Spectrum Hemp Oil 660mg; PS wrap label</t>
  </si>
  <si>
    <t>CSS MINT FS Hemp OIl 660mg PS wrap label</t>
  </si>
  <si>
    <t>C/O Wizard Labels</t>
  </si>
  <si>
    <t>ADK 10 90 Ct LowTE Wrap Label</t>
  </si>
  <si>
    <t>Berry FSHO PS wrap label for 2oz bottle</t>
  </si>
  <si>
    <t>ADK10 90ct PS wrap label</t>
  </si>
  <si>
    <t>ADK 10 90 Count Wrap Label</t>
  </si>
  <si>
    <t>FSHO HEMP TOPICAL PS WRAP LABEL</t>
  </si>
  <si>
    <t>HOTZE MINT FS Hemp Oil 660mg PS Wrap label</t>
  </si>
  <si>
    <t>HORTZ Hemp Topical PS wrap label</t>
  </si>
  <si>
    <t>CSS ADK5 60ct PS Wrap Label</t>
  </si>
  <si>
    <t>CSS CAMU 60ct PS WRAP LABEL</t>
  </si>
  <si>
    <t>Cellular Energy PS Wrap Label</t>
  </si>
  <si>
    <t>Dim 150mg Capsule PS Wrap Label 2.0" H X 5.5" W (Customer Su</t>
  </si>
  <si>
    <t>Low TE Dim 60 Ct 2.0" H X 5.5" W</t>
  </si>
  <si>
    <t>Clean Pets 30ml</t>
  </si>
  <si>
    <t>Envirem Skin Defense</t>
  </si>
  <si>
    <t>Merci Du Pris 120ml</t>
  </si>
  <si>
    <t>Clean Slate ROOT USA No Minerals</t>
  </si>
  <si>
    <t>DEL; FIT SHAKE UNFLAVORED PS WRAP LABEL</t>
  </si>
  <si>
    <t>Doc+s Healthy Hemp 300mg CBD PS Wrap Label</t>
  </si>
  <si>
    <t>DOCSHEALTHYH</t>
  </si>
  <si>
    <t>Doc+s Healthy Hemp 600mg PS Wrap Label</t>
  </si>
  <si>
    <t>Doc+s Healthy Hemp 900mg PS Wrap label</t>
  </si>
  <si>
    <t>Doc+s Healthy Hemp 1500mg PS Wrap Label</t>
  </si>
  <si>
    <t>Doc+s Healthy Hemp 30ct Softgels PS Wrap label</t>
  </si>
  <si>
    <t>CS 300mg Phytocannabinoid Rich Extract</t>
  </si>
  <si>
    <t>CS 600mg Phytocannabinoid Rich Extract</t>
  </si>
  <si>
    <t>CS 900mg Phytocannabinoid Rich Extract</t>
  </si>
  <si>
    <t>CS 1500mg Phytocannabinoid Rich Extract</t>
  </si>
  <si>
    <t>CS Phytocannabinoid SoftGels</t>
  </si>
  <si>
    <t>Dioxyme MPO PRINTED BAG CS</t>
  </si>
  <si>
    <t>DIOXYME</t>
  </si>
  <si>
    <t>DIOXYME MPO PRINTED BAG</t>
  </si>
  <si>
    <t>6 oz Glass Jar 63/400 neck</t>
  </si>
  <si>
    <t>Dioxyme BLUE print CLA 120ct Softgel PS Wrap Label</t>
  </si>
  <si>
    <t>Dioxyme White Print CLA 120ct Softgel PS Wrap label</t>
  </si>
  <si>
    <t>Dioxyme New Flavor circle sticker for MPO bags</t>
  </si>
  <si>
    <t>Divine BURN 30 Servings Wrap Label</t>
  </si>
  <si>
    <t>CS: DRC 2LB Plain Stand Up Pouch Silver</t>
  </si>
  <si>
    <t>Warrior Water 2 oz PS Wrap Label</t>
  </si>
  <si>
    <t>ERICNEPUTE</t>
  </si>
  <si>
    <t>Alive 300 Display Box 30 Servings</t>
  </si>
  <si>
    <t>Alive 600  Display Box</t>
  </si>
  <si>
    <t>Alive 1200 Display Box</t>
  </si>
  <si>
    <t>Ease 300 30 Servings</t>
  </si>
  <si>
    <t>Ease 600 Display Box</t>
  </si>
  <si>
    <t>Ease 1200 Display Box</t>
  </si>
  <si>
    <t>Sleep 200 Display Box</t>
  </si>
  <si>
    <t>Alive 300 30 Servings Wrap Label</t>
  </si>
  <si>
    <t>Alive 600 30 Servings Wrap Label</t>
  </si>
  <si>
    <t>Alive 1200 30 Servings Wrap Label</t>
  </si>
  <si>
    <t>Ease 300 30 Servings Wrap Label</t>
  </si>
  <si>
    <t>Ease 600 30 Servings Wrap Label</t>
  </si>
  <si>
    <t>Ease 1200 30 Servings Wrap Label</t>
  </si>
  <si>
    <t>Sleep 200 30 Servings Wrap Label</t>
  </si>
  <si>
    <t>Oligen 30 ct Label</t>
  </si>
  <si>
    <t>Skin Pro 2oz Display Box</t>
  </si>
  <si>
    <t>O2 Skin Spray 2oz Label</t>
  </si>
  <si>
    <t>Skin Pro 2 oz label EF Tropics</t>
  </si>
  <si>
    <t>O2 Skin Spray 8oz Label</t>
  </si>
  <si>
    <t>Elevacity HAPPY SHAKE  prnt Bag 9.75” H x 7.5” W x 3”gus zip</t>
  </si>
  <si>
    <t>art/plates $300/color</t>
  </si>
  <si>
    <t>*ALT* NEW Vanilla  Fit &amp; Happy Shake Printed Bag</t>
  </si>
  <si>
    <t>*ALT* NEW Fit &amp; Happy Mocha Shake Printed Bag</t>
  </si>
  <si>
    <t>*ALT* Happy Shake 28 serving Printed Bag</t>
  </si>
  <si>
    <t>30 mL Jar</t>
  </si>
  <si>
    <t>ELEVACITY</t>
  </si>
  <si>
    <t>Elevacity HEMPLEVATE printed display box 1 btl/bx</t>
  </si>
  <si>
    <t>Elevate MAX 20ct IC box</t>
  </si>
  <si>
    <t>ELEVATE MAX 20CT DISPLAY BOX</t>
  </si>
  <si>
    <t>65000_R0620_ElevateMax_HappyCoffee_20ct</t>
  </si>
  <si>
    <t>Happy Co Daybreak 20 ct box</t>
  </si>
  <si>
    <t>Happy Co Elevate Daybreak 20 ct box</t>
  </si>
  <si>
    <t>HappyCo Goldcoast 20ct IC Box_Autolock</t>
  </si>
  <si>
    <t>Happy Co. Unwined 20ct IC Box</t>
  </si>
  <si>
    <t>Happy Co Unwined 20ct IC Box</t>
  </si>
  <si>
    <t>HappyCo Zest+ 20ct IC Box Autolock</t>
  </si>
  <si>
    <t>Happy Co Zest + 20ct box</t>
  </si>
  <si>
    <t>HappyCo MAX 20CT DISPLAY BOX- INVOICE CLEINT</t>
  </si>
  <si>
    <t>HappyCo Defense Drop 2oz Printed Box_double tuck tabs</t>
  </si>
  <si>
    <t>Quote:3-19-21</t>
  </si>
  <si>
    <t>Happy Co Nitro 20ct Box</t>
  </si>
  <si>
    <t>30mL Jar CAP</t>
  </si>
  <si>
    <t>30ml DISC INSERT</t>
  </si>
  <si>
    <t>PURE REWORK_ BB DATE EXTENTION</t>
  </si>
  <si>
    <t>Zest 20ct Stickpack Boxes REWORK</t>
  </si>
  <si>
    <t>Nitro Coffee Box-20ct MR12  REWORK</t>
  </si>
  <si>
    <t>UNWINED 14oz LABEL  (MR 12 REFORMULATION)</t>
  </si>
  <si>
    <t>XANTHOMAX 30ct Return for Rework</t>
  </si>
  <si>
    <t>Elevate Brew PROMOTIONAL PS wrap label</t>
  </si>
  <si>
    <t>Correct Size Elevate Brew PS Wrap label; 30 servings</t>
  </si>
  <si>
    <t>Timeless PS Wrap Label</t>
  </si>
  <si>
    <t>Elevate Max Stickpack Box 20 Ct</t>
  </si>
  <si>
    <t>XANTHOMAX 30 Ct PS WRAP LABEL 5.5L X 2H</t>
  </si>
  <si>
    <t>DNU pure 2.0  PS wrap label</t>
  </si>
  <si>
    <t>Elevacity PURE PS Wrap label ( Teal background)</t>
  </si>
  <si>
    <t>dnu KETOCRE PS WRAP LABEL</t>
  </si>
  <si>
    <t>KetroCre PS Wrap label w/ barcode</t>
  </si>
  <si>
    <t>dnu 25oz Chocolevate v5 PS Wrap Label</t>
  </si>
  <si>
    <t>Hemplevate 2oz PS Wrap label</t>
  </si>
  <si>
    <t>Elevated Stickpack Foil 14up RIPSTIX</t>
  </si>
  <si>
    <t>14UP RIPSTIX_ plates:$300/color</t>
  </si>
  <si>
    <t>Elevacity CHOCOLEVATE 36mm_10UP Stickpack foil</t>
  </si>
  <si>
    <t>Revised Hemplevate Pets Hemp Oil 1oz PS Wrap label</t>
  </si>
  <si>
    <t>Pet Hemplevate PS Wrap label - barcode</t>
  </si>
  <si>
    <t>Hemplevate Coffee Bean Labels -for Convention samples</t>
  </si>
  <si>
    <t>Hemplevate Shareables 5-2mL Vial PS wrap label 3x4</t>
  </si>
  <si>
    <t>DNU Elevate Coffee NITRO PS Wrap label</t>
  </si>
  <si>
    <t>NITRO PS WRAP LABEL revision0120</t>
  </si>
  <si>
    <t>Happy Co Nitro 14oz Tub Wrap Label</t>
  </si>
  <si>
    <t>CANADA Choclevate PS Wrap label</t>
  </si>
  <si>
    <t>CANADA XANTHOMAX Peel/Reveal PS WRAP LABEL</t>
  </si>
  <si>
    <t>PASSION LABE</t>
  </si>
  <si>
    <t>CANADA Elevate Coffee PS Wrap label</t>
  </si>
  <si>
    <t>Elevate Canada MR10 PS Wrap Label</t>
  </si>
  <si>
    <t>Choclevate- no added caffeine PS wrap label</t>
  </si>
  <si>
    <t>Choclevate PS Wrap Label Caffeine Free</t>
  </si>
  <si>
    <t>HappyCO Choclevate PS Wrap label Caffeine Free</t>
  </si>
  <si>
    <t>Elevactiy Choclevate PS Wrap Label Caffeine Free</t>
  </si>
  <si>
    <t>Happy Co CHOCLEVATE PS Wrap Label Caffeine Free</t>
  </si>
  <si>
    <t>Elevate + 2.0 Smart Coffee PS Wrap label _8.12.2019</t>
  </si>
  <si>
    <t>New Elevate Coffee Bag sticker label</t>
  </si>
  <si>
    <t>ORDER #:85389</t>
  </si>
  <si>
    <t>Elevacity ZEST PS wrap label</t>
  </si>
  <si>
    <t>*ALT* HappyCo THC Zest 14oz PS Wrap label</t>
  </si>
  <si>
    <t>ZEST PS WRAP LABEL</t>
  </si>
  <si>
    <t>Zest 14oz PS Wrap Label</t>
  </si>
  <si>
    <t>DNU Nitro 20ct Teal Bag Label</t>
  </si>
  <si>
    <t>Elevaci Tea Vanilla Chai Tea 19oz PS Wrap Label</t>
  </si>
  <si>
    <t>Elevate MAX PS wrap label</t>
  </si>
  <si>
    <t>Elevate MAX Tub Label</t>
  </si>
  <si>
    <t>DNU__ElevaciTEA PEACH TEA PS Wrap Label</t>
  </si>
  <si>
    <t>client via wizard label</t>
  </si>
  <si>
    <t>ALT Orders_ THC ElevaciTEA Peach Tea PS Wrap label</t>
  </si>
  <si>
    <t>Georgia Peach Tea label updated suite #</t>
  </si>
  <si>
    <t>DAYBREAK ELEVATE MAX-CANADA PS WRAP LABEL</t>
  </si>
  <si>
    <t>The Happy Co Daybreak Coffee - Canada - Tub Label</t>
  </si>
  <si>
    <t>Elevate Max 60Ct Wrap Label</t>
  </si>
  <si>
    <t>Evelate Max 60 Ct PS Wrap Label</t>
  </si>
  <si>
    <t>Unwined Tub 14oz</t>
  </si>
  <si>
    <t>ALT Orders THC DayBreakMax Canada 10UP 24mm Stick foil</t>
  </si>
  <si>
    <t>THC - DayBreakMax Canada 10UP 24mm Stick foil</t>
  </si>
  <si>
    <t>ALT Orders THC Defense Drops 2oz PS Wrap label</t>
  </si>
  <si>
    <t>DEFENSE DROPS 2oz LABEL</t>
  </si>
  <si>
    <t>Defense Drops 2oz CS Label - The Happy Co</t>
  </si>
  <si>
    <t>ZEST + PS WRAP LABEL</t>
  </si>
  <si>
    <t>*ALT* Happy Co Gold Coast Coffee Tub PS Wrap Label AUS/NZ</t>
  </si>
  <si>
    <t>Gold Coast Coffee PS Wrap label 1.625" x 11.25"</t>
  </si>
  <si>
    <t>HappyCo Zest+ 10UP 24mm Stickpack Foil</t>
  </si>
  <si>
    <t>Happy Co Zest+ 25mm 114mm Stickpack Foil</t>
  </si>
  <si>
    <t>GILMAN</t>
  </si>
  <si>
    <t>HappyCo GoldCoast Coffee 10UP 24mm Stickpack Foil</t>
  </si>
  <si>
    <t>Elevate Max 60 Ct Extended Release Wrap Label</t>
  </si>
  <si>
    <t>HAPPY CO UNWINED 10UP STICKPACK FOIL</t>
  </si>
  <si>
    <t>HappyCo Elevate Max U.S.A. 10UP 24mm Stickpack foil</t>
  </si>
  <si>
    <t>Elevate Smart Coffee 14oz</t>
  </si>
  <si>
    <t>*ALT* THC Happy Shake 14 serv  Bag Front Panel Label</t>
  </si>
  <si>
    <t>*ALT* THC Happy Shake  14 serv  Bag Back Panel label</t>
  </si>
  <si>
    <t>THC Collagen Vanilla 30 Servings 25 oz</t>
  </si>
  <si>
    <t>Elevacity PerX Berry Blast</t>
  </si>
  <si>
    <t>Elevacity PerXFrost Wrap Label</t>
  </si>
  <si>
    <t>2 ct Blister pack Xanthomax</t>
  </si>
  <si>
    <t>Teal 16oz Stand Up Pouch 7x11 1/4</t>
  </si>
  <si>
    <t>Elevacity Printed Elevate stickpack Bag 24ct</t>
  </si>
  <si>
    <t>9.75” H x 7.5” wide x 3” gusset PET/PET300</t>
  </si>
  <si>
    <t>Elevacity White 16oz Stand up Pouch 7 x 11 1/4</t>
  </si>
  <si>
    <t>ELEVATE Printed Stickpack bag 24ct  mr11</t>
  </si>
  <si>
    <t>Lipoprotein Technologies Hops Xanthanohumol Extract</t>
  </si>
  <si>
    <t>Phenolic Amine Skin Spray Liquid</t>
  </si>
  <si>
    <t>XanSkin Cream</t>
  </si>
  <si>
    <t>Elevacity Elevate Smart Brew Bulk packed- labor</t>
  </si>
  <si>
    <t>Elevacity  Chocolevate Bulk Packed Stickpacks- Labor</t>
  </si>
  <si>
    <t>Elevacity Elevate Canister -Labor</t>
  </si>
  <si>
    <t>ANC</t>
  </si>
  <si>
    <t>EnergyFirst Fat Burning Leanergy PS Wrap Label 120ct</t>
  </si>
  <si>
    <t>GREENERGY CS Label 4.375H x 11.25W PS wrap label</t>
  </si>
  <si>
    <t>CS: Blue 89mm Caps</t>
  </si>
  <si>
    <t>LEAP Wrap Label rev2</t>
  </si>
  <si>
    <t>EVOLUTION</t>
  </si>
  <si>
    <t>LEAP PS Wrap label</t>
  </si>
  <si>
    <t>RETROGENICS PS Wrap Label</t>
  </si>
  <si>
    <t>L Serine PS wrap label</t>
  </si>
  <si>
    <t>LEAP Orange flavor PS wrap label</t>
  </si>
  <si>
    <t>LEAP PS WRAP LABEL _ organic tapioca Maltodextrin</t>
  </si>
  <si>
    <t>Evolutionary LEAP BOOST PS Wrap label</t>
  </si>
  <si>
    <t>Leap 2 Excel Wrap Label</t>
  </si>
  <si>
    <t>DNU ELEVATE MAX HAPPY COFFEE PS WRAP LABEL</t>
  </si>
  <si>
    <t>L-PROLINE</t>
  </si>
  <si>
    <t>L-ARGININE</t>
  </si>
  <si>
    <t>L-CYSTINE</t>
  </si>
  <si>
    <t>TUMERIC (TURMACIN)</t>
  </si>
  <si>
    <t>SILYMARIN (milk thistle extract)</t>
  </si>
  <si>
    <t>L-CYSTEINE HCI mono</t>
  </si>
  <si>
    <t>TRANS-RESVERATROL</t>
  </si>
  <si>
    <t>CHOLINE (ALPHA GPC)</t>
  </si>
  <si>
    <t>L-CARNITINE</t>
  </si>
  <si>
    <t>VITAMIN C (ASCORBIC ACID)</t>
  </si>
  <si>
    <t>THAIMINE (VITAMIN B1)</t>
  </si>
  <si>
    <t>METHYLCOBALAMIN (VITAMIN B 12)</t>
  </si>
  <si>
    <t>VITAMIN B6</t>
  </si>
  <si>
    <t>VITAMIN B9 (QUATREFOLIC)</t>
  </si>
  <si>
    <t>L-SELENOMETHIONINE</t>
  </si>
  <si>
    <t>MAGNESIUM CITRATE (16%-19% Mg)</t>
  </si>
  <si>
    <t>GINKGO BILOBA (24%/6%)</t>
  </si>
  <si>
    <t>FIRMENISCH NATURAL MASKING FLAVOR</t>
  </si>
  <si>
    <t>FIRMENISCH NATURAL MANGO FLAVOR</t>
  </si>
  <si>
    <t>Curcuma Longa Extract - LongVida (NLT 23% Curcuminoids)</t>
  </si>
  <si>
    <t>Turmeric - 95% Curcuminoids</t>
  </si>
  <si>
    <t>CS: Natural Mango Flavor #317564</t>
  </si>
  <si>
    <t>L-Serine</t>
  </si>
  <si>
    <t>Theracurmin</t>
  </si>
  <si>
    <t>c/o Theravalues - Japan</t>
  </si>
  <si>
    <t>Vitamin K2 MK7 as MenaQ7 Pure 2,000</t>
  </si>
  <si>
    <t>PhosphatidylSerine 70% as SerinAid</t>
  </si>
  <si>
    <t xml:space="preserve"> L-Histidine Monohydrochloride</t>
  </si>
  <si>
    <t>PhosphatidylSerine 70% as SerinAid (84.46% MIDIR)</t>
  </si>
  <si>
    <t>TAURINE</t>
  </si>
  <si>
    <t>Curcumin C3 REDUCT</t>
  </si>
  <si>
    <t>C/O SABINSA</t>
  </si>
  <si>
    <t>Mediator 50P - PA Phosphatidic Acid Sodium Salt 50%</t>
  </si>
  <si>
    <t>EMIQ R-20</t>
  </si>
  <si>
    <t>OptiMSM Microprill</t>
  </si>
  <si>
    <t>SENACTIVE</t>
  </si>
  <si>
    <t>AstraGin</t>
  </si>
  <si>
    <t>L-Cysteine HCI</t>
  </si>
  <si>
    <t>Orange Flavor 4.078Kg/Gal; 8.973Lbs/Gal 15 Gal Drum</t>
  </si>
  <si>
    <t>Adult Health 60ct Label</t>
  </si>
  <si>
    <t>Cholesterol Support 150 Ct</t>
  </si>
  <si>
    <t>Brain Health 60ct Label</t>
  </si>
  <si>
    <t>DNU_Blood Sugar Stabilizer 60ct Label</t>
  </si>
  <si>
    <t>Blood Sugar Stabilizer Customer Supplied Label- 2.75" H x 7"</t>
  </si>
  <si>
    <t>Heart Health 90ct Label</t>
  </si>
  <si>
    <t>Kids Multi-Vitamin Fruity Cereal 60ct</t>
  </si>
  <si>
    <t>38mm CLEAR extra-lok V HL5 Liner caps</t>
  </si>
  <si>
    <t>FRUITOFLIFE</t>
  </si>
  <si>
    <t>Cranberry Coconut with protein FBSS 20 fl. oz.</t>
  </si>
  <si>
    <t>Pineapple and Coconut with collagen FBSS 20 fl. oz.</t>
  </si>
  <si>
    <t>Coconut Sugar free FBSS 20 fl. oz.</t>
  </si>
  <si>
    <t>Crusade Cafe Coffee PS wrap label</t>
  </si>
  <si>
    <t>FORMULATIONS</t>
  </si>
  <si>
    <t>Gaia; Display 10mL Plantforce LIquid Iron; 1 btl/IC</t>
  </si>
  <si>
    <t>Gaia Herbs;Over Cap; Dosing cup for 16oz and 8.5oz glass bot</t>
  </si>
  <si>
    <t>GAIAHERBSCS</t>
  </si>
  <si>
    <t>Gaia;10mL Plantforce LIquid Iron Full Body shrink sleeve</t>
  </si>
  <si>
    <t>Plant Protein Shake BAG</t>
  </si>
  <si>
    <t>DNU GEL V TRIM V 60 ct FBSS T PERF LABEL</t>
  </si>
  <si>
    <t>TRIM-V 4ct PS wrap label w/ barcode and SFP</t>
  </si>
  <si>
    <t>60ct TRIM-V  New Formula FBSS Label</t>
  </si>
  <si>
    <t>60CT CARB CRUSHER Gel V FBSS Label Cut/ Pre-perfed</t>
  </si>
  <si>
    <t>60ct CARB CRUSHER Gel V FBSS LABEL Cut/Pre-perfed</t>
  </si>
  <si>
    <t>30ct TRIM-V FBSS Cut/Pre-perfed - New Design</t>
  </si>
  <si>
    <t>30ct Carb Crusher FBSS Cut/Prefed</t>
  </si>
  <si>
    <t>Plant Protein Shake - 30 serv Label</t>
  </si>
  <si>
    <t>Trim-V 60ct Diet Capsules</t>
  </si>
  <si>
    <t>GEL-V</t>
  </si>
  <si>
    <t>K1</t>
  </si>
  <si>
    <t>Generex; Benemin Liquid 2oz; CS Full Body Shrink Sleeve</t>
  </si>
  <si>
    <t>Generex Healthy Lung Full Body Shrink sleeve</t>
  </si>
  <si>
    <t>Generex;Nicozyme; full body shrink sleeve</t>
  </si>
  <si>
    <t>Nano Zeolite MD</t>
  </si>
  <si>
    <t>GFY</t>
  </si>
  <si>
    <t>DNU_Vitality Release Drops for 1oz Glass btl PS Wrap label</t>
  </si>
  <si>
    <t>USA/Canada Clean Slate Enhanced with Minerals for 1oz</t>
  </si>
  <si>
    <t>US Clean Slate Root 30ml</t>
  </si>
  <si>
    <t>EU Clean Slate Enhanced w/Minerals for 1oz</t>
  </si>
  <si>
    <t>EU CLEAN SLATE ROOT LABEL 1.75 X 4.0</t>
  </si>
  <si>
    <t>Clean Slate Root GERMAN Label - customer supplied</t>
  </si>
  <si>
    <t>GERMAN LABEL CLEAN SLATE ROOT 1.75 X 4" CS</t>
  </si>
  <si>
    <t>Vascular N.O. Boost Display Box</t>
  </si>
  <si>
    <t>Hinge 30 Serv PS Wrap Label</t>
  </si>
  <si>
    <t>Metabolic Support 30 Servings Wrap Label</t>
  </si>
  <si>
    <t>FREETOX 150 Capsules PS Wrap Label</t>
  </si>
  <si>
    <t>Metaflex Peach PS Wrap Label</t>
  </si>
  <si>
    <t>Metaflex Rocket Pop PS Wrap Label</t>
  </si>
  <si>
    <t>Reforge Citrus PS Wrap Label</t>
  </si>
  <si>
    <t>Vascular N.O. Boost Stickpack Foil</t>
  </si>
  <si>
    <t>Whole Foods PS Wrap Label</t>
  </si>
  <si>
    <t>Organic Amazon Chocolate SFP PS Wrap labels</t>
  </si>
  <si>
    <t>GREENSPLUS</t>
  </si>
  <si>
    <t>Organic Greens+ SF RAW WILDBERRY  mr10  PS Wrap Label SFPrev</t>
  </si>
  <si>
    <t>Organic Greens+ SF RAW mr5  PS Wrap Label SFPrev</t>
  </si>
  <si>
    <t xml:space="preserve"> Organic Chia PS Wrap Label</t>
  </si>
  <si>
    <t>Greens+ Camu Capsule PS Wrap label 120ct</t>
  </si>
  <si>
    <t>Organic Reds PS Wrap Label</t>
  </si>
  <si>
    <t>Greens Plus THERMO LEAN 120 Count</t>
  </si>
  <si>
    <t>AM Wildberry PS Wrap labels per NLEA testing</t>
  </si>
  <si>
    <t>NEW A.M Raw Greens Plus PS Wrap Label</t>
  </si>
  <si>
    <t>Greens+AM Vanilla Chai SFP Wrap Label MR11</t>
  </si>
  <si>
    <t>Organic Wildberry Stickpack Foil - 2UP-Viking</t>
  </si>
  <si>
    <t>Organic Wildberry Stickpack Foil 2 UP- Stickpack Solutions</t>
  </si>
  <si>
    <t>OPE-GP</t>
  </si>
  <si>
    <t>c/o belmark</t>
  </si>
  <si>
    <t>Plus Shake Chocolate BACK  panel label</t>
  </si>
  <si>
    <t>Plus Shake Chocolate FRONT panel label</t>
  </si>
  <si>
    <t>Greens Plus 240ct Veggie Capsules PS Wrap label</t>
  </si>
  <si>
    <t>Greens Plus SF Organic Reds</t>
  </si>
  <si>
    <t>Organic Reds Label - Greens +</t>
  </si>
  <si>
    <t>Plus Shake Vanilla BACK label</t>
  </si>
  <si>
    <t>Plus Shake Vanilla FRONT label</t>
  </si>
  <si>
    <t>1 oz green boston round glass</t>
  </si>
  <si>
    <t>GREENWAVES</t>
  </si>
  <si>
    <t>2 oz green boston round glass</t>
  </si>
  <si>
    <t>Greenwaves 300mg MCT OIL 1oz printed IC; 1 btl/bx</t>
  </si>
  <si>
    <t>Greenwaves 600mg MCT OIL  2oz printed IC; 1 btl/bx</t>
  </si>
  <si>
    <t>c/o stephen gould</t>
  </si>
  <si>
    <t>Greenwaves 1200mg MCT OIL 2oz printed IC; 1 btl/bx</t>
  </si>
  <si>
    <t>Greenwaves 300mg WS 1oz printed IC; 1 btl/bx</t>
  </si>
  <si>
    <t>Greenwaves 600mg WS 2oz printed IC; 1 btl/bx</t>
  </si>
  <si>
    <t>Greenwaves 1200mg WS 2oz printed IC; 1 btl/bx</t>
  </si>
  <si>
    <t>Greenwaves 600mg Nano Enhanced WS 2oz IC 1 blt/bx</t>
  </si>
  <si>
    <t>1oz white graduated droppers</t>
  </si>
  <si>
    <t>2oz white graduated droppers</t>
  </si>
  <si>
    <t>Small clear jar with screw cap (no liner)</t>
  </si>
  <si>
    <t>HEMP OIL 1500 mg  LABEL -2 OZ BOTTLE</t>
  </si>
  <si>
    <t>Greenwaves CBD Turmeric 60ct PS Wrap Label</t>
  </si>
  <si>
    <t>Greenwaves Hemp Oil 300mg PS Wrap label</t>
  </si>
  <si>
    <t>Greenwaves Hemp Oil 600mg PS Wrap Label</t>
  </si>
  <si>
    <t>Greenwaves Hemp Oil 1200mg PS Wrap label</t>
  </si>
  <si>
    <t>Greenwaves WS CBD 300mg PS Wrap label</t>
  </si>
  <si>
    <t>Greenwaves WS CBD 600mg PS Wrap label</t>
  </si>
  <si>
    <t>Greenwaves WS CBD 1200mg PS Wrap label</t>
  </si>
  <si>
    <t>Greenwaves 600mg Nano Enhanced MINT WS PS Wrap label</t>
  </si>
  <si>
    <t>Guayaki 2oz Amber glass Bottles Boston Round; 20mm finish; 6</t>
  </si>
  <si>
    <t>GUAYAKI-V</t>
  </si>
  <si>
    <t>GOES REISHI IC 12pk</t>
  </si>
  <si>
    <t>20/400 BLACK  W/F217 Liner caps; used on 2oz glass Boston Ro</t>
  </si>
  <si>
    <t>GOES REISHI FBSS LABEL</t>
  </si>
  <si>
    <t>GOES Reishi Barcode rework stickers</t>
  </si>
  <si>
    <t>GUAYAKI Organic Chocolate Natural Flavor</t>
  </si>
  <si>
    <t>GUAYAKI Organic Lime Extract</t>
  </si>
  <si>
    <t>GUAYAKI Organic Raspberry Natural Flavor</t>
  </si>
  <si>
    <t>GUAYAKI Organic CITRUS/Tangerine Extract</t>
  </si>
  <si>
    <t>GUA; Organic Natural Chocolate WONF #116629</t>
  </si>
  <si>
    <t>Himalayan Crystal Salt (ZZ Original HCS Bulk: Fine)</t>
  </si>
  <si>
    <t>GUAYAKI Organic Tic Guar Gum</t>
  </si>
  <si>
    <t>GUAYAKI L-Malic Acid</t>
  </si>
  <si>
    <t>0345</t>
  </si>
  <si>
    <t>Guayaki Organic Yerba Mate Powder</t>
  </si>
  <si>
    <t>Guayaki Organic Cane Sugar</t>
  </si>
  <si>
    <t>Guayaki Organic Energy Shot Base</t>
  </si>
  <si>
    <t>Guayaki Lime-Tangerine 12 pack inner tray</t>
  </si>
  <si>
    <t>CS ECN Protein PreWorkout Chocolate PS wrap label</t>
  </si>
  <si>
    <t>HALL GLOBAL</t>
  </si>
  <si>
    <t>Tunguska Secret PS PLYPRP Laminate</t>
  </si>
  <si>
    <t>ACVP PS PLYPRP Laminate label</t>
  </si>
  <si>
    <t>GHRM PS PLYPRP Laminate label</t>
  </si>
  <si>
    <t>Yongheng PS PLYPRP Laminate Label</t>
  </si>
  <si>
    <t>Prostacern PS PLYPRP Laminate label</t>
  </si>
  <si>
    <t>Mulberine PS PLYPRP Laminate Label</t>
  </si>
  <si>
    <t>Hampshire Labs; Brain Rejuv PS Wrap Label</t>
  </si>
  <si>
    <t>O2Boost 30 Ct</t>
  </si>
  <si>
    <t>O2 Boost Skin Care Spray 2oz</t>
  </si>
  <si>
    <t>Ox66 Powder</t>
  </si>
  <si>
    <t>HEMOTEK</t>
  </si>
  <si>
    <t>HERBALLY PURE 8OZ RTD; FULL BODY SHRINK SLEEVE; SINGLE CUT;c</t>
  </si>
  <si>
    <t>Hammer Nutrition PhytoMax 90ct PS Wrap label</t>
  </si>
  <si>
    <t>Hammer Nut: Vitamin C Complex PS Wrap Label</t>
  </si>
  <si>
    <t>PERFECT HEALTH LABEL 2.25H X 6.25W ps WRAP LABEL - CS</t>
  </si>
  <si>
    <t>HPI; Nutri Maqui 32oz FBSS Label MALAYSIA</t>
  </si>
  <si>
    <t>Agave syrup</t>
  </si>
  <si>
    <t>Maqui Superberry Blend 65 Brix</t>
  </si>
  <si>
    <t>Acai Puree 11% Solid 3 BRIX</t>
  </si>
  <si>
    <t>HP Ing. Pomegranate Juice</t>
  </si>
  <si>
    <t>HP Ing. Blackberry Juice</t>
  </si>
  <si>
    <t>HP; Resveratrol powder</t>
  </si>
  <si>
    <t>Grape Seed Extract High ORAC powder</t>
  </si>
  <si>
    <t>Acai Powder</t>
  </si>
  <si>
    <t>HPI;Pomegranate Juice POWDER</t>
  </si>
  <si>
    <t>Organic Maqui Berry Whole Fruit Freeze Dried Powder</t>
  </si>
  <si>
    <t>Heroes 500 mg BS MINT 1 oz</t>
  </si>
  <si>
    <t>HEROES</t>
  </si>
  <si>
    <t>Heroes 500mg FS MINT 1oz</t>
  </si>
  <si>
    <t>Heroes 1500mg BS MINT 1oz</t>
  </si>
  <si>
    <t>Heroes 1500mg FS MINT 1oz</t>
  </si>
  <si>
    <t>Heroes 3000mg FS Mint</t>
  </si>
  <si>
    <t>Heroes 3000mg BS CBD MINT 1 oz</t>
  </si>
  <si>
    <t>Heroes Sleep MINT 1oz</t>
  </si>
  <si>
    <t>Pain Balm 2.5 oz Heroes Wrap Label</t>
  </si>
  <si>
    <t>Immordl Pouches</t>
  </si>
  <si>
    <t>FG IMM-FG-0001</t>
  </si>
  <si>
    <t>DNU__XDefend 60ct PS Wrap label - invoice client</t>
  </si>
  <si>
    <t>Vanilla Shake Bag Jag</t>
  </si>
  <si>
    <t>8oz 70/400 Glass Bottle</t>
  </si>
  <si>
    <t>JAG: 14-1/4 x 7 x 4-1/8 RSC 32ECT Kraft Box_50ct</t>
  </si>
  <si>
    <t>CBDHEMPEXPER</t>
  </si>
  <si>
    <t>70/400 Black Smooth Cap HS</t>
  </si>
  <si>
    <t>Cicadian wellness Eons Coffee Inner Case  3.06” width x 3.06</t>
  </si>
  <si>
    <t>JAG_14-1/8 x 6-7/2 divider set insert</t>
  </si>
  <si>
    <t>Cicadian wellness Eons Coffee  Sleeve</t>
  </si>
  <si>
    <t>JAG Alliance 4oz Hand Sanitizer Gel PS Wrap label</t>
  </si>
  <si>
    <t>C/O A JAG ALLIANCE</t>
  </si>
  <si>
    <t>Smart Coffee 14 oz PS Wrap Label</t>
  </si>
  <si>
    <t>SUPER GREENS WITH MANUKA PS WRAP LABEL CS</t>
  </si>
  <si>
    <t>SLEEP WITH MANUKA 30ct PS WRAP LABEL CS</t>
  </si>
  <si>
    <t>NOOTROPIC WITH MANUKA 30ct PS WRAP LABEL CS</t>
  </si>
  <si>
    <t>DAILY AM ENERGY WITH MANUKA 30ct PS WRAP LABEL CS</t>
  </si>
  <si>
    <t>SHAP SUPPORT WITH MANUKA 30ct PS WRAP LABEL CS</t>
  </si>
  <si>
    <t>Mankuka Honey Tincture 1oz Label</t>
  </si>
  <si>
    <t>Circadian Wellness - Eons Coffee PS Wrap Label 2.25" H X 8.7</t>
  </si>
  <si>
    <t>NIGHT FACTOR 30 ct CS Wrap Label</t>
  </si>
  <si>
    <t>NIGHT FACTOR 90 ct CS Wrap Label</t>
  </si>
  <si>
    <t>Jason, Luna Relaxation Water; Printed Display box; 2oz amber</t>
  </si>
  <si>
    <t>SLEEPTECH</t>
  </si>
  <si>
    <t>Jason; Luna Relaxation Water; 2oz; Full body shrink sleeve</t>
  </si>
  <si>
    <t>MONK FRUIT JUICE CONCENTRATE</t>
  </si>
  <si>
    <t>90% whey protein isolate</t>
  </si>
  <si>
    <t>Metabolic Rescue 90 Serv Label</t>
  </si>
  <si>
    <t>LIFIO Cap Sticker</t>
  </si>
  <si>
    <t>LIFIO</t>
  </si>
  <si>
    <t>Vital Gut Repair +  Wrap Label</t>
  </si>
  <si>
    <t>LIFE FORCE HEALTHSPAN 90 CT</t>
  </si>
  <si>
    <t>LIFE FORCE</t>
  </si>
  <si>
    <t>NMN 90ct PS WRAP LABEL 2.7H X 7.0W CUSTOMER SUPPLIED</t>
  </si>
  <si>
    <t>LIFE FORCE PEAK RISE 90 CT</t>
  </si>
  <si>
    <t>LIFE FORCE METHYLATION 60 CT</t>
  </si>
  <si>
    <t>Life Force DHEA 90 Ct</t>
  </si>
  <si>
    <t>LIFE FORCE MAGNESIUM LABEL - CS</t>
  </si>
  <si>
    <t>Life Force Peak Rest 25oz</t>
  </si>
  <si>
    <t>MAGNESIUM FINISHED TABLET FROM COPACKER</t>
  </si>
  <si>
    <t>LIFEALLNATUR</t>
  </si>
  <si>
    <t>LifeGen; PRODO-VIT  Liquid Multi 30oz FBSS label</t>
  </si>
  <si>
    <t>LifeGen; N-SORB Liquid Multi, FBSS</t>
  </si>
  <si>
    <t>LifeGen; NUTRACLARITY; Liquid Multi; FBSS</t>
  </si>
  <si>
    <t>Immunity Blister Pack 5 7/16 X 3.75 X .75 Inner Case</t>
  </si>
  <si>
    <t>Immunity Blister Packs</t>
  </si>
  <si>
    <t>LiveGood Organic Reds Red Raspberry</t>
  </si>
  <si>
    <t>Vanilla Protein Shake</t>
  </si>
  <si>
    <t>LiveGood Organic Yogurt Greens</t>
  </si>
  <si>
    <t>Glyco Nutrients PS WRAP LABEL1.625" X 11.313"</t>
  </si>
  <si>
    <t>Collagen Powder 30 Serv Live Good</t>
  </si>
  <si>
    <t>Amino Blend Fruit punch PS wrap label</t>
  </si>
  <si>
    <t>Amino Blend Lemon label 4.375 x 11.25 ps wrap label</t>
  </si>
  <si>
    <t>Immunity 30ct Blister (Labor of Pacaking included)</t>
  </si>
  <si>
    <t>LIVING 10 SHIFT COFFEE PS WRAP LABEL</t>
  </si>
  <si>
    <t>LIVING10</t>
  </si>
  <si>
    <t>Loyal Tea; Lemon grass Tea; PS Wrap Label</t>
  </si>
  <si>
    <t>LOYALTEA</t>
  </si>
  <si>
    <t>WEST INDIAN LEMON GRASS/CYMBOPOGOAN CITRATUS FARM GRIND</t>
  </si>
  <si>
    <t>32 oz Customer Supplied Contour Bottles (Max 10)</t>
  </si>
  <si>
    <t>Tube Sam 22 Black Color
(750 per box)</t>
  </si>
  <si>
    <t>Automizer Sam Black Color DTL 104MM with over cap 
(spray w/</t>
  </si>
  <si>
    <t>28/410 BLACK screw cap, ribbed; induction seal w/pull tab</t>
  </si>
  <si>
    <t>Live Smart 360 Max 10 32 oz shrink labels; &lt;1g sugar; ( 3,90</t>
  </si>
  <si>
    <t>LiveSmart 360; Zorbmax Mist Pressure Sensitive Wrap Label</t>
  </si>
  <si>
    <t>Livesmart 360 Zorbmax Mist Full Body Shrink Sleeve</t>
  </si>
  <si>
    <t>Max 10 Extract 2 oz Label</t>
  </si>
  <si>
    <t>LIVESMART360</t>
  </si>
  <si>
    <t>360 Manna Shake Bag 1,020 gms/30 svgs per bag (2.2lbs); For</t>
  </si>
  <si>
    <t xml:space="preserve"> Zorbmax Liquid: 21.15g / tube 
to be blended with Biowater</t>
  </si>
  <si>
    <t>BIOWATER
To be blended with zorbmax for all liquid Livemart</t>
  </si>
  <si>
    <t>LIVE SMART 360 ZorbMax Powder</t>
  </si>
  <si>
    <t>15 pk 2oz display box:  8.5 x 5.062 x 3.187for 
2oz sonic co</t>
  </si>
  <si>
    <t>2oz Full Body shrink sleeve label, high gloss, with T-Perf</t>
  </si>
  <si>
    <t>Full body Shrink - 30oz contour over cap shrink sleeve W/T -</t>
  </si>
  <si>
    <t>LTS; D-BOOSTER WRAP LABEL; FOR 2OZ GLASS DROPPER BOTTLE</t>
  </si>
  <si>
    <t>LTS; 32OZ PS WRAP LABEL NEW DESIGN FOR BOSTON ROUND BOTTLE</t>
  </si>
  <si>
    <t>Nano Precursor</t>
  </si>
  <si>
    <t>Markit Health Amazing Amino PS wrap label -grapefruit flavor</t>
  </si>
  <si>
    <t>MARKITHEALTH</t>
  </si>
  <si>
    <t>Markit Health Amazing Aminos  citrus flavor PS wrap label</t>
  </si>
  <si>
    <t>Markit Health Amazing Aminos AC  25oz PS Wrap Label</t>
  </si>
  <si>
    <t>Markit Health Amazing Aminos 25oz PS Wrap</t>
  </si>
  <si>
    <t>Markit Health COLLAGEN 360 PS Wrap labels</t>
  </si>
  <si>
    <t>Markit Health D2 Metrix Plus PS Wrap label</t>
  </si>
  <si>
    <t>D2 METRIX PLUS PWD BLEND</t>
  </si>
  <si>
    <t>Amizate Salmon Protein Hydrolysate</t>
  </si>
  <si>
    <t>Seasource Collagen powder</t>
  </si>
  <si>
    <t>Fish Collagen Powder</t>
  </si>
  <si>
    <t>MatTea; Vocal Luxury 9 1/2" Cube MC</t>
  </si>
  <si>
    <t>MatTea; Vocal Luxury; 2.5oz underneck shrink sleeve</t>
  </si>
  <si>
    <t>Slimroast Coffee Printed Display Box</t>
  </si>
  <si>
    <t>EU Compliant Slimroast Display box</t>
  </si>
  <si>
    <t>CBD Isolate</t>
  </si>
  <si>
    <t>30ml Clear/Silver  Fosette plastic bottle</t>
  </si>
  <si>
    <t>MIGHTYHEALTH</t>
  </si>
  <si>
    <t>Silver Fosette cap with pump for 30ml Bottle</t>
  </si>
  <si>
    <t>Montery Medicinals 1200mg Toasted Coconut Wrap label</t>
  </si>
  <si>
    <t>MONTERYMEDIC</t>
  </si>
  <si>
    <t>Montery Medicinals 1200mg MINT Wrap label</t>
  </si>
  <si>
    <t>Montery Medicinals 600mg SWEET CINNAMON wrap label</t>
  </si>
  <si>
    <t>Montery Medicinals 1200mg SWEET CINNAMON Wrap label</t>
  </si>
  <si>
    <t>Montery Medicinals CB2 Hemp Relax 60ct PS Wrap Label</t>
  </si>
  <si>
    <t>Montery Medicinals CB2 Hemp ENERGY 60ct PS Wrap Label</t>
  </si>
  <si>
    <t>2oz Dark Amber PET boston round 20/410</t>
  </si>
  <si>
    <t>20/410 Black Ribbed Skirt Fine Mist Sprayer w/ 110mm dip tub</t>
  </si>
  <si>
    <t>Cellular Boost 90 Ser Label</t>
  </si>
  <si>
    <t>Mighty Healty 1oz 300mg HEMP OIL Printed Display Box</t>
  </si>
  <si>
    <t>Mighty Healthy 1oz 600mg- HEMP OIL Printed Display box</t>
  </si>
  <si>
    <t>Mighty Healthy 1oz 1000mg- HEMP OIL Printed Display box</t>
  </si>
  <si>
    <t>Mighty Healthy 1oz WS 600mg HEMP OIL MINT Prnted Display box</t>
  </si>
  <si>
    <t>MH Hemp Sleep Capsules 60ct printed display box</t>
  </si>
  <si>
    <t>MH Hemp Morning Capsules 60ct Printed display box</t>
  </si>
  <si>
    <t>CBD Focus/ Energy Shot Lemon Berry 12ct IC</t>
  </si>
  <si>
    <t>CBD Focus/Energy Shot Ginger Pineapple 12ct Display box</t>
  </si>
  <si>
    <t>Mighty Healthy Hemp Massage Oil Printed display box 1 btl/IC</t>
  </si>
  <si>
    <t>CBD Cream printed Display box</t>
  </si>
  <si>
    <t>Mighty Healty 1oz 300mg - HEMP OIL EXTRACT PS wrap label</t>
  </si>
  <si>
    <t>Mighty Healthy 1oz 600mg- HEMP OIL EXTRACT PS Wrap label</t>
  </si>
  <si>
    <t>Mighty Healthy 1oz 1000mg- HEMP OIL EXTRACT PS Wrap label</t>
  </si>
  <si>
    <t>Mighty Healthy 1oz WS 600mg HEMP OIL MINT PS Wrap Label</t>
  </si>
  <si>
    <t>MH Hemp Sleep Capsules 60ct PS Wrap label</t>
  </si>
  <si>
    <t>MH Hemp Morning Capsules 60ct PS wrap label</t>
  </si>
  <si>
    <t>Mighty Healthy FOCUS/Energy Shot Lemon Berry FBSS label</t>
  </si>
  <si>
    <t>Mighty Healthy FOCUS/Energy Ginger Pineapple FBSS label</t>
  </si>
  <si>
    <t>Mighty Healthy Hemp Massage Oil FBSS LABEL</t>
  </si>
  <si>
    <t>Mighty Healthy CBD Cream 1oz FBSS LABEL</t>
  </si>
  <si>
    <t>Mighty Healthy CBD Cream 1oz IC Box FP Sticker</t>
  </si>
  <si>
    <t>Migthy Healthy Side IC Inner Case Sticker FOR MYH-BX-041C</t>
  </si>
  <si>
    <t>Nutritional Alliance Inc; Vitamin E Oil, Vitamin E Wrap Labe</t>
  </si>
  <si>
    <t>SELENEX 60ct PS wrap label</t>
  </si>
  <si>
    <t>CS-NAN; SANGUNEOL 60CT PS WRAP LABELS</t>
  </si>
  <si>
    <t>NatraTech Berry Flavor Superfood NSF/GMP</t>
  </si>
  <si>
    <t>NatraTech Chocolate Flavor Superfood NSF/GMP</t>
  </si>
  <si>
    <t>NatraTech Adrenal Fuel PS Wrap label</t>
  </si>
  <si>
    <t>Selenium Glycinate Complex 1%Se</t>
  </si>
  <si>
    <t>ITEM:3523 replace with # 3522 __5 kg</t>
  </si>
  <si>
    <t>item: 3502_ 5 kg MOQ,</t>
  </si>
  <si>
    <t>item:3505_5kg</t>
  </si>
  <si>
    <t>Natures Bioceuticals; Breathing Relief; CS PS Wrap label for</t>
  </si>
  <si>
    <t>SINUS RELIEF SPRAY1 oz PS wrap label</t>
  </si>
  <si>
    <t>Life Everlasting / Rabbit Tobacco (Leaves  &amp; tops)</t>
  </si>
  <si>
    <t>Sweet Gum Bark (inner bark)</t>
  </si>
  <si>
    <t>Peppermint Oil</t>
  </si>
  <si>
    <t>NATURESBIOCE</t>
  </si>
  <si>
    <t>LAB</t>
  </si>
  <si>
    <t>16oz 89mm PET Black Canister</t>
  </si>
  <si>
    <t>IgG Raspberry</t>
  </si>
  <si>
    <t>IgI Lemon Lime</t>
  </si>
  <si>
    <t>Lavender Flower PE 4-7 :1</t>
  </si>
  <si>
    <t>Cyracos</t>
  </si>
  <si>
    <t>Trioral Oral Rehydration Stickpack Foil</t>
  </si>
  <si>
    <t>Oral Hydration Salt</t>
  </si>
  <si>
    <t>Colaneu Beauty from within Pinapple Flavor</t>
  </si>
  <si>
    <t>NUTRITIONFOR</t>
  </si>
  <si>
    <t>CapsiAtra® Fine Granule</t>
  </si>
  <si>
    <t>00 Red Veggie Capsules</t>
  </si>
  <si>
    <t>00 Blue Veggie Capsules</t>
  </si>
  <si>
    <t>Naked Nutrition Multi Vitamin</t>
  </si>
  <si>
    <t>Naked Nutrition CapsiAtra Fine Granule</t>
  </si>
  <si>
    <t>Nordic Clinical Blood Boost 60ct using N850 PS wrap label</t>
  </si>
  <si>
    <t>NORDIC CLINC</t>
  </si>
  <si>
    <t>GSH-3 Cell Defense PS Wrap Label</t>
  </si>
  <si>
    <t>Cognigen 30 Ct PS Wrap Label 6.25" x 2.25"</t>
  </si>
  <si>
    <t>UrinFlo label with barcode</t>
  </si>
  <si>
    <t>PRO NRG CS PRINTED DISPLAY BOX;  12CT</t>
  </si>
  <si>
    <t>PRO NRG CS PRINTED DISPLAY BOX; CITRUS/LEMON FLAVOR/ 12CT</t>
  </si>
  <si>
    <t>PRO NRG CS PRINTED DISPLAY BOX; BERRY FLAVOR/ 12CT</t>
  </si>
  <si>
    <t>PRO NRG CS PRINTED DISPLAY BOX;Pomegranate; 12CT</t>
  </si>
  <si>
    <t>PRO NRG CITRUS-LEMON CS WRAP LABEL FOR 4OZ COSMO PET BTL 24/</t>
  </si>
  <si>
    <t>PRO NRG BERRY CS WRAP LABEL FOR 4OZ COSMO PET BTL 24/410</t>
  </si>
  <si>
    <t>PRO NRG GRAPE CS WRAP LABEL FOR 4OZ COSMO PET BTL 24/410</t>
  </si>
  <si>
    <t>PRO NRG POMEGRANATE CS WRAP LABEL FOR 4OZ COSMO PET BTL 24/4</t>
  </si>
  <si>
    <t>PRO NRG WATERMELON CS WRAP LABEL FOR 4OZ COSMO PET BTL 24/41</t>
  </si>
  <si>
    <t>PRO NRG GRAPE SFP STICKER FOR 12CT DISPLAY BOX</t>
  </si>
  <si>
    <t>PRO NRG POMEGRANTE SFP STICKER FOR 12CT DISPLAY BOX</t>
  </si>
  <si>
    <t>PRO NRG WATERMELON SFP STICKER FOR 12CT DISPLAY BOX</t>
  </si>
  <si>
    <t>PRO-NRG BERRY LIQUID BLEND</t>
  </si>
  <si>
    <t>PRO NRG CITRUS/LEMON LIQUID BLEND</t>
  </si>
  <si>
    <t>PRO NRG GRAPE LIQUID BLEND</t>
  </si>
  <si>
    <t>PRO NRG WATERMELON LIQUID BLEND</t>
  </si>
  <si>
    <t>PRO NRG Pomegranate LIQUID BLEND</t>
  </si>
  <si>
    <t>Alluvia® Purple Tea Extract</t>
  </si>
  <si>
    <t>Nurishe  Tropical Rejuvenation FBSS for 16.9oz Amcor Dome to</t>
  </si>
  <si>
    <t>30ml (1OZ) White Glass Bottle</t>
  </si>
  <si>
    <t>OLINAPRO</t>
  </si>
  <si>
    <t>ABA4052 4oz Brooke Jar 58/400 neck</t>
  </si>
  <si>
    <t>ABA40102 50 ml Hunter</t>
  </si>
  <si>
    <t>RESET Anti-Aging Oil Natural 1oz Flip Top Display Box</t>
  </si>
  <si>
    <t>RESET Anti-Aging Oil Orange 1oz Flip Top Display Box</t>
  </si>
  <si>
    <t>RENEW Immune Support 30ct Flip Top Display Box</t>
  </si>
  <si>
    <t>Menopausal Relief 30ct Flip Top Dispay Boxl</t>
  </si>
  <si>
    <t>REBALANCE Menstruation Support 30ct Flip Top Display Box</t>
  </si>
  <si>
    <t>Probiotic Capsules 30ct Flip Top Display Box</t>
  </si>
  <si>
    <t>Nighttime Sleep Aid 30ct Flip Top Display Box</t>
  </si>
  <si>
    <t>Retinol Cream 50ml Flip Top Display Box</t>
  </si>
  <si>
    <t>ABA20183CW 58mm 400 extra tall jar cap</t>
  </si>
  <si>
    <t>50ML Glass Clear Bottle W/18/415 White Dropper Set</t>
  </si>
  <si>
    <t>113422/113587</t>
  </si>
  <si>
    <t>"00" WHITE GELATIN W/PRINT OLINA CAPSULE SHELLS</t>
  </si>
  <si>
    <t>Olina Pro bottle insert</t>
  </si>
  <si>
    <t>RESET Anti-Aging Oil Natural 1oz PS Wrap Label</t>
  </si>
  <si>
    <t>RESET Anti-Aging Oil Orange 1 oz PS Wrap Label</t>
  </si>
  <si>
    <t>RENEW Immune Support 30ct PS Wrap Label</t>
  </si>
  <si>
    <t>RESTORE Menopausal Relief 30ct PS Wrap Label</t>
  </si>
  <si>
    <t>REBALANCE Menstruation Support 30ct PS Wrap Label</t>
  </si>
  <si>
    <t>Probiotic Capsules 30ct PS Wrap Label</t>
  </si>
  <si>
    <t>Nighttime Sleep Aid 30ct PS Wrap Label</t>
  </si>
  <si>
    <t>Retinal Cream 50ml PS Wrap Label</t>
  </si>
  <si>
    <t>Resveratrol Plus US PS Wrap Label 120ct</t>
  </si>
  <si>
    <t>Solside waffle and pancake mix 20 oz bag</t>
  </si>
  <si>
    <t>Vanilla Protein Shake 30 Serv</t>
  </si>
  <si>
    <t>24 CT SolSide Coffee Stickpack Display Box</t>
  </si>
  <si>
    <t>Solside Coffee CS PS Wrap label</t>
  </si>
  <si>
    <t>SolSide Coffee Stickpack Foil</t>
  </si>
  <si>
    <t>OWV Power Punch 30 Servings</t>
  </si>
  <si>
    <t>Vanilla Complete Power Tub Label</t>
  </si>
  <si>
    <t>Palladium; 16oz White Bag w/zip</t>
  </si>
  <si>
    <t>PAL; Choco Veggie Blend PS Wrap Label</t>
  </si>
  <si>
    <t>PALLADIUMHEA</t>
  </si>
  <si>
    <t>Palladium; ChocoBerry Blast FRONT PS Label</t>
  </si>
  <si>
    <t>Palladium; ChocoBerry Blast BACK PS label</t>
  </si>
  <si>
    <t>PAL; Innate Resveratrol REDS; pre-blend</t>
  </si>
  <si>
    <t>PAL; Innate Renewal GREENS; pre-blend</t>
  </si>
  <si>
    <t>PAL; Mineral Whey</t>
  </si>
  <si>
    <t>PAL; Organic cocoa powder natural 20/22 fat</t>
  </si>
  <si>
    <t>Brain Health 31 Serving BAG</t>
  </si>
  <si>
    <t>9cc Scoop Short Handle Natural</t>
  </si>
  <si>
    <t>9cc Scoop Long Handle Natural</t>
  </si>
  <si>
    <t>Progena Biome Label</t>
  </si>
  <si>
    <t>His Libido Display Box</t>
  </si>
  <si>
    <t>Her Libido 30 Servings Display Box</t>
  </si>
  <si>
    <t>Nightcap Display Box</t>
  </si>
  <si>
    <t>Vitality Display Box</t>
  </si>
  <si>
    <t>Foreplay 30 Servings</t>
  </si>
  <si>
    <t>His Libido 30 Servings Wrap Label</t>
  </si>
  <si>
    <t>Her Libido 30 Servings Wrap Label</t>
  </si>
  <si>
    <t>Nightcap 30 Servings Wrap Label</t>
  </si>
  <si>
    <t>Stamina 30 Servings Wrap Label</t>
  </si>
  <si>
    <t>Vitality 30 Servings Wrap Label</t>
  </si>
  <si>
    <t>1st Pharma Hydrablast 12ct Display box</t>
  </si>
  <si>
    <t>Plant Fuel Gainer Chocolate 13.5"x 13.5" x 5" Gusset</t>
  </si>
  <si>
    <t>Plant Fuel Gainer Vanilla Bag</t>
  </si>
  <si>
    <t>PLANTFUEL</t>
  </si>
  <si>
    <t>Plant Fuel Preworkout Blueberry Acai Round Inner Case</t>
  </si>
  <si>
    <t>Plant Fuel Preworkout Fruit Punch Round Inner Case</t>
  </si>
  <si>
    <t>Plant Fuel Preworkout Watermelon Round Inner Case</t>
  </si>
  <si>
    <t>Plant Fuel Athletes Superfood Citrus Round Inner Case</t>
  </si>
  <si>
    <t>Plant Fuel Athlete Superfoods Dragon Fruit Inner case box</t>
  </si>
  <si>
    <t>Plant Fuel Athletes Superfood Cucumber Lime Round Inner Case</t>
  </si>
  <si>
    <t>Plant Fuel Recovery Strawberry Kiwi Round Inner Case</t>
  </si>
  <si>
    <t>Plant Fuel Recovery Berry Breeze Round Inner Case</t>
  </si>
  <si>
    <t>Plant Fuel Pre Workout Blueberry Acai Sticks (Labor, Foil, C</t>
  </si>
  <si>
    <t>Plant Fuel Pre Workout Fruit Punch Pouches (Labor, Foil, Com</t>
  </si>
  <si>
    <t>Plant Fuel Pre Workout Watermelon Sticks (Labor, Foil, Compl</t>
  </si>
  <si>
    <t>Plant Fuel Athlete Superfoods Citrus Sticks (Labor, Foil, Co</t>
  </si>
  <si>
    <t>Plant Fuel Athlete Superfoods  Dragon Fruit (Labor, Foil, Co</t>
  </si>
  <si>
    <t>Plant Fuel Athlete Superfoods Cucumber Lime Sticks (Labor, F</t>
  </si>
  <si>
    <t>Plant Fuel Recovery Strawberry Kiwi Pouches (Labor, Foil, Co</t>
  </si>
  <si>
    <t>Plant Fuel Recovery Berry Breeze Pouches (Labor, Foil, Compl</t>
  </si>
  <si>
    <t>Plant Fuel Athlete Superfoods Citrus Inner case box, custome</t>
  </si>
  <si>
    <t>Plant Fuel Athlete Superfoods Cucumber Lime Inner case box,</t>
  </si>
  <si>
    <t>PartyLyte Citrus Sticks (Labor, Foil, Display Case, Packout)</t>
  </si>
  <si>
    <t>Organic Spirulina with Astaxanthin Bulk Caplets</t>
  </si>
  <si>
    <t>Powerlife Electrolyte GRAPE 30 Serv PS Wrap Label</t>
  </si>
  <si>
    <t>Powerlife Electrolyte Lemon Tangerine 30 Serv PS Wrap Label</t>
  </si>
  <si>
    <t>Powerlife Electrolyte WATERMELON 30 Serv PS Wrap Label</t>
  </si>
  <si>
    <t>RAL 2oz Boston Round Amber Glass Bottle</t>
  </si>
  <si>
    <t>RAINLILLIE</t>
  </si>
  <si>
    <t>RAL BLACK PUMP 3.47 straw length</t>
  </si>
  <si>
    <t>UNCUT RAL BLACK PUMPS</t>
  </si>
  <si>
    <t>20/400 BLK DROPPER w/ 89mm glass pipette</t>
  </si>
  <si>
    <t>c/o All American</t>
  </si>
  <si>
    <t>Black Disposable mascara wand eyelash brush</t>
  </si>
  <si>
    <t>ORGANIC CASTOR OIL</t>
  </si>
  <si>
    <t>Rain Lillie; Organic Moroccan Argan Oil</t>
  </si>
  <si>
    <t>Rapid Nutrition Energize 6 pack display boxes</t>
  </si>
  <si>
    <t>Rapid Nutrition Energize Insert (for 6 pack)</t>
  </si>
  <si>
    <t>Liver Label</t>
  </si>
  <si>
    <t>Pre Workout Blue Punch 40 Serv</t>
  </si>
  <si>
    <t>Pre Workout Pina Colada</t>
  </si>
  <si>
    <t>Pre Workout Peach Rings</t>
  </si>
  <si>
    <t>DNU_CS PS LL "Revive MD - GI+"1.625" H x 11.313" W</t>
  </si>
  <si>
    <t>RAW CREATINE PS WRAP LABEL 2.25H X 11.5W</t>
  </si>
  <si>
    <t>Pre-Workout Sour Watermelon 40 Serv.</t>
  </si>
  <si>
    <t>DNU Pump 2 PS WRAP LABEL 2.25H X 11.5W</t>
  </si>
  <si>
    <t>QUA</t>
  </si>
  <si>
    <t>Peak O2 Label</t>
  </si>
  <si>
    <t>PEAK O2 LABEL VERSION 2</t>
  </si>
  <si>
    <t>Vitamin K2 30ct Label</t>
  </si>
  <si>
    <t>Vitamin K2 30ct CS Wrap Label</t>
  </si>
  <si>
    <t>DNU  Vitamin D3 60ct CS Wrap Label</t>
  </si>
  <si>
    <t>Pre-Workout Rocket Pop Label</t>
  </si>
  <si>
    <t>Revive - Liver 120ct</t>
  </si>
  <si>
    <t>Revive - Liver 120ct CS Wrap Label</t>
  </si>
  <si>
    <t>RAW Turkesterone PS Wrap Label 2.70 H x 7.00W</t>
  </si>
  <si>
    <t>GI+ 30 servings</t>
  </si>
  <si>
    <t>NAC Revivie RAW</t>
  </si>
  <si>
    <t>Ready Network Bronze 16oz bag with zip lock top</t>
  </si>
  <si>
    <t>Topi Cream PS Wrap label Shear Naturals</t>
  </si>
  <si>
    <t>SHEARNATURAL</t>
  </si>
  <si>
    <t>Revital U 30ct SBS Display box</t>
  </si>
  <si>
    <t>Revital U 30ct Master shipper box (48IC/MC)</t>
  </si>
  <si>
    <t>Revital U Coffee 30ct SBS Autolock Display Box</t>
  </si>
  <si>
    <t>Revital U Brew Stickpack foil 14up RIPSTIX</t>
  </si>
  <si>
    <t>Revital U Brew Stickpack Foil 11up RIPSTIX</t>
  </si>
  <si>
    <t>HEART Sticker- Revital U- Valentines day promo</t>
  </si>
  <si>
    <t>REVITALU</t>
  </si>
  <si>
    <t>REAL FOR REAL LEMON-AID DAILY  2.0" H X X4-5/8" W PS WRAP</t>
  </si>
  <si>
    <t>MineralAid 30ct PS Wrap label 2.0" Height x 5.5" Width</t>
  </si>
  <si>
    <t>REALFORREAL</t>
  </si>
  <si>
    <t>MineralAid 30ct CS label 2.0 x 5.5"</t>
  </si>
  <si>
    <t>Marine Phytoplankton powder</t>
  </si>
  <si>
    <t>RICEPLEX</t>
  </si>
  <si>
    <t>Nano Enhanced 1200mg printed IC Box</t>
  </si>
  <si>
    <t>RAWLIFEORGAN</t>
  </si>
  <si>
    <t>Purified MCT Oil 1200mg printed IC Box</t>
  </si>
  <si>
    <t>RAW LIFE ORGANICS GREEN JUICE MIX 11 BY 2.5 INCHES</t>
  </si>
  <si>
    <t>Raw Life Organic Raw Reds Blend PS wrap label</t>
  </si>
  <si>
    <t>CS Raw Reds Blends PS WRAP LABEL 2.75H X 11.25W</t>
  </si>
  <si>
    <t>Nano Enhanced 1200mg 2oz (WS) PS WRAP LABEL</t>
  </si>
  <si>
    <t>Purified MCT Oil 1200mg 2oz PS Wrap Label</t>
  </si>
  <si>
    <t>RLO Raw Focus Nootropic 60ct PS Wrap label</t>
  </si>
  <si>
    <t>RSP Immune Hydration IC 12btls/IC Guava Ginger</t>
  </si>
  <si>
    <t>RSP Immune Hydration Ginger Pineapple 12 btls/IC</t>
  </si>
  <si>
    <t>RSPNUTRITION</t>
  </si>
  <si>
    <t>RSP L-Arganine P/S Labels, 300 gms per jar</t>
  </si>
  <si>
    <t>RSP Beta Alanine P/S labels, 300 gms per jar</t>
  </si>
  <si>
    <t>RSP Immune Hydration UNSS label Guava Ginger</t>
  </si>
  <si>
    <t>RSP Immunity Hydration Pineaple Ginger UNSS Label</t>
  </si>
  <si>
    <t>Revive Biotech Healing Balm Tin Can</t>
  </si>
  <si>
    <t>Revive Biotech Healing Balm Tin Can Lid w sticker</t>
  </si>
  <si>
    <t>Revive Biotech Display Box</t>
  </si>
  <si>
    <t>RevivD+ Dispaly Box</t>
  </si>
  <si>
    <t>RevivD+ Stick pack foil</t>
  </si>
  <si>
    <t>Alpha Male 60ct 2.25” H x 6.25” W</t>
  </si>
  <si>
    <t>Equidren 100ct Rework</t>
  </si>
  <si>
    <t>SAMSON</t>
  </si>
  <si>
    <t>MASTERBOLAN REWORK</t>
  </si>
  <si>
    <t>SAM; Almost Juicin Pamphlet/ wrapped</t>
  </si>
  <si>
    <t>SDI; Liquid D-BOL PS Wrap Label</t>
  </si>
  <si>
    <t>SDI; Liquid DBOL PS Wrap Label</t>
  </si>
  <si>
    <t>Winni-V 60 ct PS wrap label</t>
  </si>
  <si>
    <t>SDI; Liquid Anodrol 4oz, PS Wrap Labels</t>
  </si>
  <si>
    <t>DBOL 60ct PS wrap label with BARCODE</t>
  </si>
  <si>
    <t>express labels</t>
  </si>
  <si>
    <t xml:space="preserve"> Test Suspension Wrap Label</t>
  </si>
  <si>
    <t>Test Suspension Label</t>
  </si>
  <si>
    <t>CS: Androl Tablet 30ct Wrap Label</t>
  </si>
  <si>
    <t>CS: LIquid Winni V Wrap Label</t>
  </si>
  <si>
    <t>Somatroph HC 4 oz PS Wrap Label</t>
  </si>
  <si>
    <t>MASTERBOLAN CS PS WRAP LABEL 2.25 X 6.0</t>
  </si>
  <si>
    <t>SDI; Eruption (Lifting Fuel) PS Wrap Label</t>
  </si>
  <si>
    <t>SDI; Power Explosion PS Wrap label</t>
  </si>
  <si>
    <t>SDI; ISOINOKOSTERONE PS Wrap label</t>
  </si>
  <si>
    <t>EQUIDREN LABEL - CS</t>
  </si>
  <si>
    <t>SDI: Sustenol-60ct PS Wrap label</t>
  </si>
  <si>
    <t>SDI Anodrol 60ct Capsule PS Wrap label</t>
  </si>
  <si>
    <t>SDI Anodrol 60 Ct Capsule PS Wrap Label</t>
  </si>
  <si>
    <t>SDI; Omnifen 60ct PS Wrap label</t>
  </si>
  <si>
    <t>SAM-EXPRESS</t>
  </si>
  <si>
    <t>4OZ COSMO PET CLEAR 24-410 /550</t>
  </si>
  <si>
    <t>3 PACK PRINTED BOX FOR ESPRESSO TO GO COFFEE CUPS</t>
  </si>
  <si>
    <t>12 PACK PRINTED DISPLAY BOX FOR 3COUNT ESPRESSO TO GO COFFEE</t>
  </si>
  <si>
    <t>24-410 PP RIB White PS Cap</t>
  </si>
  <si>
    <t>Pocket Espresso Bulk; customer supplied; refrigerator stored</t>
  </si>
  <si>
    <t xml:space="preserve"> STAY SLEEP PS WRAP Label</t>
  </si>
  <si>
    <t>SAVANT</t>
  </si>
  <si>
    <t>Fall Asleep Label 2.25" H x 6.25" W</t>
  </si>
  <si>
    <t>Fall Asleep 2.25" H x 6.25" W</t>
  </si>
  <si>
    <t>Deep Sleep 30 Serv Savant Science 2.25" H x 6.25" W</t>
  </si>
  <si>
    <t>Extramel CucumisMelo Extract</t>
  </si>
  <si>
    <t>Zembrin</t>
  </si>
  <si>
    <t>Sirtmax</t>
  </si>
  <si>
    <t>Venetron (Rafuma Extract_</t>
  </si>
  <si>
    <t>VITAMAX (trademark) Powdered Concentrate #08182011-M-V - Pro</t>
  </si>
  <si>
    <t>Pet Fiber 30 Servings</t>
  </si>
  <si>
    <t>Wheaton 20/400 phen blk, wht rub lnr</t>
  </si>
  <si>
    <t>Wheaton 20/400 phen blk, PTFE LNR</t>
  </si>
  <si>
    <t>ALL AMERICAN 20/400 BLK, RIBBED, F217 NOT GLUED - MOLD RITE</t>
  </si>
  <si>
    <t>Source One  Amber glass bottles</t>
  </si>
  <si>
    <t>SOURCEONE</t>
  </si>
  <si>
    <t>MARIPLANT 30ct printed display box</t>
  </si>
  <si>
    <t>SOURCEONEGLO</t>
  </si>
  <si>
    <t>Source One GOLD metal caps</t>
  </si>
  <si>
    <t>Source One Tocotienol Powder Water soluble DVP</t>
  </si>
  <si>
    <t>Source One Citrus Aurantium Extract</t>
  </si>
  <si>
    <t>Source One BULK soft gel  HEMP CHOICE</t>
  </si>
  <si>
    <t>GYMNEPURE SYLVESTRE EXTRACT</t>
  </si>
  <si>
    <t>Hemp Choice (30ct Soft Gel Bottles</t>
  </si>
  <si>
    <t>Opti Choice (30ct Soft Gel Bottles)</t>
  </si>
  <si>
    <t>Solace Joint Care Soul Perf Nutrition</t>
  </si>
  <si>
    <t>Pre-Workout Lemon Lime 20 Serv Label</t>
  </si>
  <si>
    <t>Liv Formula No 1 PS Wrap Label (old Smart Prime)</t>
  </si>
  <si>
    <t>250cc Bottles, amber, 2B sleeved only, 255 units per case; 1</t>
  </si>
  <si>
    <t>Stephen Gould GEL Crew FM Bottle shrink sleeves; 250 ml; und</t>
  </si>
  <si>
    <t>SummaRest 2ct Pouch</t>
  </si>
  <si>
    <t>Sleep Capsule</t>
  </si>
  <si>
    <t>DehydraTECH™ Infused Powder</t>
  </si>
  <si>
    <t>SINUSAVE EXTRA STRENGTH_ to be reworked</t>
  </si>
  <si>
    <t>SINUSAVE</t>
  </si>
  <si>
    <t>SINUSAVE TRAVEL to be reworked</t>
  </si>
  <si>
    <t>Mist 360 Sleeve label</t>
  </si>
  <si>
    <t>Bio Water</t>
  </si>
  <si>
    <t>CBD HEMP OIL ***pending potency testing confirmation***</t>
  </si>
  <si>
    <t>HEMP JUICE - NPD- Sample</t>
  </si>
  <si>
    <t>CBD Hemp Oil NLT 44%</t>
  </si>
  <si>
    <t>CBD HEMP OIL NLT 50%</t>
  </si>
  <si>
    <t>CBD Hemp Oil NLT 54%</t>
  </si>
  <si>
    <t>CBD Hemp Oil NLT 55%</t>
  </si>
  <si>
    <t>CBD Hemp Oil NLT 56%</t>
  </si>
  <si>
    <t>CBD Hemp Oil NLT 61%</t>
  </si>
  <si>
    <t>CBD Hemp Oil NLT 70%</t>
  </si>
  <si>
    <t>CBD Hemp Oil NLT 85%</t>
  </si>
  <si>
    <t>CBD Hemp Oil NLT 88%</t>
  </si>
  <si>
    <t>CBD Hemp Oil NLT 90%</t>
  </si>
  <si>
    <t>CBD Hemp Oil NLT 95%</t>
  </si>
  <si>
    <t>Hemp Oil 43.72% - David</t>
  </si>
  <si>
    <t>Hemp Oil 60%- David</t>
  </si>
  <si>
    <t>CBD Hemp Oil NLT 95% THC FREE</t>
  </si>
  <si>
    <t>Terpenex Hemp Powder extract 6.9% CBD</t>
  </si>
  <si>
    <t>Hemp Extract PWD 5%</t>
  </si>
  <si>
    <t>Hemp Extract Powder NLT 4.8%</t>
  </si>
  <si>
    <t>Hemp Extract Powder NLT 4.7%</t>
  </si>
  <si>
    <t>Hemp Extract Powder NLT 5.4% Cannabinoids</t>
  </si>
  <si>
    <t>Hemp Extract Powder NLT 7.6% Cannabinoids</t>
  </si>
  <si>
    <t>Terpenex - CBD Isolate 97%</t>
  </si>
  <si>
    <t>CS 70/400 BLACK 8oz STRAIGHT SIDED PETE</t>
  </si>
  <si>
    <t>16oz/89mm PET Black Canister</t>
  </si>
  <si>
    <t>CS 70/400 BLACK GLOSS SMOOTH HS S70A FS 5-9</t>
  </si>
  <si>
    <t>89/400 Black Smooth Skirt Lid w Heat Induction</t>
  </si>
  <si>
    <t>NMN 300mg 180ct</t>
  </si>
  <si>
    <t>NMN 300mg 60ct</t>
  </si>
  <si>
    <t>DHEA 100mg 180 Ct Toniiq</t>
  </si>
  <si>
    <t>Turkey Tail 120 Ct Toniiq</t>
  </si>
  <si>
    <t>Berberine 90ct CS label</t>
  </si>
  <si>
    <t>CURCUMIN 120ct cs LABEL</t>
  </si>
  <si>
    <t>TONIIQ CINNAMON 120ct LABEL CS</t>
  </si>
  <si>
    <t>DNU TURKESTERONE 120ct cs LABEL</t>
  </si>
  <si>
    <t>NMN 1200  60ct  Label CS</t>
  </si>
  <si>
    <t>DHEA 25mg 180ct CS LABEL</t>
  </si>
  <si>
    <t>Elixir 40g PS Wrap Label</t>
  </si>
  <si>
    <t>Elixir 80g PS Wrap Label</t>
  </si>
  <si>
    <t>NMN 40g Wrap Label</t>
  </si>
  <si>
    <t>NMN 80g Wrap label</t>
  </si>
  <si>
    <t>Berberine+ 120ct Label</t>
  </si>
  <si>
    <t>NMN 300mg 180ct Label</t>
  </si>
  <si>
    <t>NMN 300mg 60ct Label</t>
  </si>
  <si>
    <t>Fisetin 60ct Label</t>
  </si>
  <si>
    <t>UK Berberine 90 Ct Wrap label</t>
  </si>
  <si>
    <t>TONIIQ</t>
  </si>
  <si>
    <t>Fadogia Agrestis 120ct Label</t>
  </si>
  <si>
    <t>TEMP HOLD DNU Tongkat Ali + Fadogia 120ct CS Wrap Label</t>
  </si>
  <si>
    <t>Tongkat Ali 1200mg 120ct Label</t>
  </si>
  <si>
    <t>Turkesterone 120ct Barcode Label</t>
  </si>
  <si>
    <t>DHEA (Dehyroepiandrosterone)</t>
  </si>
  <si>
    <t>TURKEY TAIL EXTRACT NLT 30% BETAGLUCANS</t>
  </si>
  <si>
    <t>MCT Oil Powder 50% on Tapioca Maltodextrin</t>
  </si>
  <si>
    <t>Berberine HCL (No Less Than 97%)</t>
  </si>
  <si>
    <t>Black Pepper Extract</t>
  </si>
  <si>
    <t>Curcumin (97% Curcumin)</t>
  </si>
  <si>
    <t>Cinnamon Extract</t>
  </si>
  <si>
    <t>Ajuga Turkestanica Extract 20%</t>
  </si>
  <si>
    <t>NMN (ß-Nicotinamide Mononucleotide) Fine Powder</t>
  </si>
  <si>
    <t>NMN (ß-Nicotinamide Mononucleotide) Fine Granular</t>
  </si>
  <si>
    <t>Resveratrol (98% Transresveratrol)</t>
  </si>
  <si>
    <t>Betaine Anhydrous (98% Trimethylglycine)</t>
  </si>
  <si>
    <t>Milk Thistle Extract 80% Silymarin</t>
  </si>
  <si>
    <t>Berberine HCL (89%)</t>
  </si>
  <si>
    <t>Miricell (Rice Germ Extract 1% Spermidine)</t>
  </si>
  <si>
    <t>Berberine HCL (83%)</t>
  </si>
  <si>
    <t>Fadogia Agrestis Extract</t>
  </si>
  <si>
    <t>Tongkat Ali Extract</t>
  </si>
  <si>
    <t>CS .05 X 120 X 89 PVC CLEAR VERT PERF</t>
  </si>
  <si>
    <t>Full Body Verify size 155 x 100</t>
  </si>
  <si>
    <t>Alpha Grind 2ct Box</t>
  </si>
  <si>
    <t>Alpha Grind 2 pack Display Box</t>
  </si>
  <si>
    <t>KO Creamer Shrink Label</t>
  </si>
  <si>
    <t>Alpha Grind PS Wrap Label</t>
  </si>
  <si>
    <t>KO Creamer PS WRAP Circle Top Sticker</t>
  </si>
  <si>
    <t>Alpha Grind PS Wrap Circle Top Sticker</t>
  </si>
  <si>
    <t>2oz black PET Plastic Jar with 5/400 neck</t>
  </si>
  <si>
    <t>UNITEDHEMP</t>
  </si>
  <si>
    <t>c/o container and packaging</t>
  </si>
  <si>
    <t>CALM  Display Box - 1oz 1,200mg CBD Full Spectrum MCT</t>
  </si>
  <si>
    <t>Pet Tincture 1oz, 300mg printed display box customer supplie</t>
  </si>
  <si>
    <t>FOCUS Full Spectrum MCT Display Box 1OZ 1,200mg CBD</t>
  </si>
  <si>
    <t>UNH Sports Cream Print Display Box</t>
  </si>
  <si>
    <t>UNH Energy 30ct Prnt IC Box; 1 btl/bx</t>
  </si>
  <si>
    <t>UNH Sleep 30ct Prnt Display IC box</t>
  </si>
  <si>
    <t>UNH Sports Cream prnt IC Box; 1 btl/bx</t>
  </si>
  <si>
    <t>58/400 Black PP Plastic Dome lid</t>
  </si>
  <si>
    <t>UNH Plastic cap sealing disc</t>
  </si>
  <si>
    <t>Calm 1200 Wrap Label United Hemp Black Creek</t>
  </si>
  <si>
    <t>Pet Tincture Wrap Label United Hemp Black Creek</t>
  </si>
  <si>
    <t>Energy 30 Count United Hemp BlackCreek Wrap label</t>
  </si>
  <si>
    <t>Focus 1200mg Wrap label United Hemp Black Creek</t>
  </si>
  <si>
    <t>Sleep 30 Ct Wrap label United Hemp Black Creek</t>
  </si>
  <si>
    <t>600mg CBD 1 oz Natural CALM  MCT Full spectrum PS Wrap label</t>
  </si>
  <si>
    <t>UNH Sports Cream PS wrap label ; 7.2 LENGTH x0.44 HEIGHT</t>
  </si>
  <si>
    <t>Calm Terpene Blend</t>
  </si>
  <si>
    <t>Focus Terpene Blend</t>
  </si>
  <si>
    <t>Hemp Distillate mixed with MCT (full spectrum) 10%</t>
  </si>
  <si>
    <t>Hemp Crude mixed with MCT 57%</t>
  </si>
  <si>
    <t>Hemp Distillate mixed with MCT (full spectrum) 7.4%</t>
  </si>
  <si>
    <t>Hemp Crude mixed with MCT 64%</t>
  </si>
  <si>
    <t>Valentus M.O.R.E Detox Printed IC Display Box</t>
  </si>
  <si>
    <t>Valentus 24ct EU Brazilian AutoLock Prnt Disply box</t>
  </si>
  <si>
    <t>P12981 (brown inside)</t>
  </si>
  <si>
    <t>ITALIAN ROAST 24ct stickpack boxes for rework</t>
  </si>
  <si>
    <t>VALENTUS</t>
  </si>
  <si>
    <t>Valentus Prevail K9 FG bottles</t>
  </si>
  <si>
    <t>Slimroast Optimum REWORK</t>
  </si>
  <si>
    <t>Skinny body Care P4- Protein Shake Chocolcate to be reworked</t>
  </si>
  <si>
    <t>hiburn nightime weight loss REWORK</t>
  </si>
  <si>
    <t>Prevail NCD 1oz for Rework</t>
  </si>
  <si>
    <t>Valentus E3 Canisters</t>
  </si>
  <si>
    <t>Skinny Body MAX 120ct</t>
  </si>
  <si>
    <t>LWDWAY</t>
  </si>
  <si>
    <t>Skinny Body Care -Skinny Fiber 120ct</t>
  </si>
  <si>
    <t>Valentus Highburn 8 Inner Case 3.25 x 3.25 x 6</t>
  </si>
  <si>
    <t>Valentus - NIGERIA- PREVAIL Keto Vanilla PS</t>
  </si>
  <si>
    <t>Valentus PREVAIL Keto Creamer PS Wrap label</t>
  </si>
  <si>
    <t>Slimroast Optimum Round Circle Sticker</t>
  </si>
  <si>
    <t>Slimroast Brazilian NO PEA Tapered PS wrap label</t>
  </si>
  <si>
    <t>Slimroast Optimum 11UP stickpack foil</t>
  </si>
  <si>
    <t>Slimroast Optimum 14up Stickpack foil</t>
  </si>
  <si>
    <t>Slimroast Optimum COCOA Round Cap Sticker</t>
  </si>
  <si>
    <t>Prevail M.O.R.E Detox 2oz PS Wrap label</t>
  </si>
  <si>
    <t>MORE Detox drops PS Wrap label</t>
  </si>
  <si>
    <t>Phillipines Valentus Optimum Dark Roast PS Wrap label</t>
  </si>
  <si>
    <t>VALENTUS Italian Roast PS Wrap label</t>
  </si>
  <si>
    <t>Prevail Fiber 120ct PS Wrap Label _for PPT bottles only</t>
  </si>
  <si>
    <t>for PPT bottles only</t>
  </si>
  <si>
    <t>PREVAIL Fiber PLUS 120ct PS Wrap label</t>
  </si>
  <si>
    <t>Prevail Fiber Plus PS wrap label  ( FDA Compliant)</t>
  </si>
  <si>
    <t>invoice client for reinbursement</t>
  </si>
  <si>
    <t>Valentus- NIGERIA -Dark Roast Coffee PS</t>
  </si>
  <si>
    <t>New Valentus Optimum USA PS wrap label</t>
  </si>
  <si>
    <t>Slimroast Optimum USA PS wrap label MR201</t>
  </si>
  <si>
    <t>Valentus Optimum PHILLIPINES PS Wrap Label</t>
  </si>
  <si>
    <t>Valentus Optimum PHILLIPINES PS Wrap Label MR201</t>
  </si>
  <si>
    <t>Valentus Optimum Phillipines HALAL PS wrap label MR201</t>
  </si>
  <si>
    <t>Valentus- NIGERIA -SlimROAST OptimumCocoa PS Wrap</t>
  </si>
  <si>
    <t>Slimroast Optimum COCOA MR30 TUB PS Wrap Label</t>
  </si>
  <si>
    <t>EU Prevail Max FBSS label Cut &amp; perforated</t>
  </si>
  <si>
    <t>MR30 Valentus Slirmoast Optimum USA PS Wrap Label</t>
  </si>
  <si>
    <t>Valentus Brazilian w/ PEA 8oz CanisterPS wrap label</t>
  </si>
  <si>
    <t>Prevail Max USA 1.75 x 4.25 PS label (FDA comp)</t>
  </si>
  <si>
    <t>Valentus Prevail Thermo PERK 30ct PS Wrap label</t>
  </si>
  <si>
    <t>Valentus usa Prevail Thermo Perk 30ct PS Wrap label</t>
  </si>
  <si>
    <t>Valentus Prevail 1oz NCD PS Wrap label</t>
  </si>
  <si>
    <t>10UP Valentus EU Brazilian Roast Stickpack foil_ALT machine</t>
  </si>
  <si>
    <t>10 Lane_ Balpack Machine_ Alt labs</t>
  </si>
  <si>
    <t>Valentus Canadian Thermo Perk</t>
  </si>
  <si>
    <t>Valentus Emulin C PS Wrap Label</t>
  </si>
  <si>
    <t>Valentus Emulin M PS Wrap label</t>
  </si>
  <si>
    <t>Valentus Tropical Blast PS Wrap label</t>
  </si>
  <si>
    <t>Tropical Blast 14oz Tub</t>
  </si>
  <si>
    <t>*ALT* VAL Prevail Shield 1oz PS wrap labels _extra long</t>
  </si>
  <si>
    <t>Tropical Blast stickpack foil _Ripstix Ultra</t>
  </si>
  <si>
    <t>Valentus HighBurn 8 Foil</t>
  </si>
  <si>
    <t>Valentus Brazilian Roast W/PEA PB / 24ct stickpack boxes</t>
  </si>
  <si>
    <t>12oz 20ct Clear Stand up pounch</t>
  </si>
  <si>
    <t>Coffee Dark Roast Powder</t>
  </si>
  <si>
    <t>VALENTAS</t>
  </si>
  <si>
    <t>$ 8.23/KG AMERICAN INSTANTS</t>
  </si>
  <si>
    <t>White Kidney Bean Extract Fabenol Phaseolamin</t>
  </si>
  <si>
    <t>$ 55/kg Sabinsa</t>
  </si>
  <si>
    <t>Green Instant Tea KJF7G</t>
  </si>
  <si>
    <t>Valentus Colcafe Colombian Spray Dried Instant Coffee</t>
  </si>
  <si>
    <t>Slimroast Brazilian Roast BLEND</t>
  </si>
  <si>
    <t>Slimroast Italian Roast Blend</t>
  </si>
  <si>
    <t>Instant Arabica Coffee</t>
  </si>
  <si>
    <t>Cassia Nomame P.E. 10:1</t>
  </si>
  <si>
    <t>Cafiver Coffee</t>
  </si>
  <si>
    <t>2000 mL Clear HDPE bottle</t>
  </si>
  <si>
    <t>Aqua A MASTER CASE; 5 BTLS/ MC</t>
  </si>
  <si>
    <t>White CRC Cap</t>
  </si>
  <si>
    <t>Aqua A Dairy Concentrate PS Wrap Label</t>
  </si>
  <si>
    <t>Polysorbate 80 NF FCC Kosher</t>
  </si>
  <si>
    <t>Vitamin A Palmitate Oil</t>
  </si>
  <si>
    <t>GREEN TAMPER EVIDENT TAPE</t>
  </si>
  <si>
    <t>VFINITY V3 BOOST PACKET PRINTED FOIL</t>
  </si>
  <si>
    <t>Vfinity V1 Shake POUCH Foil/Film</t>
  </si>
  <si>
    <t>Vfinity Skinny Greens Stickpack foil/film</t>
  </si>
  <si>
    <t>VBiotic Optimal Digestive Health 30ct PS wrap Labels</t>
  </si>
  <si>
    <t>VOYAGER-CS</t>
  </si>
  <si>
    <t>V3 KETO PERK Coffee PS Wrap label</t>
  </si>
  <si>
    <t>DNU   Vfinity V2 Greens PS Wrap Label</t>
  </si>
  <si>
    <t>V1 Smoothie label CS</t>
  </si>
  <si>
    <t>VRelief PS wrap Label</t>
  </si>
  <si>
    <t>V3 ORIGINAL 60ct PS Wrap label MR 7</t>
  </si>
  <si>
    <t>V3 BOOST 60ct PS Wrap label MR10</t>
  </si>
  <si>
    <t>Vfinity V3 BOOST PS Wrap label</t>
  </si>
  <si>
    <t>Vfinfity THE DOSE PS Wrap label</t>
  </si>
  <si>
    <t>Vfinity V2 Greens PS Wrap Label</t>
  </si>
  <si>
    <t>V3 ORIGINAL 4ct Packet Printed Foil</t>
  </si>
  <si>
    <t>VFINITY INC</t>
  </si>
  <si>
    <t>MELT 60ct PS WRAP LABEL 2.5" X 7"</t>
  </si>
  <si>
    <t>MELT 4 Ct POUCH Vfinity Sample Pack</t>
  </si>
  <si>
    <t>10 x 12 metalized pouch w/ zipseal and black inner layer</t>
  </si>
  <si>
    <t>Vibrant Health; 89mm Green Smooth HSO Caps</t>
  </si>
  <si>
    <t>VIB HEALTH</t>
  </si>
  <si>
    <t>Victory; Concentrace Trace Mineral Drops</t>
  </si>
  <si>
    <t>Victory Nut-ALCOLEC PC 75</t>
  </si>
  <si>
    <t>Victory Nutrition; Phospholipon 85G</t>
  </si>
  <si>
    <t>VidaThin Master Case Barcode Sticker</t>
  </si>
  <si>
    <t>Mens Vitality Inner Display Case</t>
  </si>
  <si>
    <t>Mens Vitality Foil 2 capsules</t>
  </si>
  <si>
    <t>Capsule sachet Labor - Pharma Center (Master case(16x12x10)</t>
  </si>
  <si>
    <t>VNI - CS - 32oz HDPE 38-430 white contour round bottle</t>
  </si>
  <si>
    <t>32 oz 38/430 95 gram White HDPE Boston Round</t>
  </si>
  <si>
    <t>Bulk Packed 1,342 per pallet / Customer Supplied from Industrial Containers</t>
  </si>
  <si>
    <t>3oz white HDPE imperial round bottle with 24-410 neck finis</t>
  </si>
  <si>
    <t>VNI; MOMENTS SHIPPER CASE; 4MC/SHIPPER CASE</t>
  </si>
  <si>
    <t>VNI Brain Reward 15 packet Display box</t>
  </si>
  <si>
    <t>Dropper with printed-graduated 89mm pipette</t>
  </si>
  <si>
    <t>VNI HCS0220 Medicine Cup 30mL Plastic</t>
  </si>
  <si>
    <t>Brain Reward 6ct packets for rework</t>
  </si>
  <si>
    <t>VNI: Brain Reward 180ct PS Wrap Labels</t>
  </si>
  <si>
    <t xml:space="preserve">   , VNI: Canada PRodovite FBSS Label</t>
  </si>
  <si>
    <t>DNU Prodovite 30oz FBSS updated SFP</t>
  </si>
  <si>
    <t>Prodovite 30oz FBSS updated  w/ refrigerate after opening</t>
  </si>
  <si>
    <t>Prodovite new label for Boston round Bottle</t>
  </si>
  <si>
    <t>VNI Prodovite new PERF for boston round bottle</t>
  </si>
  <si>
    <t>VNI; Printed PRODOVITE foil cup labels/lid</t>
  </si>
  <si>
    <t>VNI; THIONEXTRA 120CT PS WRAP LABEL</t>
  </si>
  <si>
    <t>NSORB CS Fully Body Shrink Sleeve label</t>
  </si>
  <si>
    <t>NSORB CS wrap label 2oz (60ml)</t>
  </si>
  <si>
    <t>3 oz Prodovite PS WRAP Peel  &amp; Reveal Label</t>
  </si>
  <si>
    <t>Equigen Plus 90 Ct Label</t>
  </si>
  <si>
    <t>PerformLyte Mix Berry Flavor PS Wrap Label</t>
  </si>
  <si>
    <t>VNI Organic Herbal Blend</t>
  </si>
  <si>
    <t>VNI STRUCTURED WATER SK713NS 011316 VNI EXCIPIENT</t>
  </si>
  <si>
    <t>VNI STRUCTURED WATER SK713PR VNI EXCIPIENT</t>
  </si>
  <si>
    <t>VNI Thion Extra Structured Water</t>
  </si>
  <si>
    <t>VNI Brain Reward Structured water</t>
  </si>
  <si>
    <t>VNI Biobotanica 1:1  Herbal Blend</t>
  </si>
  <si>
    <t>LIFEGEN-VND</t>
  </si>
  <si>
    <t>VNI SK713NSORB Prodosome LB for NSORB</t>
  </si>
  <si>
    <t>DNU__VNI; SK713 6% BR- Brain Reward Proprietary Powder Blend</t>
  </si>
  <si>
    <t>VNI Camu Camu Powder</t>
  </si>
  <si>
    <t>VNI Soy Lecithin Phospholipids Prodosomes</t>
  </si>
  <si>
    <t>ALM Digestive Bulk</t>
  </si>
  <si>
    <t>Endorphamine Blend</t>
  </si>
  <si>
    <t>O2P SK713BR Oil Powder: O2P-SK713BR25-NG</t>
  </si>
  <si>
    <t>SK713TE PWD BLEND: 25% Prodosomes &amp; 75% Tricalcium Phosphate</t>
  </si>
  <si>
    <t>VNI Thiamine HCL</t>
  </si>
  <si>
    <t>VNI Pyridoxine HCL</t>
  </si>
  <si>
    <t>VNI Pyridoxal-5-Phosphate</t>
  </si>
  <si>
    <t>VNI Chromate 10% Chromium</t>
  </si>
  <si>
    <t>Elemin and Trace Minerals</t>
  </si>
  <si>
    <t>Spectra</t>
  </si>
  <si>
    <t>Prodosome Pwd &amp; Tricalcium for PerformLyte</t>
  </si>
  <si>
    <t>VNI SK713TE Thion Extra Prodosomes from NPRI</t>
  </si>
  <si>
    <t>Vfinity; V3 MAX printed box</t>
  </si>
  <si>
    <t>VFinity; V1 Skinny Shake Printed Bag- Vanilla Cupcake</t>
  </si>
  <si>
    <t>Spray Bottle for Pain Spray
Vitamark customer supplied 
Supp</t>
  </si>
  <si>
    <t>Vitamark customer supplied inner case box (8 pack 4oz limu p</t>
  </si>
  <si>
    <t>Atomizer for pain spray tube
vitamark customer supplied
supp</t>
  </si>
  <si>
    <t>Over-cap for atomizer pain spray tube
Vitamark Customer Supp</t>
  </si>
  <si>
    <t>Limu Plus customer supplied wrap label for clear glass 1 lit</t>
  </si>
  <si>
    <t>Limu Plus 4oz full body shrink sleeve customer supplied labe</t>
  </si>
  <si>
    <t>Limu Green TE Neck Bands for 32oz glass bottle</t>
  </si>
  <si>
    <t>GNC 6 Pack Box: 8 1/8 x 5 3/8 x 8 7/8 32C</t>
  </si>
  <si>
    <t>Celebrity Secret PS wrap label</t>
  </si>
  <si>
    <t>WORLDWIDENUT</t>
  </si>
  <si>
    <t>Celebrity Secret CLEAR PS Wrap label</t>
  </si>
  <si>
    <t>DONNA</t>
  </si>
  <si>
    <t>Liquid Zeolite 1oz PS Wrap Label</t>
  </si>
  <si>
    <t>Zeolite PS Wrap label</t>
  </si>
  <si>
    <t>*ALT* XSilver 4oz PS Wrap Label</t>
  </si>
  <si>
    <t>Xrise Infused Coffee PS Wrap Label</t>
  </si>
  <si>
    <t>XGreens PS Wrap label</t>
  </si>
  <si>
    <t>Invoice Client for label costs</t>
  </si>
  <si>
    <t>Xrefresh Infused Tea PS Wrap Label</t>
  </si>
  <si>
    <t>Xred PS Wrap Label Version 2</t>
  </si>
  <si>
    <t>X770 30 ml Hemp Oil Crème Brulee PS Wrap Label</t>
  </si>
  <si>
    <t>X770 30ml Hemp Oil Creme Brulee PS Wrap Label</t>
  </si>
  <si>
    <t>ISXPERIA</t>
  </si>
  <si>
    <t>Xessentials PS Wrap Label</t>
  </si>
  <si>
    <t>XCALFREE PS Wrap Label</t>
  </si>
  <si>
    <t>XDEFEND 60 CT PS Wrap Label</t>
  </si>
  <si>
    <t>*ALT*XBrew 8 oz PS Wrap label</t>
  </si>
  <si>
    <t>*ALT*TX COFFEE PS WRAP LABEL</t>
  </si>
  <si>
    <t>XCocoa PS Wrap label **invoice customer**</t>
  </si>
  <si>
    <t>YES INVOICE CLIENT</t>
  </si>
  <si>
    <t>DNU XREVIVE LABEL - ALT LABS ORDERS, BILL CLIENT PASSTHROUGH</t>
  </si>
  <si>
    <t>Xrevive Ps Wrap Label</t>
  </si>
  <si>
    <t>XOPC Canister Wrap Label</t>
  </si>
  <si>
    <t>ZEN; Lavender Extract Syrup</t>
  </si>
  <si>
    <t>Zen; Orange Blossom Extract</t>
  </si>
  <si>
    <t>ZEN: Rose Extract Liquid</t>
  </si>
  <si>
    <t>CS Biotix display box, 1 bottle per box</t>
  </si>
  <si>
    <t>cs collagen display box, 1 bottle per box</t>
  </si>
  <si>
    <t>ZILIS Collazen 30ct REWORK</t>
  </si>
  <si>
    <t>ZILIS</t>
  </si>
  <si>
    <t>Zilis Zen Mist Full Body Shrink Sleeve</t>
  </si>
  <si>
    <t>ZILIS ZEN ReNew 10mL PS wrap label</t>
  </si>
  <si>
    <t>Ultra Support Biotix 30ct PS Wrap label</t>
  </si>
  <si>
    <t>Biotix - cs supplied label</t>
  </si>
  <si>
    <t>DNU_Zilis CollaZen 30ct PS WRAP LABEL- SHORTER</t>
  </si>
  <si>
    <t>Zilis Lishe Collagen PS wrap labels</t>
  </si>
  <si>
    <t xml:space="preserve"> Lishe renew 30ct label 2.375H x 6.75W</t>
  </si>
  <si>
    <t>salmon protein powder</t>
  </si>
  <si>
    <t>Lime Mint SD Pwd #228B72</t>
  </si>
  <si>
    <t>4 x 6 Metalized Food Bag</t>
  </si>
  <si>
    <t>S-16894 - 1000 carton</t>
  </si>
  <si>
    <t>22 x 12 x 6 Corrugated Box</t>
  </si>
  <si>
    <t>S-19850</t>
  </si>
  <si>
    <t>22/400 Black Ribbed Fine Mist Sprayer w/ Overcap 4 5/16" DT</t>
  </si>
  <si>
    <t>HF-31220 - 2300 cs</t>
  </si>
  <si>
    <t>Cordiart</t>
  </si>
  <si>
    <t>MegaNatural Red Grape</t>
  </si>
  <si>
    <t>POLYPHENOLIC</t>
  </si>
  <si>
    <t>Phosphatidylserine 20% Powder (Non-GMO Soybeans)</t>
  </si>
  <si>
    <t>Cherry Pure</t>
  </si>
  <si>
    <t>Pea Protein P870</t>
  </si>
  <si>
    <t>PURISPROTIEN</t>
  </si>
  <si>
    <t>800 kg (763.64 lb) MOQ - 20 kg bags</t>
  </si>
  <si>
    <t>MyHMB</t>
  </si>
  <si>
    <t>TSIUSA</t>
  </si>
  <si>
    <t>ALGARICH VEGI-P55 (CHLORELLA POWDER)</t>
  </si>
  <si>
    <t xml:space="preserve">Proprietary 8 Probiotic Blend 155.7 B/g </t>
  </si>
  <si>
    <t>PB8-155.70B-DF-M-ALTL</t>
  </si>
  <si>
    <t>Optimal 8 Probiotic 30 Ct PS Wrap Label</t>
  </si>
  <si>
    <t>High Impact Plant Protein Vanilla 15 Serv PS Wrap Label</t>
  </si>
  <si>
    <t>High Impact Plant Protien Chocolate 15 Serv PS Wrap Label</t>
  </si>
  <si>
    <t>High Impact P. P. Blueberry Muffin 15 Serv PS Wrap Label</t>
  </si>
  <si>
    <t>Awakened 20 Serv PS Wrap Label</t>
  </si>
  <si>
    <t>Tribulus Terrestris (95% Saponins)</t>
  </si>
  <si>
    <t>Zinc Citrate</t>
  </si>
  <si>
    <t>Copper Citrate</t>
  </si>
  <si>
    <t>Alpha King Maker 120 Ct PS Wrap Label</t>
  </si>
  <si>
    <t>Organic Chia Seed Canister Label</t>
  </si>
  <si>
    <t xml:space="preserve">Horse Chestnut Extract 20% Aescins UV </t>
  </si>
  <si>
    <t xml:space="preserve">Fadogia Agrestis 20:1 </t>
  </si>
  <si>
    <t>LJ 100</t>
  </si>
  <si>
    <t>MOQ 1 kg</t>
  </si>
  <si>
    <t>RipFactor</t>
  </si>
  <si>
    <t>Bee Pollen Extract 4:1</t>
  </si>
  <si>
    <t>Cinsulin</t>
  </si>
  <si>
    <t>USA Pop RP-26320</t>
  </si>
  <si>
    <t>rp-26320</t>
  </si>
  <si>
    <t>Testosterone Support 120ct Label Customer supplied</t>
  </si>
  <si>
    <t>Alpha King Maker Sticker</t>
  </si>
  <si>
    <t xml:space="preserve">8oz 70/400 Black Matte PET </t>
  </si>
  <si>
    <t>AM-19890-00</t>
  </si>
  <si>
    <t>16 x 16 x 6 Corregated Box</t>
  </si>
  <si>
    <t>3000 MOQ</t>
  </si>
  <si>
    <t>15 x 12 x 3 Corrugated Box</t>
  </si>
  <si>
    <t>S-20477</t>
  </si>
  <si>
    <t>110/400 Black Smooth Cap Foil Liner</t>
  </si>
  <si>
    <t>GB26110103HIS-A384 - 384 case</t>
  </si>
  <si>
    <t xml:space="preserve">PPC Ripstick Blanks </t>
  </si>
  <si>
    <t>L-Cysteine Hydrochloride Monohydrate</t>
  </si>
  <si>
    <t>Selenium Citrate</t>
  </si>
  <si>
    <t>Pea Protein Masker 9735A PDR</t>
  </si>
  <si>
    <t>DigeZyme®-</t>
  </si>
  <si>
    <t>Polynol</t>
  </si>
  <si>
    <t>Natural Sweet raspberry RA-25759</t>
  </si>
  <si>
    <t>RA-25759 - 45.36 kg MOQ</t>
  </si>
  <si>
    <t>Dihydromyricetin</t>
  </si>
  <si>
    <t>Volactive UltraWhey 90 Instant</t>
  </si>
  <si>
    <t>WHY96200</t>
  </si>
  <si>
    <t>Branched Chained Amino Acids 2:1:1 Hydrolyzed (Leucine, Isol</t>
  </si>
  <si>
    <t>Nutritional Yeast (Sacchromyces cerevisiae)</t>
  </si>
  <si>
    <t>Engevita GSH (NA) 23637 - 22.68  kg</t>
  </si>
  <si>
    <t>0.05 x 55 x 500 Clear w/ Vert Perf. (ROLL)</t>
  </si>
  <si>
    <t>Roll</t>
  </si>
  <si>
    <t>Switch PS Wrap Label</t>
  </si>
  <si>
    <t>Super Coco Bag</t>
  </si>
  <si>
    <t>Vitamin ADK 5 Plus Low TE 60 Ct</t>
  </si>
  <si>
    <t>Coato 2oz</t>
  </si>
  <si>
    <t>Merci Dupre 60 ml</t>
  </si>
  <si>
    <t>Vitality Release Drops PS Wrap Label</t>
  </si>
  <si>
    <t>Xanthomax 30 Ct PS Wrap Label</t>
  </si>
  <si>
    <t>Prefuel Athletic Performance PS Wrap Label</t>
  </si>
  <si>
    <t>Zeus Pump Tropical Peach PS Wrap Label</t>
  </si>
  <si>
    <t>Chocolate Plant Protein Bag Livegood</t>
  </si>
  <si>
    <t>D3K2 PS Wrap Label</t>
  </si>
  <si>
    <t>Magnesium Capsule PS Wrap Label. Dimesion: 2.125" Height x 6</t>
  </si>
  <si>
    <t>20oz Waffle Pancake Mix Bag 10 1/4 H x 7 1/4 W x 2 3/4 G</t>
  </si>
  <si>
    <t>Solside Coffee Plus 30 Serv PS Wrap Label</t>
  </si>
  <si>
    <t xml:space="preserve">AMAZING ANTIOXIDANT PS Wrap Label  </t>
  </si>
  <si>
    <t>Solside Coffee Foil</t>
  </si>
  <si>
    <t>Mens Health 30 Ct PS Wrap Label</t>
  </si>
  <si>
    <t>GMS (Glycerol monostearate) infused with CBD (13% )</t>
  </si>
  <si>
    <t>Top sticker for Awakened</t>
  </si>
  <si>
    <t>Berberine 1500 180 Ct</t>
  </si>
  <si>
    <t>V2 Greens PS Wrap Label</t>
  </si>
  <si>
    <t>32oz 89/400 Black HDPE</t>
  </si>
  <si>
    <t># 082891 72pcs Per Case</t>
  </si>
  <si>
    <t>21 x 15 5/8  x 5 15/16 Corrugated Box</t>
  </si>
  <si>
    <t>5K-7K= $1.49 / 8K-11K = $1.39</t>
  </si>
  <si>
    <t>89/400 White Smooth Vented Foil Seal</t>
  </si>
  <si>
    <t>1000/case</t>
  </si>
  <si>
    <t>20/410 Black Ribbed Skirt Fine Mist Sprayer w/ 62mm Dip Tube</t>
  </si>
  <si>
    <t>38/400 Smooth Lime Green w/Foil Seal Liner</t>
  </si>
  <si>
    <t>2600/ case (qty under 25K + $600 Color Charge)</t>
  </si>
  <si>
    <t>Maltitol 80-55 Syrup</t>
  </si>
  <si>
    <t>1400 kg (3086.46 lg)</t>
  </si>
  <si>
    <t>Sustane SAIB MCT</t>
  </si>
  <si>
    <t>0116410 - MOQ 1 Pail (20kg/44.1 lb)</t>
  </si>
  <si>
    <t>Whey Masker 4427b PDR</t>
  </si>
  <si>
    <t>4427b PDR - 22.68 kg pack</t>
  </si>
  <si>
    <t>Crystalline Maltitol</t>
  </si>
  <si>
    <t>25 kgs</t>
  </si>
  <si>
    <t>Kanna (whole herb)</t>
  </si>
  <si>
    <t>Passionfruit CI-PA-29414</t>
  </si>
  <si>
    <t>CI-PA- 29414 - 45.36 MOQ</t>
  </si>
  <si>
    <t>Bright Yellow 23000002</t>
  </si>
  <si>
    <t>23000002 - MOQ=15 kgs</t>
  </si>
  <si>
    <t>Adenosylcobalamin</t>
  </si>
  <si>
    <t>0.1 kg</t>
  </si>
  <si>
    <t>Shade Blue 60000002</t>
  </si>
  <si>
    <t>60000002</t>
  </si>
  <si>
    <t>23000002</t>
  </si>
  <si>
    <t>Angelica (Dong Quai) Root Extract 4:1 (water extracted)</t>
  </si>
  <si>
    <t xml:space="preserve">Chaste Tree Berry Extract 3% Flavones UV (10:1) </t>
  </si>
  <si>
    <t>Chickpea Protein PGYS</t>
  </si>
  <si>
    <t>SCOULAR</t>
  </si>
  <si>
    <t>Natural Strawberry Shortcake ST-32796</t>
  </si>
  <si>
    <t>45.36 kg MOQ</t>
  </si>
  <si>
    <t>Chia Protein Powder</t>
  </si>
  <si>
    <t>Rosemary extract 7.5% Rosemarinic acid HPLC</t>
  </si>
  <si>
    <t>Whey Concentrate XR</t>
  </si>
  <si>
    <t xml:space="preserve"> Rutaecarpine 98%</t>
  </si>
  <si>
    <t>Red Velvet Cake NAT Wonf flavor  9882A PDR</t>
  </si>
  <si>
    <t>Andgel Food Cake Flavor NAT Wonf 9349B</t>
  </si>
  <si>
    <t>Gooey Butter Cake 3128132</t>
  </si>
  <si>
    <t>Amylase 5,000 skb/gm</t>
  </si>
  <si>
    <t>47cc LH Scoop</t>
  </si>
  <si>
    <t>.05 x 215 Clear (Roll)</t>
  </si>
  <si>
    <t>.05 x 155 x 155 Clear w/ Vert. Perf.</t>
  </si>
  <si>
    <t>.05 x 66 Clear w/ Vert. Perf (Roll)</t>
  </si>
  <si>
    <t>1 roll ea.</t>
  </si>
  <si>
    <t>.05 x 77 Clear w/ Vert. Perf (Roll)</t>
  </si>
  <si>
    <t>1 roll ea</t>
  </si>
  <si>
    <t>.05 x 120 Clear w/ Vert. Perf (Roll)</t>
  </si>
  <si>
    <t>Constipation 90 Ct PS Wrap Label</t>
  </si>
  <si>
    <t>Constipation 45 Ct PS Wrap Label</t>
  </si>
  <si>
    <t>X1 BOL PS Wrap Label</t>
  </si>
  <si>
    <t>Nasal Spray + Display Box</t>
  </si>
  <si>
    <t>Clean Spirits PS Wrap Label</t>
  </si>
  <si>
    <t>Elevaci Vanilla Chair Tea 19oz PS Wrap Label</t>
  </si>
  <si>
    <t>Daybreak Elevate Max Canada PS Wrap Label</t>
  </si>
  <si>
    <t>Perx Tropical Twist PS Wrap Label</t>
  </si>
  <si>
    <t>Citrus Twist PS Wrap Label</t>
  </si>
  <si>
    <t>PerX Fruit of the Forest PS Wrap Label</t>
  </si>
  <si>
    <t>Hormone Support Tropical 30 Servings Wrap Label</t>
  </si>
  <si>
    <t>Foundation 90 Servings PS Wrap Label</t>
  </si>
  <si>
    <t>DHEA 90Ct PS Wrap Label</t>
  </si>
  <si>
    <t>Melatonin 90 Servings PS Wrap Label Cycle Breakers</t>
  </si>
  <si>
    <t>Collagen Complex Bag 20oz</t>
  </si>
  <si>
    <t>Organic Coffee PS Wrap Label</t>
  </si>
  <si>
    <t>Naked Sleep PS Wrap Label</t>
  </si>
  <si>
    <t>Caffeine from Green Tea Extract  (as PurCaf)</t>
  </si>
  <si>
    <t>EGCG from Green Tea Extract</t>
  </si>
  <si>
    <t>Slendacor (morniga Oleifera Leaf Extract)</t>
  </si>
  <si>
    <t>Grains of Paradise Seed Extract</t>
  </si>
  <si>
    <t>Lemon Balm Extract (as Cyracos)</t>
  </si>
  <si>
    <t>Organic Passionflower extract PE 4:1</t>
  </si>
  <si>
    <t>Lavender Extract PE 4-1:1</t>
  </si>
  <si>
    <t xml:space="preserve">Breathrough Display Box </t>
  </si>
  <si>
    <t xml:space="preserve">Breakthrough Foil </t>
  </si>
  <si>
    <t>Peak 02</t>
  </si>
  <si>
    <t>Rhodiola rosea Extract</t>
  </si>
  <si>
    <t>Pink Energy Display Bag 8.5" H x 6.75" W x 2" Gusset - CS</t>
  </si>
  <si>
    <t xml:space="preserve">Solside Coffee Bag 8.5" H x 6.75" W x 2" Gusset </t>
  </si>
  <si>
    <t xml:space="preserve">Pink Energy Foil </t>
  </si>
  <si>
    <t>HIgh Impact WHEY Vanilla PS Wrap Label</t>
  </si>
  <si>
    <t>HIgh Impact WHEY Choc PS Wrap Label</t>
  </si>
  <si>
    <t>High Impact Plant Protein Strawberry Vanilla PS Wrap Label</t>
  </si>
  <si>
    <t xml:space="preserve">Nourish Chocolate 14 Servings PS Wrap Label </t>
  </si>
  <si>
    <t>Nourish Mocha PS Wrap Label</t>
  </si>
  <si>
    <t>Nourish Vanilla PS Wrap Label</t>
  </si>
  <si>
    <t>Accelerate PS Wrap Label 30 Servings</t>
  </si>
  <si>
    <t>Good Night Protein PS Wrap Label</t>
  </si>
  <si>
    <t>Vegan Chocolate Shake 14 Servings</t>
  </si>
  <si>
    <t>Vegan Vanilla Shake 14oz PS Wrap Label</t>
  </si>
  <si>
    <t>Greens - Berry PS Wrap Label</t>
  </si>
  <si>
    <t>Organic Greens Stickpack Foil</t>
  </si>
  <si>
    <t>Nourish Vanilla Sample Pouch Foil</t>
  </si>
  <si>
    <t>Nourish Chocolate Sample Pouch Foil</t>
  </si>
  <si>
    <t>Vitamin D3 60 Ct PS Wrap Label</t>
  </si>
  <si>
    <t>CBD Infused D-ribose 1.28%</t>
  </si>
  <si>
    <t>CBD infused D-Ribose 2.4% (Dehydratech Powder)</t>
  </si>
  <si>
    <t>Turkesterone 120 ct Label</t>
  </si>
  <si>
    <t>Tongkat Ali + Fadogia 120 ct wrap label</t>
  </si>
  <si>
    <t>Dreem 30 Servings PS Wrap Label</t>
  </si>
  <si>
    <t>Moringa 240 Ct PS Wrap Label</t>
  </si>
  <si>
    <t>Ashwagandha 25%</t>
  </si>
  <si>
    <t>INOSITOL</t>
  </si>
  <si>
    <t>Magnesium Citrate Anhydrous</t>
  </si>
  <si>
    <t>Moringa Powder Extract</t>
  </si>
  <si>
    <t>Tart Cherry Extract</t>
  </si>
  <si>
    <t>Berberine (HCL) 93%</t>
  </si>
  <si>
    <t>Beet root Extract Powder</t>
  </si>
  <si>
    <t>XRevive 60 Ct PS Wrap Label</t>
  </si>
  <si>
    <t>Detox Tea - Lemon Flavor PS Wrap Label</t>
  </si>
  <si>
    <t>品名</t>
  </si>
  <si>
    <t>厂家</t>
  </si>
  <si>
    <t>DDP单价（usd）</t>
  </si>
  <si>
    <t>备注</t>
  </si>
  <si>
    <t>5KG/包（美仓）</t>
  </si>
  <si>
    <t>1KG/包（美仓）</t>
  </si>
  <si>
    <t>（不含关税运费）</t>
  </si>
  <si>
    <t>还有缓释型，30%含量（美仓）</t>
  </si>
  <si>
    <t>NRC</t>
  </si>
  <si>
    <t>Nicotinamide Riboside Chloride (NRC）</t>
  </si>
  <si>
    <t>Bontac 深圳邦泰</t>
  </si>
  <si>
    <t>截止11月1日，中国空运</t>
  </si>
  <si>
    <t>NR苹果酸盐（建议）</t>
  </si>
  <si>
    <t>美国子公司需询问</t>
  </si>
  <si>
    <t>Any questions contact info@uniareal.com</t>
  </si>
  <si>
    <t>Address: 740 S Milliken Ave Unit C, Ontario, CA 91761,USA</t>
  </si>
  <si>
    <t>中文品名</t>
  </si>
  <si>
    <t>Product Name</t>
  </si>
  <si>
    <t>Specification</t>
  </si>
  <si>
    <t>Organic Products</t>
  </si>
  <si>
    <t>mag</t>
  </si>
  <si>
    <t>MOQ</t>
  </si>
  <si>
    <t>有机缬草提取物</t>
  </si>
  <si>
    <t>Organic Valerian Extract</t>
  </si>
  <si>
    <t>10:1</t>
  </si>
  <si>
    <t>有机姜黄提取物</t>
  </si>
  <si>
    <t>Organic Turmeric Extract</t>
  </si>
  <si>
    <t>有机香菇提取物</t>
  </si>
  <si>
    <t>Organic Shiitake Extract</t>
  </si>
  <si>
    <t>有机五味子提取物</t>
  </si>
  <si>
    <t>Organic Schisandra Berry Extract</t>
  </si>
  <si>
    <t>有机灵芝提取物</t>
  </si>
  <si>
    <t>Organic Reishi Mushroom Extract</t>
  </si>
  <si>
    <t>有机荨麻提取物</t>
  </si>
  <si>
    <t>Organic Nettle Extract</t>
  </si>
  <si>
    <t>有机水飞蓟提取物</t>
  </si>
  <si>
    <t>Organic Milk Thistle Extract</t>
  </si>
  <si>
    <t>有机玛卡提取物</t>
  </si>
  <si>
    <t>Organic Maca Extract</t>
  </si>
  <si>
    <t>有机生姜提取物</t>
  </si>
  <si>
    <t>Organic Ginger Extract</t>
  </si>
  <si>
    <t>有机生姜提取物0.3%姜辣素</t>
  </si>
  <si>
    <t>0.3% Gingerol</t>
  </si>
  <si>
    <t>有机西兰花提取物</t>
  </si>
  <si>
    <t>Organic Broccoli Powder</t>
  </si>
  <si>
    <t>有机黄芪提取物</t>
  </si>
  <si>
    <t>Organic Astragalus Root Extract</t>
  </si>
  <si>
    <t>有机银杏叶提取物</t>
  </si>
  <si>
    <t>Organic Ginkgo Leaf Extract</t>
  </si>
  <si>
    <t>有机菠菜提取物</t>
  </si>
  <si>
    <t>Organic Spinach Extract</t>
  </si>
  <si>
    <t>5:1</t>
  </si>
  <si>
    <t>有机菠菜粉</t>
  </si>
  <si>
    <t>Powder</t>
  </si>
  <si>
    <t>有机沙棘果粉</t>
  </si>
  <si>
    <t>Organic Sea-buckthorn Powder</t>
  </si>
  <si>
    <t>Fruit Powder</t>
  </si>
  <si>
    <t>有机蓝莓果粉</t>
  </si>
  <si>
    <t>Organic Blueberry Powder</t>
  </si>
  <si>
    <t>有机苹果果粉</t>
  </si>
  <si>
    <t>Organic Apple Powder</t>
  </si>
  <si>
    <t>有机甜菜根汁粉</t>
  </si>
  <si>
    <t>Organic Red Beet Juice Powder</t>
  </si>
  <si>
    <t>Juice Powder</t>
  </si>
  <si>
    <t>有机甜菜根粉</t>
  </si>
  <si>
    <t>Organic Beetroot Powder</t>
  </si>
  <si>
    <t>有机蔓越莓果粉（蔓越橘）</t>
  </si>
  <si>
    <t>有机草莓果粉</t>
  </si>
  <si>
    <t>Orgnic Strawberry Powder</t>
  </si>
  <si>
    <t>有机覆盆子果粉（树莓）</t>
  </si>
  <si>
    <t>Organic Raspberry Powder</t>
  </si>
  <si>
    <t>有机姬松茸粉</t>
  </si>
  <si>
    <t>Organic Agaricus Blazei Powder</t>
  </si>
  <si>
    <t>有机白桦茸粉</t>
  </si>
  <si>
    <t>Organic Chaga Powder</t>
  </si>
  <si>
    <t>有机蛹虫草粉</t>
  </si>
  <si>
    <t>Organic Cordyceps   Powder</t>
  </si>
  <si>
    <t>有机猴头菇粉</t>
  </si>
  <si>
    <t>Organic Lion's Mane Powder</t>
  </si>
  <si>
    <t>有机平菇粉</t>
  </si>
  <si>
    <t>Organic Oyster Mushroom Powder</t>
  </si>
  <si>
    <t>有机灵芝粉</t>
  </si>
  <si>
    <t>Organic Reishi Powder</t>
  </si>
  <si>
    <t>有机鸡腿菇粉</t>
  </si>
  <si>
    <t>Organic Shaggy Mane Powder</t>
  </si>
  <si>
    <t>有机香菇粉</t>
  </si>
  <si>
    <t>Organic Shiitake Powder</t>
  </si>
  <si>
    <t>有机银耳粉</t>
  </si>
  <si>
    <t>Organic White Fungus Powder</t>
  </si>
  <si>
    <t>有机黑木耳粉</t>
  </si>
  <si>
    <t>Organic Black Fungus Powder</t>
  </si>
  <si>
    <t>有机猪苓粉</t>
  </si>
  <si>
    <t>Organic Zhuling Mushroom Powder</t>
  </si>
  <si>
    <t>有机椰子粉</t>
  </si>
  <si>
    <t>有机火龙果粉</t>
  </si>
  <si>
    <t>Organic DragonFruit Powder</t>
  </si>
  <si>
    <t>有机柠檬果粉</t>
  </si>
  <si>
    <t>有机接骨木果粉</t>
  </si>
  <si>
    <t>Organic Elderberry Powder</t>
  </si>
  <si>
    <t>有机东革阿里提取物</t>
  </si>
  <si>
    <t>Organic Tongkat Ali Root Extract</t>
  </si>
  <si>
    <t>有机芒果果粉</t>
  </si>
  <si>
    <t>Organic Mango Powder</t>
  </si>
  <si>
    <t>有机猕猴桃果粉</t>
  </si>
  <si>
    <t>Organic Kiwifruit Powder</t>
  </si>
  <si>
    <t>有机牛蒡根提取物</t>
  </si>
  <si>
    <t>Organic Burdock Extract</t>
  </si>
  <si>
    <t>有机肉桂提取物</t>
  </si>
  <si>
    <t>Organic Cinnamon Extract</t>
  </si>
  <si>
    <t>有机蒲公英提取物</t>
  </si>
  <si>
    <t>Organic Dandelion Extract</t>
  </si>
  <si>
    <t>有机枣粉</t>
  </si>
  <si>
    <t>Organic Chinese Date Powder</t>
  </si>
  <si>
    <t>有机小球藻粉</t>
  </si>
  <si>
    <t>Organic Chlorella Powder</t>
  </si>
  <si>
    <t>有机百香果粉（西番莲）</t>
  </si>
  <si>
    <t>Organic Passion  Flower Powder</t>
  </si>
  <si>
    <t>有机香蕉果粉</t>
  </si>
  <si>
    <t>Organic Banana Powder</t>
  </si>
  <si>
    <t>有机酸樱桃果粉</t>
  </si>
  <si>
    <t>Organic Tart Cherry Powder</t>
  </si>
  <si>
    <t>有机石榴果粉</t>
  </si>
  <si>
    <t>Organic Pomegranate Powder</t>
  </si>
  <si>
    <t>有机木瓜粉</t>
  </si>
  <si>
    <t>Organic Papaya Powder</t>
  </si>
  <si>
    <t>有机抹茶粉</t>
  </si>
  <si>
    <t>有机螺旋藻粉</t>
  </si>
  <si>
    <t>Organic Spirulina Powder</t>
  </si>
  <si>
    <t>有机羽衣甘蓝粉</t>
  </si>
  <si>
    <t>Powder 100%</t>
  </si>
  <si>
    <t>有机辣木叶提取物</t>
  </si>
  <si>
    <t>Organic Moringa Leaf Extract</t>
  </si>
  <si>
    <t>有机辣木叶粉</t>
  </si>
  <si>
    <t>Organic Moringa Leaf Powder</t>
  </si>
  <si>
    <t>有机黑加仑果粉</t>
  </si>
  <si>
    <t>Organic Black  Currant Powder</t>
  </si>
  <si>
    <t>有机刺五加提取物</t>
  </si>
  <si>
    <t>Organic Siberian Ginseng Extract</t>
  </si>
  <si>
    <t>有机菠萝果粉</t>
  </si>
  <si>
    <t>Organic Pineapple Powder</t>
  </si>
  <si>
    <t>有机针叶樱桃果粉</t>
  </si>
  <si>
    <t>Organic Acerola Cherry Powder</t>
  </si>
  <si>
    <t>有机小麦苗粉</t>
  </si>
  <si>
    <t>Organic Wheat Grass Powder</t>
  </si>
  <si>
    <t>有机绞股蓝提取物</t>
  </si>
  <si>
    <t>Organic Five Leaf Gynostemma Extract</t>
  </si>
  <si>
    <t>有机马尾草提取物</t>
  </si>
  <si>
    <t>Organic Horsetail Extract</t>
  </si>
  <si>
    <t>有机山楂粉</t>
  </si>
  <si>
    <t>Organic Hawthorn Powder</t>
  </si>
  <si>
    <t>有机何首乌提取物</t>
  </si>
  <si>
    <t>Organic Polygonum Root Extract</t>
  </si>
  <si>
    <t>12:1</t>
  </si>
  <si>
    <t>有机玫瑰果提取物</t>
  </si>
  <si>
    <t>Organic Rosehips Extract</t>
  </si>
  <si>
    <t>4:1</t>
  </si>
  <si>
    <t>有机葡萄果粉</t>
  </si>
  <si>
    <t>Organic Grape Powder</t>
  </si>
  <si>
    <t>有机山药粉</t>
  </si>
  <si>
    <t>Organic Yam Powder</t>
  </si>
  <si>
    <t>有机地瓜粉</t>
  </si>
  <si>
    <t>Organic Sweet Potato Powder</t>
  </si>
  <si>
    <t>有机黑莓果粉</t>
  </si>
  <si>
    <t>Organic Blackberry Powder</t>
  </si>
  <si>
    <t>Fruit powder</t>
  </si>
  <si>
    <t>Standarized Extract Products</t>
  </si>
  <si>
    <t>黄栌提取物50%漆黄素</t>
  </si>
  <si>
    <t>Cotinus Coggygria Extract</t>
  </si>
  <si>
    <t>50% Fisetin</t>
  </si>
  <si>
    <t>黄栌提取物5%漆黄素</t>
  </si>
  <si>
    <t>5% Fisetin</t>
  </si>
  <si>
    <t>黄栌提取物10%漆黄素</t>
  </si>
  <si>
    <t>10% Fisetin</t>
  </si>
  <si>
    <t>黄栌提取物20%漆黄素</t>
  </si>
  <si>
    <t>20% Fisetin</t>
  </si>
  <si>
    <t>黄栌提取物85%漆黄素</t>
  </si>
  <si>
    <t>98% Fisetin（面积归一法）</t>
  </si>
  <si>
    <t>黄栌提取物98%漆黄素</t>
  </si>
  <si>
    <t>98% Fisetin（外标法）</t>
  </si>
  <si>
    <t>生姜提取物2.5%姜辣素</t>
  </si>
  <si>
    <t>Ginger Extract</t>
  </si>
  <si>
    <t>2.5% Gingerol</t>
  </si>
  <si>
    <t>山竹提取物10%倒捻子素</t>
  </si>
  <si>
    <t>Mangosteen Extract</t>
  </si>
  <si>
    <t>10% Alpha mangostin</t>
  </si>
  <si>
    <t>山竹提取物10%山竹多酚</t>
  </si>
  <si>
    <t>10% Mangosteen polyphenol</t>
  </si>
  <si>
    <t>桑叶提取物1%DNJ</t>
  </si>
  <si>
    <t>Mulberry Leaf Extract</t>
  </si>
  <si>
    <t>1% DNJ</t>
  </si>
  <si>
    <t>橄榄叶提取物20%橄榄苦甙</t>
  </si>
  <si>
    <t>20% Oleuropein</t>
  </si>
  <si>
    <t>橄榄叶提取物40%橄榄苦甙</t>
  </si>
  <si>
    <t>40% Oleuropein</t>
  </si>
  <si>
    <t>迷迭香提取物25%熊果酸</t>
  </si>
  <si>
    <t>Rosemary Extract</t>
  </si>
  <si>
    <t>25% Ursolic acid</t>
  </si>
  <si>
    <t>迷迭香提取物5%迷迭香酸</t>
  </si>
  <si>
    <t>5% Rosmarinic acid</t>
  </si>
  <si>
    <t>蜂胶提取物9%黄酮</t>
  </si>
  <si>
    <t>Propolis Extract</t>
  </si>
  <si>
    <t>Flavone 9%</t>
  </si>
  <si>
    <t>绿茶提取物70%儿茶素</t>
  </si>
  <si>
    <t>Green Tea Extract</t>
  </si>
  <si>
    <t>Catechin 70%</t>
  </si>
  <si>
    <t>蜜蜂花提取物2.5%迷迭香酸</t>
  </si>
  <si>
    <t>Lemon Balm Extract</t>
  </si>
  <si>
    <t>Rosmarinic acid 2.5%</t>
  </si>
  <si>
    <t>蜜蜂花提取物7%迷迭香酸</t>
  </si>
  <si>
    <t>Rosmarinic acid  7%</t>
  </si>
  <si>
    <t>万寿菊提取物20%叶黄素</t>
  </si>
  <si>
    <t>Marigold Extract</t>
  </si>
  <si>
    <t>Lutein HPLC 20%</t>
  </si>
  <si>
    <t>肌醇99%</t>
  </si>
  <si>
    <t>99%, 40 mesh</t>
  </si>
  <si>
    <t>水飞蓟素（乙醇）</t>
  </si>
  <si>
    <t>Silymarin (Ethanol)</t>
  </si>
  <si>
    <t>50%（HPLC）</t>
  </si>
  <si>
    <t>磷脂酰丝氨酸 70%</t>
  </si>
  <si>
    <t>Phosphatidylserine (PS)</t>
  </si>
  <si>
    <t>黄连提取物6%盐酸小檗碱</t>
  </si>
  <si>
    <t>Coptis Chinensis Extract</t>
  </si>
  <si>
    <t>Berberine HCL 6.0%</t>
  </si>
  <si>
    <t>虎杖提取物50%白藜芦醇</t>
  </si>
  <si>
    <t>Polygonum cuspidatum Extract</t>
  </si>
  <si>
    <t>虎杖提取物98%白藜芦醇</t>
  </si>
  <si>
    <t>Polygonum Cuspidatum Extract</t>
  </si>
  <si>
    <t>Resveratrol 98%</t>
  </si>
  <si>
    <t>Ratio Extract Products</t>
  </si>
  <si>
    <t>猴头菇提取物</t>
  </si>
  <si>
    <t>Lion's Mane Extract</t>
  </si>
  <si>
    <t>8:1</t>
  </si>
  <si>
    <t>生姜提取物</t>
  </si>
  <si>
    <t>蛹虫草提取物</t>
  </si>
  <si>
    <t>Cordyceps Militaris PE</t>
  </si>
  <si>
    <t>灵芝提取物</t>
  </si>
  <si>
    <t>Reishi Mushroom Extract</t>
  </si>
  <si>
    <t>东革阿里提取物</t>
  </si>
  <si>
    <t>Eurycoma Longifolia Extract</t>
  </si>
  <si>
    <t>四叶草提取物</t>
  </si>
  <si>
    <t>Four Leaf Clover Extract</t>
  </si>
  <si>
    <t>诺丽提取物</t>
  </si>
  <si>
    <t>Noni Extract</t>
  </si>
  <si>
    <t>石榴提取物</t>
  </si>
  <si>
    <t>Pomegranate Extract</t>
  </si>
  <si>
    <t>普洱提取物</t>
  </si>
  <si>
    <t>Puer Extract</t>
  </si>
  <si>
    <t>沙棘提取物</t>
  </si>
  <si>
    <t>Sea-buckthorn Extract</t>
  </si>
  <si>
    <t>蜜蜂花提取物</t>
  </si>
  <si>
    <t>罗汉果提取物</t>
  </si>
  <si>
    <t>MONK FRUIT EXTRACT</t>
  </si>
  <si>
    <t>牡蛎提取物</t>
  </si>
  <si>
    <t>Oyster Extract</t>
  </si>
  <si>
    <t>白芸豆提取物</t>
  </si>
  <si>
    <t>White Kidney Bean Extract</t>
  </si>
  <si>
    <t>熊果叶提取物</t>
  </si>
  <si>
    <t>Bearberry Leaf Extract</t>
  </si>
  <si>
    <t>洛神花提取物</t>
  </si>
  <si>
    <t>Roselle Extract</t>
  </si>
  <si>
    <t>亚麻籽提取物</t>
  </si>
  <si>
    <t>Flaxseed Extract</t>
  </si>
  <si>
    <t>榆树皮提取物</t>
  </si>
  <si>
    <t>Elm Bark Extract</t>
  </si>
  <si>
    <t>百香果提取物（西番莲）</t>
  </si>
  <si>
    <t>Passion Fruit Extract</t>
  </si>
  <si>
    <t>虎杖提取物</t>
  </si>
  <si>
    <t>银杏叶提取物</t>
  </si>
  <si>
    <t>Ginkgo Biloba Extract</t>
  </si>
  <si>
    <t>珍珠草提取物</t>
  </si>
  <si>
    <t>Chanca Piedra Extract</t>
  </si>
  <si>
    <t>远志提取物</t>
  </si>
  <si>
    <t>Polygala Root Extract</t>
  </si>
  <si>
    <t>缬草提取物</t>
  </si>
  <si>
    <t>Valerian Extract</t>
  </si>
  <si>
    <t>白桦茸提取物</t>
  </si>
  <si>
    <t>Chaga Mushroom Extract</t>
  </si>
  <si>
    <t>灰树花提取物</t>
  </si>
  <si>
    <t xml:space="preserve">Maitake Mushroom Extract </t>
  </si>
  <si>
    <t>水飞蓟提取物</t>
  </si>
  <si>
    <t>Milk Thistle Extract</t>
  </si>
  <si>
    <t>淫羊藿提取物</t>
  </si>
  <si>
    <t>Epimedium Extract</t>
  </si>
  <si>
    <t>圣罗勒提取物</t>
  </si>
  <si>
    <t>Holy Basil Extract</t>
  </si>
  <si>
    <t>紫锥菊提取物</t>
  </si>
  <si>
    <t>Echinacea Extract</t>
  </si>
  <si>
    <t>松树皮提取物</t>
  </si>
  <si>
    <t>Pine Bark Extract</t>
  </si>
  <si>
    <t>薰衣草提取物</t>
  </si>
  <si>
    <t>Lavender Extract</t>
  </si>
  <si>
    <t>红车轴提取物</t>
  </si>
  <si>
    <t>Gotu Kola extract</t>
  </si>
  <si>
    <t>柠檬草提取物</t>
  </si>
  <si>
    <t>Lemongrass Extract</t>
  </si>
  <si>
    <t>黑莓果粉</t>
  </si>
  <si>
    <t>Blackberry Powder</t>
  </si>
  <si>
    <t>番石榴果粉</t>
  </si>
  <si>
    <t>Guava Powder</t>
  </si>
  <si>
    <t>马黛茶提取物</t>
  </si>
  <si>
    <t>Yerba Mate Extract</t>
  </si>
  <si>
    <t>Powder Products</t>
  </si>
  <si>
    <t>百香果果粉（西番莲）</t>
  </si>
  <si>
    <t>Passion Fruit Powder</t>
  </si>
  <si>
    <t>巴西莓果粉</t>
  </si>
  <si>
    <t>Acai Berry Powder</t>
  </si>
  <si>
    <t>哈密瓜果粉</t>
  </si>
  <si>
    <t>Hami Melon Powder</t>
  </si>
  <si>
    <t>葡萄柚果粉</t>
  </si>
  <si>
    <t>Grapefruit Powder</t>
  </si>
  <si>
    <t>葡萄果粉</t>
  </si>
  <si>
    <t>GrapeFruit Powder</t>
  </si>
  <si>
    <t>酸樱桃果粉</t>
  </si>
  <si>
    <t>Tart Cherry Powder</t>
  </si>
  <si>
    <t>罗汉果果粉</t>
  </si>
  <si>
    <t>MonkFruit Powder</t>
  </si>
  <si>
    <t>诺丽果果粉</t>
  </si>
  <si>
    <t>Noni Powder</t>
  </si>
  <si>
    <t>石榴果粉</t>
  </si>
  <si>
    <t>Pomegranate Powder</t>
  </si>
  <si>
    <t>沙棘果粉</t>
  </si>
  <si>
    <t>Sea-buckthorn Powder</t>
  </si>
  <si>
    <t>牛蒡根生粉</t>
  </si>
  <si>
    <t>Burdock Root Powder</t>
  </si>
  <si>
    <t>西兰花粉</t>
  </si>
  <si>
    <t>辣木叶粉</t>
  </si>
  <si>
    <t>Moringa Leaf Powder</t>
  </si>
  <si>
    <t>大麦苗粉</t>
  </si>
  <si>
    <t>Barley Grass Powder</t>
  </si>
  <si>
    <t>肉桂粉</t>
  </si>
  <si>
    <t>Cinnamon Powder</t>
  </si>
  <si>
    <t>锯棕榈粉</t>
  </si>
  <si>
    <t>Saw Palmetto Powder</t>
  </si>
  <si>
    <t>爱尔兰苔藓生粉</t>
  </si>
  <si>
    <t>Irish Moss Powder</t>
  </si>
  <si>
    <t>大黄粉</t>
  </si>
  <si>
    <t>Rhubarb Powder</t>
  </si>
  <si>
    <t>蒲公英粉</t>
  </si>
  <si>
    <t>Dandelion Root Powder</t>
  </si>
  <si>
    <t>欧芹粉</t>
  </si>
  <si>
    <t>Parsley Powder</t>
  </si>
  <si>
    <t>羽衣甘蓝粉</t>
  </si>
  <si>
    <t>Kale Powder</t>
  </si>
  <si>
    <t xml:space="preserve">Powder </t>
  </si>
  <si>
    <t>黄连粉</t>
  </si>
  <si>
    <t>Coptis Root Powder</t>
  </si>
  <si>
    <t>啤酒花粉</t>
  </si>
  <si>
    <t>Hops Flower Powder</t>
  </si>
  <si>
    <t>姬松茸粉</t>
  </si>
  <si>
    <t>Agaricus Blazei Powder</t>
  </si>
  <si>
    <t>白桦茸粉</t>
  </si>
  <si>
    <t>Chaga Powder</t>
  </si>
  <si>
    <t>蛹虫草粉</t>
  </si>
  <si>
    <t>Cordyceps   Powder</t>
  </si>
  <si>
    <t>猴头菇粉</t>
  </si>
  <si>
    <t>Lion's Mane Powder</t>
  </si>
  <si>
    <t>平菇粉</t>
  </si>
  <si>
    <t>Oyster Mushroom Powder</t>
  </si>
  <si>
    <t>灵芝粉</t>
  </si>
  <si>
    <t>Reishi Powder</t>
  </si>
  <si>
    <t>鸡腿菇粉</t>
  </si>
  <si>
    <t>Shaggy Mane Powder</t>
  </si>
  <si>
    <t>香菇粉</t>
  </si>
  <si>
    <t>Shiitake Powder</t>
  </si>
  <si>
    <t>银耳粉</t>
  </si>
  <si>
    <t>White Fungus Powder</t>
  </si>
  <si>
    <t>黑木耳粉</t>
  </si>
  <si>
    <t>Black Fungus Powder</t>
  </si>
  <si>
    <t>猪苓粉</t>
  </si>
  <si>
    <t>Zhuling Mushroom Powder</t>
  </si>
  <si>
    <t>云芝粉</t>
  </si>
  <si>
    <t>Coriolus versicolor Powder</t>
  </si>
  <si>
    <t>Liposome Products</t>
  </si>
  <si>
    <t>Liposomal NAD+</t>
  </si>
  <si>
    <t>Liposomal Vitamin C</t>
  </si>
  <si>
    <t>Liposomal Glutathione</t>
  </si>
  <si>
    <t>Glutathione Liposome</t>
  </si>
  <si>
    <t>脂质体VE</t>
  </si>
  <si>
    <t>Liposomal Vitamin E</t>
  </si>
  <si>
    <t>Liposomal Phosphatidylserine </t>
  </si>
  <si>
    <t>Liposomal Berberine</t>
  </si>
  <si>
    <t>脂质体VD3</t>
  </si>
  <si>
    <t>Liposomal Vitamin D3</t>
  </si>
  <si>
    <t>Water Soluble Products</t>
  </si>
  <si>
    <t>水溶性水飞蓟素（乙醇）</t>
  </si>
  <si>
    <t>Water Soluble Silymarin (Ethanol)</t>
  </si>
  <si>
    <t>5%（HPLC）</t>
  </si>
  <si>
    <t>10%（HPLC）</t>
  </si>
  <si>
    <t>20%（HPLC）</t>
  </si>
  <si>
    <t>30%（HPLC）</t>
  </si>
  <si>
    <t>40%（HPLC）</t>
  </si>
  <si>
    <t>KINGDOMWAY NUTRITION INVENTORY 6/3/2025</t>
  </si>
  <si>
    <t>Item No</t>
  </si>
  <si>
    <t>Description</t>
  </si>
  <si>
    <t>q10</t>
  </si>
  <si>
    <t>ARA OIL 40%</t>
  </si>
  <si>
    <t>CALCIUM L-METHYLFOLATE (L-5-MTHF-Ca)</t>
  </si>
  <si>
    <t>COENZYME Q10  100% through 100 mesh, USP Pure 25kg/pc</t>
  </si>
  <si>
    <t>COENZYME Q10  6% CWD Powder</t>
  </si>
  <si>
    <t>COENZYME Q10 10% CWS</t>
  </si>
  <si>
    <t>COENZYME Q10 20% CWS</t>
  </si>
  <si>
    <t>COENZYME Q10 40% CWS</t>
  </si>
  <si>
    <t>COENZYME Q10 6% POWDER</t>
  </si>
  <si>
    <t>COENZYME Q10 EP 8.0</t>
  </si>
  <si>
    <t>COENZYME Q10 EP 8.8</t>
  </si>
  <si>
    <t>COENZYME Q10 USP PURE</t>
  </si>
  <si>
    <t>COENZYME Q10 USP PURE - 5KG/PACK</t>
  </si>
  <si>
    <t>COENZYME Q10 USP PURE 1 kg/tin</t>
  </si>
  <si>
    <t>COENZYME Q10 USP PURE 60~100mesh (&gt;90%)</t>
  </si>
  <si>
    <t>COENZYME Q10 USP PURE 60~100mesh (&gt;90%)--Swanson</t>
  </si>
  <si>
    <t>DHA  OIL 40%</t>
  </si>
  <si>
    <t>DHA 10% ALGAE POWDER</t>
  </si>
  <si>
    <t>DHA OIL 48% ALGAL OIL, MICROALGAE</t>
  </si>
  <si>
    <t>FEED GRADE VITAMIN A ACETATE PWD 1,000,000IU/G</t>
  </si>
  <si>
    <t>L-CARNOSINE</t>
  </si>
  <si>
    <t>MYO-INOSITOL POWDER</t>
  </si>
  <si>
    <t>NATTOKINASE 20000FU/g</t>
  </si>
  <si>
    <t>NATTOKINASE 40000FU/g</t>
  </si>
  <si>
    <t>PQQ (100% THROUGH 100 MESH)</t>
  </si>
  <si>
    <t>Pyrroloquinoline(PQQ, 100% through 100 Mesh)</t>
  </si>
  <si>
    <t>VITAMIN  A  RETINYL ACETATE POWDER USP 500,000 IU/g</t>
  </si>
  <si>
    <t>VITAMIN A  ACETATE 325,000 IU/G CWD FOOD GRADE</t>
  </si>
  <si>
    <t>VITAMIN A  ACETATE 500,000 IU/G CWD FOOD GRADE</t>
  </si>
  <si>
    <t>VITAMIN A PALMITATE 250,000 IU/G CWD FOOD GRADE</t>
  </si>
  <si>
    <t>VITAMIN A PALMITATE 500,000 IU/G CWD FOOD GRADE</t>
  </si>
  <si>
    <t>VITAMIN A PALMITATE Oil 1.7M IU/g FOOD GRADE</t>
  </si>
  <si>
    <t>VITAMIN AD3 1000/200 FEED GRADE 25KG BAG</t>
  </si>
  <si>
    <t>VITAMIN D3 100,000 IU/G CWD FOOD GRADE</t>
  </si>
  <si>
    <t>VITAMIN D3 500,000IU/G FEED GRADE 20KG/BAG</t>
  </si>
  <si>
    <t>VITAMIN D3 850000 IU/g</t>
  </si>
  <si>
    <t>VITAMIN D3, 1.0M IU/G IN OLIVE OIL FOOD GRADE</t>
  </si>
  <si>
    <t>VITAMIN K2 (MK-7) 1000 PPM (PURITY 0.1%) POWDER</t>
  </si>
  <si>
    <t>VITAMIN K2 (MK-7) 10000 PPM (1.0%) POWDER in MCC</t>
  </si>
  <si>
    <t>VITAMIN K2 (MK-7) 2.0% POWDER IN MCC</t>
  </si>
  <si>
    <t>VITAMIN K2 MK-7 1.0% POWDER DCP (NATURAL) 1KG/BAG</t>
  </si>
  <si>
    <t>VITAMIN K2 OIL 10000 PPM (in MCT OIL)</t>
  </si>
  <si>
    <t>VITAMIN K2 OIL 10000PPM (in OLIVE OIL)</t>
  </si>
  <si>
    <t>VITAMIN K2 POWDER 2000PPM (0.2%)</t>
  </si>
  <si>
    <t>VITAMIN K2 POWDER IN MCC 1.3% (REFRENCE S2308002)</t>
  </si>
  <si>
    <t>Vitamin D3 (Cholecalciferol, in MCT Oil) 1 MM IU/G (Lanolin)</t>
  </si>
  <si>
    <t>Vitamin D3 500,000 IU/g, CWD FOOD GRADE</t>
  </si>
  <si>
    <t>Vitamin D3 MCT Oil 1MM IU/g 5kg/tin</t>
  </si>
  <si>
    <t>Vitamin K2 MK-7 1.3% Oil with MCT Oil(Natural)</t>
  </si>
  <si>
    <t>Vitamin K2 MK-7 1.3% Powder IN DCP (Natural) 1 kg</t>
  </si>
  <si>
    <t>Vitamin K2 Oil 1500 PPM (in Sunflower Oil)</t>
  </si>
  <si>
    <t>Zinc Carnosine Powder</t>
  </si>
  <si>
    <t>Rebaudioside</t>
  </si>
  <si>
    <t>Price /kg</t>
  </si>
  <si>
    <t>Glucosamine HCL </t>
  </si>
  <si>
    <t> Glucosamine 2KCL </t>
  </si>
  <si>
    <t> N-Acetyl-D-Glucosamine</t>
  </si>
  <si>
    <t>Price/kg</t>
  </si>
  <si>
    <t>Ascorbic Acid 100-mesh</t>
  </si>
  <si>
    <t>100-500kg</t>
  </si>
  <si>
    <t>500-1000kg</t>
  </si>
  <si>
    <t>1000-5000</t>
  </si>
  <si>
    <t>EXW</t>
  </si>
  <si>
    <t>MI</t>
  </si>
  <si>
    <t xml:space="preserve">Ascorbic Acid DC 97% </t>
  </si>
  <si>
    <t>500kg+</t>
  </si>
  <si>
    <t>25-75kg</t>
  </si>
  <si>
    <t>100kg+</t>
  </si>
  <si>
    <t>B1 Thiamine HCL </t>
  </si>
  <si>
    <t>Holland</t>
  </si>
  <si>
    <t>B1 Thiamine Mono</t>
  </si>
  <si>
    <t>B2 Riboflavin </t>
  </si>
  <si>
    <t>B3 Niacin       </t>
  </si>
  <si>
    <t>B5 Cal-Pan     </t>
  </si>
  <si>
    <t xml:space="preserve">B6 Pyridoxine HCL Powder   </t>
  </si>
  <si>
    <t>B7 D-Biotin 1%</t>
  </si>
  <si>
    <t>B7 D-Biotin Pure</t>
  </si>
  <si>
    <t>10-25kg</t>
  </si>
  <si>
    <t>B8 (Inositol)   </t>
  </si>
  <si>
    <t xml:space="preserve">B9 Folic Acid USP </t>
  </si>
  <si>
    <t>20-80kg</t>
  </si>
  <si>
    <t xml:space="preserve">Calcium Ascorbate Powder </t>
  </si>
  <si>
    <t>,500kg+</t>
  </si>
  <si>
    <t>Sodium Ascorbate Powder</t>
  </si>
  <si>
    <t>花色苷类 Anthocyanins</t>
  </si>
  <si>
    <t>蓝莓花色苷40%</t>
  </si>
  <si>
    <t>Blueberry Anthocyanins 40%</t>
  </si>
  <si>
    <t>4400/kg</t>
  </si>
  <si>
    <t>花青素类</t>
  </si>
  <si>
    <t>蓝莓花青素5%</t>
  </si>
  <si>
    <t>Blueberry Anthocyanins 5%</t>
  </si>
  <si>
    <t>600/kg</t>
  </si>
  <si>
    <t>红豆越橘花青素5%</t>
  </si>
  <si>
    <t>Lingonberry Anthocyanins 5%</t>
  </si>
  <si>
    <t>桑葚花青素5%</t>
  </si>
  <si>
    <t>Mulberry Anthocyanins 5%</t>
  </si>
  <si>
    <t>550/kg</t>
  </si>
  <si>
    <t>黑果花楸花青素5%</t>
  </si>
  <si>
    <t>Aronia (Chokeberry) Anthocyanins 5%</t>
  </si>
  <si>
    <t>575/kg</t>
  </si>
  <si>
    <t>蓝靛果花青素5%</t>
  </si>
  <si>
    <t>Honeyberry (Haskap) Anthocyanins 5%</t>
  </si>
  <si>
    <t>黑加仑花青素5%</t>
  </si>
  <si>
    <t>Black Currant Anthocyanins 5%</t>
  </si>
  <si>
    <t>黑接骨木花青素5%</t>
  </si>
  <si>
    <t>Elderberry Anthocyanins 5%</t>
  </si>
  <si>
    <t>黑米花青素5%</t>
  </si>
  <si>
    <t>Black Rice Anthocyanins 5%</t>
  </si>
  <si>
    <t>375/kg</t>
  </si>
  <si>
    <t>巴西莓花青素5%</t>
  </si>
  <si>
    <t>Açaí Berry Anthocyanins 5%</t>
  </si>
  <si>
    <t>欧洲越橘花青素5%</t>
  </si>
  <si>
    <t>Bilberry Anthocyanins 5%</t>
  </si>
  <si>
    <t>750/kg</t>
  </si>
  <si>
    <t>原浆浓缩类 Juice Concentrate Category       原浆 Puree</t>
  </si>
  <si>
    <t>野生蓝莓原浆/浓缩</t>
  </si>
  <si>
    <t>Wild Blueberry Puree / Concentrate</t>
  </si>
  <si>
    <t>59/kg</t>
  </si>
  <si>
    <t>185/kg</t>
  </si>
  <si>
    <t>野生红豆越橘原浆/浓缩</t>
  </si>
  <si>
    <t>Wild Lingonberry Puree / Concentrate</t>
  </si>
  <si>
    <t>黑接骨木莓原浆/浓缩</t>
  </si>
  <si>
    <t>Elderberry Puree / Concentrate</t>
  </si>
  <si>
    <t>62/kg</t>
  </si>
  <si>
    <t>黑枸杞原浆/浓缩</t>
  </si>
  <si>
    <t>Black Goji Berry Puree / Concentrate</t>
  </si>
  <si>
    <t>黑覆盆子原浆/浓缩</t>
  </si>
  <si>
    <t>Black Raspberry Puree / Concentrate</t>
  </si>
  <si>
    <t>295/kg</t>
  </si>
  <si>
    <t>黑树莓原浆/浓缩</t>
  </si>
  <si>
    <t>Black Raspberry (Rubus occidentalis) Puree / Concentrate</t>
  </si>
  <si>
    <t>49/kg</t>
  </si>
  <si>
    <t>针叶樱桃原浆/浓缩</t>
  </si>
  <si>
    <t>Acerola Cherry Puree / Concentrate</t>
  </si>
  <si>
    <t>不老莓原浆/浓缩</t>
  </si>
  <si>
    <t>Maqui Berry Puree / Concentrate</t>
  </si>
  <si>
    <t>巴西莓原浆/浓缩</t>
  </si>
  <si>
    <t>Açaí Berry Puree / Concentrate</t>
  </si>
  <si>
    <t>150/kg</t>
  </si>
  <si>
    <t>红树莓原浆/浓缩</t>
  </si>
  <si>
    <t>Red Raspberry Puree / Concentrate</t>
  </si>
  <si>
    <t>野樱莓原浆/浓缩</t>
  </si>
  <si>
    <t>Wild Aronia Berry Puree / Concentrate</t>
  </si>
  <si>
    <t>黑果花楸原浆/浓缩</t>
  </si>
  <si>
    <t>Chokeberry (Aronia melanocarpa) Puree / Concentrate</t>
  </si>
  <si>
    <t>黑加仑原浆/浓缩</t>
  </si>
  <si>
    <t>Black Currant Puree / Concentrate</t>
  </si>
  <si>
    <t>西莓原浆/浓缩</t>
  </si>
  <si>
    <t>Blueberry (Vaccinium spp.) Puree / Concentrate</t>
  </si>
  <si>
    <t>135/kg</t>
  </si>
  <si>
    <t>黑莓原浆/浓缩</t>
  </si>
  <si>
    <t>Blackberry Puree / Concentrate</t>
  </si>
  <si>
    <t>蓝靛果原浆/浓缩</t>
  </si>
  <si>
    <t>Honeyberry (Haskap) Puree / Concentrate</t>
  </si>
  <si>
    <t>蔓越莓原浆/浓缩</t>
  </si>
  <si>
    <t>Cranberry Puree / Concentrate</t>
  </si>
  <si>
    <t>桑葚原浆/浓缩</t>
  </si>
  <si>
    <t>Mulberry Puree / Concentrate</t>
  </si>
  <si>
    <t>45/kg</t>
  </si>
  <si>
    <t>黑胡萝卜原浆/浓缩</t>
  </si>
  <si>
    <t>Black Carrot Puree / Concentrate</t>
  </si>
  <si>
    <t>125/kg</t>
  </si>
  <si>
    <t>紫胡萝卜原浆/浓缩</t>
  </si>
  <si>
    <t>Purple Carrot Puree / Concentrate</t>
  </si>
  <si>
    <t>草莓原浆/浓缩</t>
  </si>
  <si>
    <t>Strawberry Puree / Concentrate</t>
  </si>
  <si>
    <t>红石榴原浆/浓缩</t>
  </si>
  <si>
    <t>Pomegranate Puree / Concentrate</t>
  </si>
  <si>
    <t>苹果原浆/浓缩</t>
  </si>
  <si>
    <t>Apple Puree / Concentrate</t>
  </si>
  <si>
    <t>35/kg</t>
  </si>
  <si>
    <t>95/kg</t>
  </si>
  <si>
    <t>橙子原浆/浓缩</t>
  </si>
  <si>
    <t>Orange Puree / Concentrate</t>
  </si>
  <si>
    <t>香蕉原浆/浓缩</t>
  </si>
  <si>
    <t>Banana Puree / Concentrate</t>
  </si>
  <si>
    <t>菠萝原浆/浓缩</t>
  </si>
  <si>
    <t>Pineapple Puree / Concentrate</t>
  </si>
  <si>
    <t>甜菜原浆/浓缩</t>
  </si>
  <si>
    <t>Beetroot Puree / Concentrate</t>
  </si>
  <si>
    <t>梨原浆/浓缩</t>
  </si>
  <si>
    <t>Pear Puree / Concentrate</t>
  </si>
  <si>
    <t>果蔬粉类 Fruit and Vegetable Powder Category</t>
  </si>
  <si>
    <t>蓝莓果粉</t>
  </si>
  <si>
    <t>130/kg</t>
  </si>
  <si>
    <t>红豆果粉</t>
  </si>
  <si>
    <t>Red Bean Fruit Powder</t>
  </si>
  <si>
    <t>接骨木果粉</t>
  </si>
  <si>
    <t>Elderberry Fruit Powder</t>
  </si>
  <si>
    <t>黑果花楸果粉</t>
  </si>
  <si>
    <t>Aronia (Chokeberry) Fruit Powder</t>
  </si>
  <si>
    <t>樱桃果粉</t>
  </si>
  <si>
    <t>Cherry Fruit Powder</t>
  </si>
  <si>
    <t>黑加仑果粉</t>
  </si>
  <si>
    <t>Black Currant Fruit Powder</t>
  </si>
  <si>
    <t>红树莓果粉</t>
  </si>
  <si>
    <t>Red Raspberry Fruit Powder</t>
  </si>
  <si>
    <t>桑葚果粉</t>
  </si>
  <si>
    <t>Mulberry Fruit Powder</t>
  </si>
  <si>
    <t>Açaí Berry Fruit Powder</t>
  </si>
  <si>
    <t>苹果果粉</t>
  </si>
  <si>
    <t>Apple Fruit Powder</t>
  </si>
  <si>
    <t>99/kg</t>
  </si>
  <si>
    <t>芒果果粉</t>
  </si>
  <si>
    <t>Mango Fruit Powder</t>
  </si>
  <si>
    <t>橙子果粉</t>
  </si>
  <si>
    <t>Orange Fruit Powder</t>
  </si>
  <si>
    <t>菠萝果粉</t>
  </si>
  <si>
    <t>Pineapple Fruit Powder</t>
  </si>
  <si>
    <t>香蕉果粉</t>
  </si>
  <si>
    <t>Banana Fruit Powder</t>
  </si>
  <si>
    <t>大麦草果粉</t>
  </si>
  <si>
    <t>小麦草果粉</t>
  </si>
  <si>
    <t>Wheatgrass Powder</t>
  </si>
  <si>
    <t>羽衣甘蓝果粉</t>
  </si>
  <si>
    <t>小球藻果粉</t>
  </si>
  <si>
    <t>Chlorella Powder</t>
  </si>
  <si>
    <t>牛油果果粉</t>
  </si>
  <si>
    <t>Avocado Powder</t>
  </si>
  <si>
    <t>波菜果粉</t>
  </si>
  <si>
    <t>Spinach Powder</t>
  </si>
  <si>
    <t>菌菇多糖及中药比例类 Mushroom Polysaccharides and Herbal Extracts Category</t>
  </si>
  <si>
    <t>黄芪10%</t>
  </si>
  <si>
    <t>Astragalus Extract 10%</t>
  </si>
  <si>
    <t>120/kg</t>
  </si>
  <si>
    <t>香菇10%</t>
  </si>
  <si>
    <t>Shiitake Mushroom Extract 10%</t>
  </si>
  <si>
    <t>黑木耳10%</t>
  </si>
  <si>
    <t>Black Fungus (Auricularia auricula) Extract 10%</t>
  </si>
  <si>
    <t>双孢菇10%</t>
  </si>
  <si>
    <t>Button Mushroom Extract 10%</t>
  </si>
  <si>
    <t>枸杞10%</t>
  </si>
  <si>
    <t>Goji Berry (Lycium barbarum) Extract 10%</t>
  </si>
  <si>
    <t>白桦茸10%</t>
  </si>
  <si>
    <t>Chaga Mushroom (Inonotus obliquus) Extract 10%</t>
  </si>
  <si>
    <t>猴头菇10%</t>
  </si>
  <si>
    <t>Lion’s Mane Mushroom (Hericium erinaceus) Extract 10%</t>
  </si>
  <si>
    <t>灰树花10%</t>
  </si>
  <si>
    <t>Maitake Mushroom (Grifola frondosa) Extract 10%</t>
  </si>
  <si>
    <t>灵芝10%</t>
  </si>
  <si>
    <t>Reishi Mushroom (Ganoderma lucidum) Extract 10%</t>
  </si>
  <si>
    <t>虫草10%</t>
  </si>
  <si>
    <t>Cordyceps Extract 10%</t>
  </si>
  <si>
    <t>姬松茸10%</t>
  </si>
  <si>
    <t>Agaricus Blazei Extract 10%</t>
  </si>
  <si>
    <t>Olive Leaf Extract (std. min. 10% Oleuropein)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</si>
</sst>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8" formatCode="&quot;$&quot;#,##0.00_);[Red]\(&quot;$&quot;#,##0.00\)"/>
    <numFmt numFmtId="164" formatCode="_ * #,##0_ ;_ * \-#,##0_ ;_ * &quot;-&quot;??_ ;_ @_ "/>
    <numFmt numFmtId="165" formatCode="0.0000"/>
    <numFmt numFmtId="166" formatCode="_(* #,##0_);_(* \(#,##0\);_(* &quot;-&quot;??_);_(@_)"/>
    <numFmt numFmtId="167" formatCode="_ * #,##0.00_ ;_ * \-#,##0.00_ ;_ * &quot;-&quot;??_ ;_ @_ "/>
    <numFmt numFmtId="168" formatCode="_(* #,##0.000_);_(* \(#,##0.000\);_(* &quot;-&quot;??.0_);_(@_)"/>
    <numFmt numFmtId="169" formatCode="\$#,##0.00;[Red]\(\$#,##0.00\)"/>
    <numFmt numFmtId="170" formatCode="[$-409]\$#,##0.00_);\([$-409]\$#,##0.00\)"/>
    <numFmt numFmtId="171" formatCode="0.0%"/>
    <numFmt numFmtId="172" formatCode="\$#,##0;[Red]\(\$#,##0\)"/>
    <numFmt numFmtId="173" formatCode="&quot;$&quot;#,##0.00"/>
    <numFmt numFmtId="174" formatCode="&quot;$&quot;#,##0.00000"/>
    <numFmt numFmtId="175" formatCode="0.0"/>
    <numFmt numFmtId="176" formatCode="0.000000"/>
    <numFmt numFmtId="177" formatCode="0.000"/>
    <numFmt numFmtId="178" formatCode="0.00000"/>
  </numFmts>
  <fonts count="29" x14ac:knownFonts="1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1F2329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0.5"/>
      <color rgb="FF44749F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b/>
      <sz val="19.5"/>
      <color rgb="FFFF0000"/>
      <name val="Calibri"/>
      <family val="2"/>
      <scheme val="minor"/>
    </font>
    <font>
      <b/>
      <sz val="19.5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27.75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.75"/>
      <color theme="10"/>
      <name val="Calibri"/>
      <family val="2"/>
    </font>
    <font>
      <sz val="13.5"/>
      <color rgb="FF00000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b/>
      <sz val="27.75"/>
      <color rgb="FFD25E0A"/>
      <name val="Calibri"/>
      <family val="2"/>
    </font>
    <font>
      <b/>
      <sz val="9"/>
      <color rgb="FF000000"/>
      <name val="Calibri"/>
      <family val="2"/>
    </font>
    <font>
      <u/>
      <sz val="12"/>
      <color theme="1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DEEAF6"/>
      </patternFill>
    </fill>
    <fill>
      <patternFill patternType="solid">
        <fgColor rgb="FFDEEAF6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BFBFBF"/>
      </patternFill>
    </fill>
    <fill>
      <patternFill patternType="solid">
        <fgColor rgb="FFB5C7EA"/>
      </patternFill>
    </fill>
    <fill>
      <patternFill patternType="solid">
        <fgColor rgb="FFB5C7EA"/>
      </patternFill>
    </fill>
    <fill>
      <patternFill patternType="solid">
        <fgColor rgb="FFB5C7EA"/>
      </patternFill>
    </fill>
    <fill>
      <patternFill patternType="solid">
        <fgColor rgb="FFB5C7EA"/>
      </patternFill>
    </fill>
  </fills>
  <borders count="17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85"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9" fontId="3" fillId="2" borderId="3" xfId="0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2" fontId="3" fillId="3" borderId="6" xfId="0" applyNumberFormat="1" applyFont="1" applyFill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3" fillId="4" borderId="8" xfId="0" applyFont="1" applyFill="1" applyBorder="1" applyAlignment="1">
      <alignment vertical="center"/>
    </xf>
    <xf numFmtId="164" fontId="3" fillId="0" borderId="9" xfId="0" applyNumberFormat="1" applyFont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2" fontId="3" fillId="6" borderId="11" xfId="0" applyNumberFormat="1" applyFont="1" applyFill="1" applyBorder="1" applyAlignment="1">
      <alignment vertical="center"/>
    </xf>
    <xf numFmtId="0" fontId="3" fillId="7" borderId="12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2" fontId="3" fillId="0" borderId="15" xfId="0" applyNumberFormat="1" applyFont="1" applyBorder="1" applyAlignment="1">
      <alignment vertical="center"/>
    </xf>
    <xf numFmtId="2" fontId="3" fillId="8" borderId="16" xfId="0" applyNumberFormat="1" applyFont="1" applyFill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4" fontId="1" fillId="0" borderId="18" xfId="0" applyNumberFormat="1" applyFont="1" applyBorder="1" applyAlignment="1">
      <alignment vertical="center"/>
    </xf>
    <xf numFmtId="0" fontId="3" fillId="0" borderId="19" xfId="0" applyFont="1" applyBorder="1" applyAlignment="1">
      <alignment horizontal="right" vertical="center"/>
    </xf>
    <xf numFmtId="166" fontId="6" fillId="9" borderId="20" xfId="0" applyNumberFormat="1" applyFont="1" applyFill="1" applyBorder="1" applyAlignment="1">
      <alignment vertical="center"/>
    </xf>
    <xf numFmtId="166" fontId="6" fillId="0" borderId="21" xfId="0" applyNumberFormat="1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10" borderId="24" xfId="0" applyFont="1" applyFill="1" applyBorder="1" applyAlignment="1">
      <alignment vertical="center"/>
    </xf>
    <xf numFmtId="2" fontId="3" fillId="0" borderId="25" xfId="0" applyNumberFormat="1" applyFont="1" applyBorder="1" applyAlignment="1">
      <alignment vertical="center"/>
    </xf>
    <xf numFmtId="0" fontId="2" fillId="11" borderId="26" xfId="0" applyFont="1" applyFill="1" applyBorder="1" applyAlignment="1">
      <alignment vertical="center"/>
    </xf>
    <xf numFmtId="0" fontId="7" fillId="12" borderId="27" xfId="0" applyFont="1" applyFill="1" applyBorder="1" applyAlignment="1">
      <alignment vertical="center"/>
    </xf>
    <xf numFmtId="2" fontId="5" fillId="13" borderId="28" xfId="0" applyNumberFormat="1" applyFont="1" applyFill="1" applyBorder="1" applyAlignment="1">
      <alignment vertical="center"/>
    </xf>
    <xf numFmtId="0" fontId="3" fillId="14" borderId="29" xfId="0" applyFont="1" applyFill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15" borderId="31" xfId="0" applyFont="1" applyFill="1" applyBorder="1" applyAlignment="1">
      <alignment vertical="center"/>
    </xf>
    <xf numFmtId="164" fontId="1" fillId="0" borderId="32" xfId="0" applyNumberFormat="1" applyFont="1" applyBorder="1" applyAlignment="1">
      <alignment vertical="center"/>
    </xf>
    <xf numFmtId="167" fontId="3" fillId="16" borderId="33" xfId="0" applyNumberFormat="1" applyFont="1" applyFill="1" applyBorder="1" applyAlignment="1">
      <alignment vertical="center"/>
    </xf>
    <xf numFmtId="165" fontId="3" fillId="17" borderId="34" xfId="0" applyNumberFormat="1" applyFont="1" applyFill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18" borderId="37" xfId="0" applyFont="1" applyFill="1" applyBorder="1" applyAlignment="1">
      <alignment vertical="center"/>
    </xf>
    <xf numFmtId="0" fontId="6" fillId="19" borderId="38" xfId="0" applyFont="1" applyFill="1" applyBorder="1" applyAlignment="1">
      <alignment vertical="center"/>
    </xf>
    <xf numFmtId="9" fontId="6" fillId="20" borderId="39" xfId="0" applyNumberFormat="1" applyFont="1" applyFill="1" applyBorder="1" applyAlignment="1">
      <alignment vertical="center"/>
    </xf>
    <xf numFmtId="0" fontId="6" fillId="21" borderId="40" xfId="0" applyFont="1" applyFill="1" applyBorder="1" applyAlignment="1">
      <alignment vertical="center"/>
    </xf>
    <xf numFmtId="0" fontId="4" fillId="0" borderId="41" xfId="0" applyFont="1" applyBorder="1" applyAlignment="1">
      <alignment vertical="center"/>
    </xf>
    <xf numFmtId="2" fontId="4" fillId="22" borderId="42" xfId="0" applyNumberFormat="1" applyFont="1" applyFill="1" applyBorder="1" applyAlignment="1">
      <alignment vertical="center"/>
    </xf>
    <xf numFmtId="0" fontId="3" fillId="0" borderId="43" xfId="0" applyFont="1" applyBorder="1" applyAlignment="1">
      <alignment vertical="center"/>
    </xf>
    <xf numFmtId="2" fontId="8" fillId="23" borderId="44" xfId="0" applyNumberFormat="1" applyFont="1" applyFill="1" applyBorder="1" applyAlignment="1">
      <alignment vertical="center"/>
    </xf>
    <xf numFmtId="164" fontId="1" fillId="0" borderId="45" xfId="0" applyNumberFormat="1" applyFont="1" applyBorder="1" applyAlignment="1">
      <alignment vertical="center"/>
    </xf>
    <xf numFmtId="168" fontId="3" fillId="0" borderId="46" xfId="0" applyNumberFormat="1" applyFont="1" applyBorder="1" applyAlignment="1">
      <alignment vertical="center"/>
    </xf>
    <xf numFmtId="164" fontId="3" fillId="0" borderId="47" xfId="0" applyNumberFormat="1" applyFont="1" applyBorder="1" applyAlignment="1">
      <alignment vertical="center"/>
    </xf>
    <xf numFmtId="0" fontId="2" fillId="0" borderId="48" xfId="0" applyFont="1" applyBorder="1" applyAlignment="1">
      <alignment horizontal="right" vertical="center"/>
    </xf>
    <xf numFmtId="0" fontId="2" fillId="0" borderId="49" xfId="0" applyFont="1" applyBorder="1" applyAlignment="1">
      <alignment vertical="center"/>
    </xf>
    <xf numFmtId="0" fontId="7" fillId="0" borderId="50" xfId="0" applyFont="1" applyBorder="1" applyAlignment="1">
      <alignment wrapText="1"/>
    </xf>
    <xf numFmtId="0" fontId="1" fillId="0" borderId="51" xfId="0" applyFont="1" applyBorder="1" applyAlignment="1">
      <alignment horizontal="left" vertical="top"/>
    </xf>
    <xf numFmtId="0" fontId="7" fillId="0" borderId="52" xfId="0" applyFont="1" applyBorder="1" applyAlignment="1">
      <alignment wrapText="1"/>
    </xf>
    <xf numFmtId="0" fontId="7" fillId="0" borderId="53" xfId="0" applyFont="1" applyBorder="1" applyAlignment="1">
      <alignment wrapText="1"/>
    </xf>
    <xf numFmtId="9" fontId="1" fillId="0" borderId="54" xfId="0" applyNumberFormat="1" applyFont="1" applyBorder="1" applyAlignment="1">
      <alignment horizontal="left" vertical="top"/>
    </xf>
    <xf numFmtId="0" fontId="7" fillId="0" borderId="55" xfId="0" applyFont="1" applyBorder="1" applyAlignment="1">
      <alignment horizontal="right" wrapText="1"/>
    </xf>
    <xf numFmtId="169" fontId="7" fillId="0" borderId="56" xfId="0" applyNumberFormat="1" applyFont="1" applyBorder="1" applyAlignment="1">
      <alignment horizontal="right" wrapText="1"/>
    </xf>
    <xf numFmtId="170" fontId="7" fillId="0" borderId="58" xfId="0" applyNumberFormat="1" applyFont="1" applyBorder="1" applyAlignment="1">
      <alignment horizontal="right" vertical="center" wrapText="1"/>
    </xf>
    <xf numFmtId="9" fontId="2" fillId="0" borderId="59" xfId="0" applyNumberFormat="1" applyFont="1" applyBorder="1" applyAlignment="1">
      <alignment vertical="center"/>
    </xf>
    <xf numFmtId="170" fontId="7" fillId="0" borderId="60" xfId="0" applyNumberFormat="1" applyFont="1" applyBorder="1" applyAlignment="1">
      <alignment horizontal="right" wrapText="1"/>
    </xf>
    <xf numFmtId="0" fontId="1" fillId="0" borderId="61" xfId="0" applyFont="1" applyBorder="1" applyAlignment="1">
      <alignment vertical="top"/>
    </xf>
    <xf numFmtId="0" fontId="1" fillId="0" borderId="62" xfId="0" applyFont="1" applyBorder="1" applyAlignment="1">
      <alignment horizontal="left" vertical="top"/>
    </xf>
    <xf numFmtId="2" fontId="1" fillId="0" borderId="63" xfId="0" applyNumberFormat="1" applyFont="1" applyBorder="1" applyAlignment="1">
      <alignment horizontal="right" vertical="top"/>
    </xf>
    <xf numFmtId="0" fontId="2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vertical="top" wrapText="1"/>
    </xf>
    <xf numFmtId="0" fontId="2" fillId="0" borderId="66" xfId="0" applyFont="1" applyBorder="1" applyAlignment="1">
      <alignment vertical="center" wrapText="1"/>
    </xf>
    <xf numFmtId="0" fontId="1" fillId="0" borderId="67" xfId="0" applyFont="1" applyBorder="1" applyAlignment="1">
      <alignment horizontal="left" vertical="top" wrapText="1"/>
    </xf>
    <xf numFmtId="2" fontId="1" fillId="0" borderId="68" xfId="0" applyNumberFormat="1" applyFont="1" applyBorder="1" applyAlignment="1">
      <alignment horizontal="right" vertical="top" wrapText="1"/>
    </xf>
    <xf numFmtId="0" fontId="1" fillId="0" borderId="69" xfId="0" applyFont="1" applyBorder="1" applyAlignment="1">
      <alignment horizontal="left" vertical="top" wrapText="1"/>
    </xf>
    <xf numFmtId="0" fontId="2" fillId="0" borderId="70" xfId="0" applyFont="1" applyBorder="1" applyAlignment="1">
      <alignment horizontal="right" vertical="center" wrapText="1"/>
    </xf>
    <xf numFmtId="9" fontId="1" fillId="0" borderId="71" xfId="0" applyNumberFormat="1" applyFont="1" applyBorder="1" applyAlignment="1">
      <alignment horizontal="left" vertical="top" wrapText="1"/>
    </xf>
    <xf numFmtId="0" fontId="1" fillId="0" borderId="72" xfId="0" applyFont="1" applyBorder="1" applyAlignment="1">
      <alignment horizontal="right" vertical="top"/>
    </xf>
    <xf numFmtId="171" fontId="1" fillId="0" borderId="73" xfId="0" applyNumberFormat="1" applyFont="1" applyBorder="1" applyAlignment="1">
      <alignment horizontal="left" vertical="top" wrapText="1"/>
    </xf>
    <xf numFmtId="170" fontId="4" fillId="0" borderId="74" xfId="0" applyNumberFormat="1" applyFont="1" applyBorder="1" applyAlignment="1">
      <alignment vertical="center"/>
    </xf>
    <xf numFmtId="0" fontId="4" fillId="0" borderId="75" xfId="0" applyFont="1" applyBorder="1"/>
    <xf numFmtId="0" fontId="4" fillId="0" borderId="76" xfId="0" applyFont="1" applyBorder="1"/>
    <xf numFmtId="0" fontId="7" fillId="0" borderId="77" xfId="0" applyFont="1" applyBorder="1" applyAlignment="1">
      <alignment vertical="center" wrapText="1"/>
    </xf>
    <xf numFmtId="0" fontId="2" fillId="0" borderId="78" xfId="0" applyFont="1" applyBorder="1" applyAlignment="1">
      <alignment horizontal="left" vertical="top"/>
    </xf>
    <xf numFmtId="9" fontId="2" fillId="0" borderId="79" xfId="0" applyNumberFormat="1" applyFont="1" applyBorder="1" applyAlignment="1">
      <alignment horizontal="left" vertical="top"/>
    </xf>
    <xf numFmtId="10" fontId="2" fillId="0" borderId="80" xfId="0" applyNumberFormat="1" applyFont="1" applyBorder="1" applyAlignment="1">
      <alignment horizontal="left" vertical="top"/>
    </xf>
    <xf numFmtId="172" fontId="4" fillId="0" borderId="81" xfId="0" applyNumberFormat="1" applyFont="1" applyBorder="1" applyAlignment="1">
      <alignment horizontal="right" vertical="center" wrapText="1"/>
    </xf>
    <xf numFmtId="0" fontId="4" fillId="0" borderId="82" xfId="0" applyFont="1" applyBorder="1" applyAlignment="1">
      <alignment horizontal="left" vertical="center"/>
    </xf>
    <xf numFmtId="0" fontId="4" fillId="0" borderId="83" xfId="0" applyFont="1" applyBorder="1" applyAlignment="1">
      <alignment horizontal="left" vertical="center"/>
    </xf>
    <xf numFmtId="0" fontId="4" fillId="0" borderId="84" xfId="0" applyFont="1" applyBorder="1" applyAlignment="1">
      <alignment horizontal="left" vertical="center"/>
    </xf>
    <xf numFmtId="0" fontId="4" fillId="0" borderId="85" xfId="0" applyFont="1" applyBorder="1" applyAlignment="1">
      <alignment horizontal="left" vertical="center" wrapText="1"/>
    </xf>
    <xf numFmtId="0" fontId="7" fillId="0" borderId="86" xfId="0" applyFont="1" applyBorder="1" applyAlignment="1">
      <alignment vertical="center" wrapText="1"/>
    </xf>
    <xf numFmtId="0" fontId="7" fillId="0" borderId="87" xfId="0" applyFont="1" applyBorder="1" applyAlignment="1">
      <alignment vertical="center" wrapText="1"/>
    </xf>
    <xf numFmtId="0" fontId="4" fillId="0" borderId="88" xfId="0" applyFont="1" applyBorder="1" applyAlignment="1">
      <alignment horizontal="right" vertical="center" wrapText="1"/>
    </xf>
    <xf numFmtId="0" fontId="4" fillId="0" borderId="89" xfId="0" applyFont="1" applyBorder="1" applyAlignment="1">
      <alignment horizontal="left" vertical="center" wrapText="1"/>
    </xf>
    <xf numFmtId="0" fontId="4" fillId="0" borderId="90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left" vertical="center" wrapText="1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left" vertical="center" wrapText="1"/>
    </xf>
    <xf numFmtId="0" fontId="1" fillId="0" borderId="95" xfId="0" applyFont="1" applyBorder="1" applyAlignment="1">
      <alignment horizontal="left" vertical="center"/>
    </xf>
    <xf numFmtId="169" fontId="7" fillId="0" borderId="96" xfId="0" applyNumberFormat="1" applyFont="1" applyBorder="1" applyAlignment="1">
      <alignment horizontal="right" vertical="center" wrapText="1"/>
    </xf>
    <xf numFmtId="0" fontId="7" fillId="0" borderId="98" xfId="0" applyFont="1" applyBorder="1" applyAlignment="1">
      <alignment wrapText="1"/>
    </xf>
    <xf numFmtId="0" fontId="7" fillId="0" borderId="99" xfId="0" applyFont="1" applyBorder="1" applyAlignment="1">
      <alignment wrapText="1"/>
    </xf>
    <xf numFmtId="0" fontId="1" fillId="0" borderId="100" xfId="0" applyFont="1" applyBorder="1"/>
    <xf numFmtId="170" fontId="7" fillId="0" borderId="101" xfId="0" applyNumberFormat="1" applyFont="1" applyBorder="1" applyAlignment="1">
      <alignment horizontal="right" vertical="center"/>
    </xf>
    <xf numFmtId="0" fontId="4" fillId="0" borderId="102" xfId="0" applyFont="1" applyBorder="1" applyAlignment="1">
      <alignment wrapText="1"/>
    </xf>
    <xf numFmtId="0" fontId="4" fillId="0" borderId="103" xfId="0" applyFont="1" applyBorder="1" applyAlignment="1">
      <alignment wrapText="1"/>
    </xf>
    <xf numFmtId="0" fontId="10" fillId="0" borderId="104" xfId="0" applyFont="1" applyBorder="1" applyAlignment="1">
      <alignment wrapText="1"/>
    </xf>
    <xf numFmtId="0" fontId="4" fillId="0" borderId="105" xfId="0" applyFont="1" applyBorder="1" applyAlignment="1">
      <alignment vertical="center" wrapText="1"/>
    </xf>
    <xf numFmtId="0" fontId="4" fillId="0" borderId="106" xfId="0" applyFont="1" applyBorder="1" applyAlignment="1">
      <alignment vertical="center"/>
    </xf>
    <xf numFmtId="0" fontId="11" fillId="24" borderId="107" xfId="0" applyFont="1" applyFill="1" applyBorder="1" applyAlignment="1">
      <alignment horizontal="left" vertical="top"/>
    </xf>
    <xf numFmtId="0" fontId="11" fillId="25" borderId="108" xfId="0" applyFont="1" applyFill="1" applyBorder="1" applyAlignment="1">
      <alignment horizontal="left" vertical="top"/>
    </xf>
    <xf numFmtId="9" fontId="11" fillId="26" borderId="109" xfId="0" applyNumberFormat="1" applyFont="1" applyFill="1" applyBorder="1" applyAlignment="1">
      <alignment horizontal="left" vertical="top"/>
    </xf>
    <xf numFmtId="0" fontId="11" fillId="27" borderId="110" xfId="0" applyFont="1" applyFill="1" applyBorder="1" applyAlignment="1">
      <alignment vertical="top"/>
    </xf>
    <xf numFmtId="0" fontId="11" fillId="28" borderId="111" xfId="0" applyFont="1" applyFill="1" applyBorder="1" applyAlignment="1">
      <alignment horizontal="right" vertical="top"/>
    </xf>
    <xf numFmtId="2" fontId="11" fillId="29" borderId="112" xfId="0" applyNumberFormat="1" applyFont="1" applyFill="1" applyBorder="1" applyAlignment="1">
      <alignment horizontal="right" vertical="top"/>
    </xf>
    <xf numFmtId="10" fontId="2" fillId="0" borderId="113" xfId="0" applyNumberFormat="1" applyFont="1" applyBorder="1" applyAlignment="1">
      <alignment vertical="center"/>
    </xf>
    <xf numFmtId="170" fontId="4" fillId="0" borderId="114" xfId="0" applyNumberFormat="1" applyFont="1" applyBorder="1" applyAlignment="1">
      <alignment horizontal="right" vertical="center"/>
    </xf>
    <xf numFmtId="0" fontId="7" fillId="0" borderId="115" xfId="0" applyFont="1" applyBorder="1" applyAlignment="1">
      <alignment horizontal="left" wrapText="1"/>
    </xf>
    <xf numFmtId="0" fontId="7" fillId="0" borderId="116" xfId="0" applyFont="1" applyBorder="1" applyAlignment="1">
      <alignment wrapText="1"/>
    </xf>
    <xf numFmtId="0" fontId="7" fillId="0" borderId="117" xfId="0" applyFont="1" applyBorder="1" applyAlignment="1">
      <alignment vertical="center"/>
    </xf>
    <xf numFmtId="0" fontId="4" fillId="0" borderId="118" xfId="0" applyFont="1" applyBorder="1" applyAlignment="1">
      <alignment wrapText="1"/>
    </xf>
    <xf numFmtId="0" fontId="7" fillId="0" borderId="119" xfId="0" applyFont="1" applyBorder="1" applyAlignment="1">
      <alignment wrapText="1"/>
    </xf>
    <xf numFmtId="0" fontId="4" fillId="30" borderId="120" xfId="0" applyFont="1" applyFill="1" applyBorder="1" applyAlignment="1">
      <alignment vertical="center" wrapText="1"/>
    </xf>
    <xf numFmtId="0" fontId="4" fillId="31" borderId="121" xfId="0" applyFont="1" applyFill="1" applyBorder="1" applyAlignment="1">
      <alignment vertical="center"/>
    </xf>
    <xf numFmtId="0" fontId="12" fillId="0" borderId="122" xfId="0" applyFont="1" applyBorder="1"/>
    <xf numFmtId="3" fontId="1" fillId="0" borderId="123" xfId="0" applyNumberFormat="1" applyFont="1" applyBorder="1"/>
    <xf numFmtId="173" fontId="1" fillId="0" borderId="124" xfId="0" applyNumberFormat="1" applyFont="1" applyBorder="1"/>
    <xf numFmtId="174" fontId="1" fillId="0" borderId="125" xfId="0" applyNumberFormat="1" applyFont="1" applyBorder="1"/>
    <xf numFmtId="173" fontId="1" fillId="32" borderId="126" xfId="0" applyNumberFormat="1" applyFont="1" applyFill="1" applyBorder="1"/>
    <xf numFmtId="0" fontId="12" fillId="33" borderId="127" xfId="0" applyFont="1" applyFill="1" applyBorder="1"/>
    <xf numFmtId="0" fontId="12" fillId="34" borderId="128" xfId="0" applyFont="1" applyFill="1" applyBorder="1"/>
    <xf numFmtId="0" fontId="12" fillId="35" borderId="129" xfId="0" applyFont="1" applyFill="1" applyBorder="1"/>
    <xf numFmtId="0" fontId="1" fillId="0" borderId="130" xfId="0" applyFont="1" applyBorder="1"/>
    <xf numFmtId="0" fontId="1" fillId="0" borderId="131" xfId="0" applyFont="1" applyBorder="1" applyAlignment="1">
      <alignment vertical="center"/>
    </xf>
    <xf numFmtId="2" fontId="1" fillId="0" borderId="132" xfId="0" applyNumberFormat="1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34" xfId="0" applyFont="1" applyBorder="1" applyAlignment="1">
      <alignment horizontal="left" vertical="center" wrapText="1"/>
    </xf>
    <xf numFmtId="49" fontId="1" fillId="0" borderId="135" xfId="0" applyNumberFormat="1" applyFont="1" applyBorder="1" applyAlignment="1">
      <alignment horizontal="left" vertical="center" wrapText="1"/>
    </xf>
    <xf numFmtId="49" fontId="12" fillId="36" borderId="136" xfId="0" applyNumberFormat="1" applyFont="1" applyFill="1" applyBorder="1" applyAlignment="1">
      <alignment horizontal="center" vertical="center" wrapText="1"/>
    </xf>
    <xf numFmtId="0" fontId="12" fillId="37" borderId="137" xfId="0" applyFont="1" applyFill="1" applyBorder="1" applyAlignment="1">
      <alignment horizontal="center" vertical="center" wrapText="1"/>
    </xf>
    <xf numFmtId="0" fontId="1" fillId="38" borderId="138" xfId="0" applyFont="1" applyFill="1" applyBorder="1" applyAlignment="1">
      <alignment horizontal="left" vertical="center"/>
    </xf>
    <xf numFmtId="0" fontId="12" fillId="39" borderId="139" xfId="0" applyFont="1" applyFill="1" applyBorder="1" applyAlignment="1">
      <alignment horizontal="center" vertical="center" wrapText="1"/>
    </xf>
    <xf numFmtId="0" fontId="1" fillId="40" borderId="140" xfId="0" applyFont="1" applyFill="1" applyBorder="1" applyAlignment="1">
      <alignment horizontal="center" vertical="center" wrapText="1"/>
    </xf>
    <xf numFmtId="49" fontId="12" fillId="41" borderId="141" xfId="0" applyNumberFormat="1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 wrapText="1"/>
    </xf>
    <xf numFmtId="0" fontId="0" fillId="0" borderId="143" xfId="0" applyBorder="1"/>
    <xf numFmtId="2" fontId="2" fillId="0" borderId="144" xfId="0" applyNumberFormat="1" applyFont="1" applyBorder="1" applyAlignment="1">
      <alignment horizontal="center" vertical="center"/>
    </xf>
    <xf numFmtId="49" fontId="1" fillId="0" borderId="145" xfId="0" applyNumberFormat="1" applyFont="1" applyBorder="1" applyAlignment="1">
      <alignment horizontal="center"/>
    </xf>
    <xf numFmtId="49" fontId="13" fillId="0" borderId="146" xfId="0" applyNumberFormat="1" applyFont="1" applyBorder="1" applyAlignment="1">
      <alignment horizontal="center"/>
    </xf>
    <xf numFmtId="0" fontId="12" fillId="0" borderId="147" xfId="0" applyFont="1" applyBorder="1" applyAlignment="1">
      <alignment horizontal="center"/>
    </xf>
    <xf numFmtId="0" fontId="14" fillId="0" borderId="148" xfId="0" applyFont="1" applyBorder="1" applyAlignment="1">
      <alignment horizontal="center"/>
    </xf>
    <xf numFmtId="0" fontId="1" fillId="0" borderId="149" xfId="0" applyFont="1" applyBorder="1" applyAlignment="1">
      <alignment horizontal="center"/>
    </xf>
    <xf numFmtId="0" fontId="15" fillId="0" borderId="150" xfId="0" applyFont="1" applyBorder="1"/>
    <xf numFmtId="6" fontId="1" fillId="0" borderId="151" xfId="0" applyNumberFormat="1" applyFont="1" applyBorder="1"/>
    <xf numFmtId="8" fontId="1" fillId="0" borderId="152" xfId="0" applyNumberFormat="1" applyFont="1" applyBorder="1"/>
    <xf numFmtId="0" fontId="12" fillId="0" borderId="153" xfId="0" applyFont="1" applyBorder="1"/>
    <xf numFmtId="0" fontId="3" fillId="0" borderId="154" xfId="0" applyFont="1" applyBorder="1" applyAlignment="1">
      <alignment horizontal="center" vertical="center"/>
    </xf>
    <xf numFmtId="0" fontId="1" fillId="0" borderId="155" xfId="0" applyFont="1" applyBorder="1" applyAlignment="1">
      <alignment horizontal="center" vertical="center"/>
    </xf>
    <xf numFmtId="0" fontId="1" fillId="0" borderId="156" xfId="0" applyFont="1" applyBorder="1" applyAlignment="1">
      <alignment vertical="center"/>
    </xf>
    <xf numFmtId="0" fontId="19" fillId="0" borderId="162" xfId="0" applyFont="1" applyBorder="1" applyAlignment="1">
      <alignment horizontal="left" vertical="top" wrapText="1"/>
    </xf>
    <xf numFmtId="1" fontId="19" fillId="0" borderId="163" xfId="0" applyNumberFormat="1" applyFont="1" applyBorder="1" applyAlignment="1">
      <alignment horizontal="right" vertical="top"/>
    </xf>
    <xf numFmtId="0" fontId="19" fillId="0" borderId="164" xfId="0" applyFont="1" applyBorder="1" applyAlignment="1">
      <alignment horizontal="right" vertical="top" wrapText="1"/>
    </xf>
    <xf numFmtId="2" fontId="19" fillId="0" borderId="165" xfId="0" applyNumberFormat="1" applyFont="1" applyBorder="1" applyAlignment="1">
      <alignment horizontal="right" vertical="top"/>
    </xf>
    <xf numFmtId="175" fontId="19" fillId="0" borderId="166" xfId="0" applyNumberFormat="1" applyFont="1" applyBorder="1" applyAlignment="1">
      <alignment horizontal="right" vertical="top"/>
    </xf>
    <xf numFmtId="165" fontId="19" fillId="0" borderId="167" xfId="0" applyNumberFormat="1" applyFont="1" applyBorder="1" applyAlignment="1">
      <alignment horizontal="right" vertical="top"/>
    </xf>
    <xf numFmtId="176" fontId="19" fillId="0" borderId="168" xfId="0" applyNumberFormat="1" applyFont="1" applyBorder="1" applyAlignment="1">
      <alignment horizontal="right" vertical="top"/>
    </xf>
    <xf numFmtId="177" fontId="19" fillId="0" borderId="169" xfId="0" applyNumberFormat="1" applyFont="1" applyBorder="1" applyAlignment="1">
      <alignment horizontal="right" vertical="top"/>
    </xf>
    <xf numFmtId="178" fontId="19" fillId="0" borderId="170" xfId="0" applyNumberFormat="1" applyFont="1" applyBorder="1" applyAlignment="1">
      <alignment horizontal="right" vertical="top"/>
    </xf>
    <xf numFmtId="0" fontId="21" fillId="0" borderId="173" xfId="0" applyFont="1" applyBorder="1" applyAlignment="1">
      <alignment horizontal="left" vertical="top" wrapText="1"/>
    </xf>
    <xf numFmtId="0" fontId="2" fillId="0" borderId="174" xfId="0" applyFont="1" applyBorder="1" applyAlignment="1">
      <alignment horizontal="left" vertical="top" wrapText="1"/>
    </xf>
    <xf numFmtId="0" fontId="21" fillId="0" borderId="175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57" xfId="0" applyFont="1" applyBorder="1" applyAlignment="1">
      <alignment horizontal="center" vertical="center" wrapText="1"/>
    </xf>
    <xf numFmtId="0" fontId="7" fillId="0" borderId="77" xfId="0" applyFont="1" applyBorder="1" applyAlignment="1">
      <alignment vertical="center" wrapText="1"/>
    </xf>
    <xf numFmtId="0" fontId="1" fillId="0" borderId="95" xfId="0" applyFont="1" applyBorder="1" applyAlignment="1">
      <alignment horizontal="left" vertical="center"/>
    </xf>
    <xf numFmtId="0" fontId="7" fillId="0" borderId="52" xfId="0" applyFont="1" applyBorder="1" applyAlignment="1">
      <alignment wrapText="1"/>
    </xf>
    <xf numFmtId="0" fontId="9" fillId="0" borderId="97" xfId="0" applyFont="1" applyBorder="1" applyAlignment="1">
      <alignment horizontal="center" vertical="center"/>
    </xf>
    <xf numFmtId="0" fontId="1" fillId="0" borderId="156" xfId="0" applyFont="1" applyBorder="1" applyAlignment="1">
      <alignment vertical="center"/>
    </xf>
    <xf numFmtId="0" fontId="1" fillId="0" borderId="155" xfId="0" applyFont="1" applyBorder="1" applyAlignment="1">
      <alignment horizontal="center" vertical="center"/>
    </xf>
    <xf numFmtId="0" fontId="16" fillId="0" borderId="160" xfId="0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16" fillId="0" borderId="157" xfId="0" applyFont="1" applyBorder="1" applyAlignment="1">
      <alignment horizontal="center" vertical="center" wrapText="1"/>
    </xf>
    <xf numFmtId="0" fontId="17" fillId="0" borderId="158" xfId="0" applyFont="1" applyBorder="1" applyAlignment="1">
      <alignment horizontal="center" vertical="center" wrapText="1"/>
    </xf>
    <xf numFmtId="0" fontId="18" fillId="0" borderId="159" xfId="0" applyFont="1" applyBorder="1" applyAlignment="1">
      <alignment horizontal="center" vertical="center" wrapText="1"/>
    </xf>
    <xf numFmtId="0" fontId="20" fillId="0" borderId="172" xfId="0" applyFont="1" applyBorder="1" applyAlignment="1">
      <alignment horizontal="center" vertical="top" wrapText="1"/>
    </xf>
    <xf numFmtId="0" fontId="3" fillId="0" borderId="171" xfId="0" applyFont="1" applyBorder="1" applyAlignment="1">
      <alignment horizontal="center" vertical="top" wrapText="1"/>
    </xf>
    <xf numFmtId="0" fontId="2" fillId="0" borderId="17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1524000</xdr:colOff>
      <xdr:row>4</xdr:row>
      <xdr:rowOff>0</xdr:rowOff>
    </xdr:from>
    <xdr:to>
      <xdr:col>0</xdr:col>
      <xdr:colOff>3057525</xdr:colOff>
      <xdr:row>4</xdr:row>
      <xdr:rowOff>1533525</xdr:rowOff>
    </xdr:to>
    <xdr:pic>
      <xdr:nvPicPr>
        <xdr:cNvPr id="2" name="Picture 2" descr="YhFfeu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2362200</xdr:colOff>
      <xdr:row>5</xdr:row>
      <xdr:rowOff>0</xdr:rowOff>
    </xdr:from>
    <xdr:to>
      <xdr:col>1</xdr:col>
      <xdr:colOff>1638300</xdr:colOff>
      <xdr:row>5</xdr:row>
      <xdr:rowOff>1047750</xdr:rowOff>
    </xdr:to>
    <xdr:pic>
      <xdr:nvPicPr>
        <xdr:cNvPr id="3" name="Picture 3" descr="GWcbtu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1295400</xdr:colOff>
      <xdr:row>6</xdr:row>
      <xdr:rowOff>0</xdr:rowOff>
    </xdr:from>
    <xdr:to>
      <xdr:col>3</xdr:col>
      <xdr:colOff>66675</xdr:colOff>
      <xdr:row>6</xdr:row>
      <xdr:rowOff>2276475</xdr:rowOff>
    </xdr:to>
    <xdr:pic>
      <xdr:nvPicPr>
        <xdr:cNvPr id="4" name="Picture 4" descr="BJWcjD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133350</xdr:colOff>
      <xdr:row>7</xdr:row>
      <xdr:rowOff>0</xdr:rowOff>
    </xdr:from>
    <xdr:to>
      <xdr:col>5</xdr:col>
      <xdr:colOff>142875</xdr:colOff>
      <xdr:row>7</xdr:row>
      <xdr:rowOff>1743075</xdr:rowOff>
    </xdr:to>
    <xdr:pic>
      <xdr:nvPicPr>
        <xdr:cNvPr id="5" name="Picture 5" descr="LdVmWg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les@collagenation.com" TargetMode="External"/><Relationship Id="rId1" Type="http://schemas.openxmlformats.org/officeDocument/2006/relationships/hyperlink" Target="http://Email:service@huaji-bio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ni-sales@nutravat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10932-9699-094F-81E3-F9361D26AD9C}">
  <sheetPr>
    <outlinePr summaryBelow="0" summaryRight="0"/>
  </sheetPr>
  <dimension ref="A1:T2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1" sqref="G1"/>
    </sheetView>
  </sheetViews>
  <sheetFormatPr baseColWidth="10" defaultColWidth="14" defaultRowHeight="14" x14ac:dyDescent="0.2"/>
  <cols>
    <col min="1" max="1" width="22" customWidth="1"/>
    <col min="2" max="2" width="60" customWidth="1"/>
    <col min="3" max="3" width="14" customWidth="1"/>
    <col min="4" max="4" width="19" customWidth="1"/>
    <col min="5" max="5" width="30" customWidth="1"/>
    <col min="6" max="6" width="15" customWidth="1"/>
    <col min="7" max="7" width="20" customWidth="1"/>
    <col min="8" max="9" width="21" customWidth="1"/>
    <col min="10" max="11" width="25" customWidth="1"/>
    <col min="12" max="12" width="28" customWidth="1"/>
    <col min="13" max="13" width="13" customWidth="1"/>
    <col min="14" max="20" width="12" customWidth="1"/>
  </cols>
  <sheetData>
    <row r="1" spans="1:19" ht="17" customHeight="1" x14ac:dyDescent="0.2">
      <c r="A1" t="s">
        <v>2086</v>
      </c>
      <c r="B1" s="37" t="s">
        <v>2087</v>
      </c>
      <c r="C1" s="37" t="s">
        <v>2088</v>
      </c>
      <c r="D1" s="37" t="s">
        <v>2089</v>
      </c>
      <c r="E1" s="37" t="s">
        <v>2090</v>
      </c>
      <c r="F1" s="35" t="s">
        <v>2091</v>
      </c>
      <c r="G1" s="35" t="s">
        <v>2092</v>
      </c>
      <c r="H1" s="35" t="s">
        <v>2093</v>
      </c>
      <c r="I1" s="35" t="s">
        <v>2094</v>
      </c>
      <c r="J1" s="38" t="s">
        <v>2095</v>
      </c>
      <c r="K1" s="36" t="s">
        <v>2096</v>
      </c>
      <c r="L1" s="40" t="s">
        <v>2097</v>
      </c>
      <c r="M1" s="36" t="s">
        <v>2098</v>
      </c>
      <c r="N1" s="39">
        <v>0.05</v>
      </c>
      <c r="O1" s="36"/>
      <c r="P1" s="36" t="s">
        <v>2099</v>
      </c>
    </row>
    <row r="2" spans="1:19" ht="16" x14ac:dyDescent="0.2">
      <c r="A2" s="23">
        <v>1</v>
      </c>
      <c r="B2" s="7"/>
      <c r="C2" s="3">
        <v>1</v>
      </c>
      <c r="D2" s="8"/>
      <c r="E2" s="4">
        <v>16900</v>
      </c>
      <c r="F2" s="4">
        <f t="shared" ref="F2:F9" si="0">IFERROR(E2/C2,0)</f>
        <v>16900</v>
      </c>
      <c r="G2" s="5">
        <f t="shared" ref="G2:G9" si="1">F2*1.05</f>
        <v>17745</v>
      </c>
      <c r="H2" s="9">
        <f t="shared" ref="H2:H9" si="2">$B$29*$B$28*$B$27</f>
        <v>60000</v>
      </c>
      <c r="I2" s="4">
        <f t="shared" ref="I2:I9" si="3">G2*H2/1000000</f>
        <v>1064.7</v>
      </c>
      <c r="J2" s="10"/>
      <c r="K2" s="17">
        <f t="shared" ref="K2:K9" si="4">J2/1000000*G2</f>
        <v>0</v>
      </c>
      <c r="L2" s="11">
        <f t="shared" ref="L2:L9" si="5">K2*$B$28*$B$27</f>
        <v>0</v>
      </c>
      <c r="M2" s="1">
        <f t="shared" ref="M2:M9" si="6">L2*$B$29</f>
        <v>0</v>
      </c>
      <c r="N2" s="6">
        <f t="shared" ref="N2:N11" si="7">I2*J2/10000</f>
        <v>0</v>
      </c>
      <c r="Q2" s="43"/>
    </row>
    <row r="3" spans="1:19" ht="16" x14ac:dyDescent="0.2">
      <c r="A3" s="2">
        <v>2</v>
      </c>
      <c r="B3" s="7"/>
      <c r="C3" s="3">
        <v>1</v>
      </c>
      <c r="D3" s="8"/>
      <c r="E3" s="4">
        <v>1850</v>
      </c>
      <c r="F3" s="5">
        <f t="shared" si="0"/>
        <v>1850</v>
      </c>
      <c r="G3" s="5">
        <f t="shared" si="1"/>
        <v>1942.5</v>
      </c>
      <c r="H3" s="9">
        <f t="shared" si="2"/>
        <v>60000</v>
      </c>
      <c r="I3" s="4">
        <f t="shared" si="3"/>
        <v>116.55</v>
      </c>
      <c r="J3" s="10"/>
      <c r="K3">
        <f t="shared" si="4"/>
        <v>0</v>
      </c>
      <c r="L3" s="11">
        <f t="shared" si="5"/>
        <v>0</v>
      </c>
      <c r="M3" s="1">
        <f t="shared" si="6"/>
        <v>0</v>
      </c>
      <c r="N3" s="6">
        <f t="shared" si="7"/>
        <v>0</v>
      </c>
    </row>
    <row r="4" spans="1:19" ht="16" x14ac:dyDescent="0.2">
      <c r="A4" s="23">
        <v>3</v>
      </c>
      <c r="B4" s="7"/>
      <c r="C4" s="3">
        <v>1</v>
      </c>
      <c r="D4" s="8"/>
      <c r="E4" s="4">
        <v>770</v>
      </c>
      <c r="F4" s="5">
        <f t="shared" si="0"/>
        <v>770</v>
      </c>
      <c r="G4" s="5">
        <f t="shared" si="1"/>
        <v>808.5</v>
      </c>
      <c r="H4" s="9">
        <f t="shared" si="2"/>
        <v>60000</v>
      </c>
      <c r="I4" s="4">
        <f t="shared" si="3"/>
        <v>48.51</v>
      </c>
      <c r="J4" s="10"/>
      <c r="K4" s="17">
        <f t="shared" si="4"/>
        <v>0</v>
      </c>
      <c r="L4" s="11">
        <f t="shared" si="5"/>
        <v>0</v>
      </c>
      <c r="M4" s="1">
        <f t="shared" si="6"/>
        <v>0</v>
      </c>
      <c r="N4" s="6">
        <f t="shared" si="7"/>
        <v>0</v>
      </c>
    </row>
    <row r="5" spans="1:19" ht="16" x14ac:dyDescent="0.2">
      <c r="A5" s="23">
        <v>4</v>
      </c>
      <c r="B5" s="7"/>
      <c r="C5" s="3">
        <v>1</v>
      </c>
      <c r="D5" s="8" t="s">
        <v>2100</v>
      </c>
      <c r="E5" s="4">
        <v>360</v>
      </c>
      <c r="F5" s="5">
        <f t="shared" si="0"/>
        <v>360</v>
      </c>
      <c r="G5" s="5">
        <f t="shared" si="1"/>
        <v>378</v>
      </c>
      <c r="H5" s="9">
        <f t="shared" si="2"/>
        <v>60000</v>
      </c>
      <c r="I5" s="4">
        <f t="shared" si="3"/>
        <v>22.68</v>
      </c>
      <c r="J5" s="10">
        <v>6.97</v>
      </c>
      <c r="K5" s="17">
        <f t="shared" si="4"/>
        <v>2.6346599999999996E-3</v>
      </c>
      <c r="L5" s="11">
        <f t="shared" si="5"/>
        <v>7.9039799999999993E-2</v>
      </c>
      <c r="M5" s="1">
        <f t="shared" si="6"/>
        <v>158.0796</v>
      </c>
      <c r="N5" s="6">
        <f t="shared" si="7"/>
        <v>1.5807959999999999E-2</v>
      </c>
    </row>
    <row r="6" spans="1:19" ht="16" x14ac:dyDescent="0.2">
      <c r="A6" s="23">
        <v>5</v>
      </c>
      <c r="B6" s="7"/>
      <c r="C6" s="3">
        <v>1</v>
      </c>
      <c r="D6" s="27" t="s">
        <v>2101</v>
      </c>
      <c r="E6" s="4">
        <v>80</v>
      </c>
      <c r="F6" s="5">
        <f t="shared" si="0"/>
        <v>80</v>
      </c>
      <c r="G6" s="5">
        <f t="shared" si="1"/>
        <v>84</v>
      </c>
      <c r="H6" s="9">
        <f t="shared" si="2"/>
        <v>60000</v>
      </c>
      <c r="I6" s="4">
        <f t="shared" si="3"/>
        <v>5.04</v>
      </c>
      <c r="J6" s="28">
        <v>90</v>
      </c>
      <c r="K6" s="17">
        <f t="shared" si="4"/>
        <v>7.5600000000000007E-3</v>
      </c>
      <c r="L6" s="11">
        <f t="shared" si="5"/>
        <v>0.22680000000000003</v>
      </c>
      <c r="M6" s="1">
        <f t="shared" si="6"/>
        <v>453.60000000000008</v>
      </c>
      <c r="N6" s="6">
        <f t="shared" si="7"/>
        <v>4.5360000000000004E-2</v>
      </c>
    </row>
    <row r="7" spans="1:19" ht="16" x14ac:dyDescent="0.2">
      <c r="A7" s="23">
        <v>6</v>
      </c>
      <c r="B7" s="7"/>
      <c r="C7" s="3">
        <v>1</v>
      </c>
      <c r="D7" s="8" t="s">
        <v>2102</v>
      </c>
      <c r="E7" s="4">
        <v>20</v>
      </c>
      <c r="F7" s="5">
        <f t="shared" si="0"/>
        <v>20</v>
      </c>
      <c r="G7" s="5">
        <f t="shared" si="1"/>
        <v>21</v>
      </c>
      <c r="H7" s="9">
        <f t="shared" si="2"/>
        <v>60000</v>
      </c>
      <c r="I7" s="4">
        <f t="shared" si="3"/>
        <v>1.26</v>
      </c>
      <c r="J7" s="28">
        <v>24</v>
      </c>
      <c r="K7" s="17">
        <f t="shared" si="4"/>
        <v>5.04E-4</v>
      </c>
      <c r="L7" s="11">
        <f t="shared" si="5"/>
        <v>1.512E-2</v>
      </c>
      <c r="M7" s="1">
        <f t="shared" si="6"/>
        <v>30.24</v>
      </c>
      <c r="N7" s="6">
        <f t="shared" si="7"/>
        <v>3.0240000000000002E-3</v>
      </c>
    </row>
    <row r="8" spans="1:19" ht="16" x14ac:dyDescent="0.2">
      <c r="A8" s="23">
        <v>7</v>
      </c>
      <c r="B8" s="7"/>
      <c r="C8" s="3">
        <v>1</v>
      </c>
      <c r="D8" s="8" t="s">
        <v>2101</v>
      </c>
      <c r="E8" s="4">
        <v>10</v>
      </c>
      <c r="F8" s="5">
        <f t="shared" si="0"/>
        <v>10</v>
      </c>
      <c r="G8" s="5">
        <f t="shared" si="1"/>
        <v>10.5</v>
      </c>
      <c r="H8" s="9">
        <f t="shared" si="2"/>
        <v>60000</v>
      </c>
      <c r="I8" s="4">
        <f t="shared" si="3"/>
        <v>0.63</v>
      </c>
      <c r="J8" s="28">
        <v>520</v>
      </c>
      <c r="K8" s="17">
        <f t="shared" si="4"/>
        <v>5.4599999999999996E-3</v>
      </c>
      <c r="L8" s="11">
        <f t="shared" si="5"/>
        <v>0.1638</v>
      </c>
      <c r="M8" s="1">
        <f t="shared" si="6"/>
        <v>327.60000000000002</v>
      </c>
      <c r="N8" s="6">
        <f t="shared" si="7"/>
        <v>3.2760000000000004E-2</v>
      </c>
      <c r="Q8" s="2"/>
    </row>
    <row r="9" spans="1:19" ht="30" customHeight="1" x14ac:dyDescent="0.2">
      <c r="A9" s="23">
        <v>12</v>
      </c>
      <c r="B9" s="7" t="s">
        <v>2103</v>
      </c>
      <c r="C9" s="3">
        <v>1</v>
      </c>
      <c r="D9" s="8"/>
      <c r="E9" s="41"/>
      <c r="F9" s="5">
        <f t="shared" si="0"/>
        <v>0</v>
      </c>
      <c r="G9" s="5">
        <f t="shared" si="1"/>
        <v>0</v>
      </c>
      <c r="H9" s="9">
        <f t="shared" si="2"/>
        <v>60000</v>
      </c>
      <c r="I9" s="4">
        <f t="shared" si="3"/>
        <v>0</v>
      </c>
      <c r="J9" s="28"/>
      <c r="K9" s="17">
        <f t="shared" si="4"/>
        <v>0</v>
      </c>
      <c r="L9" s="34">
        <f t="shared" si="5"/>
        <v>0</v>
      </c>
      <c r="M9" s="1">
        <f t="shared" si="6"/>
        <v>0</v>
      </c>
      <c r="N9" s="6">
        <f t="shared" si="7"/>
        <v>0</v>
      </c>
      <c r="Q9" s="2"/>
    </row>
    <row r="10" spans="1:19" ht="30" customHeight="1" x14ac:dyDescent="0.2">
      <c r="A10" s="23"/>
      <c r="B10" s="41"/>
      <c r="C10" s="3"/>
      <c r="D10" s="8"/>
      <c r="E10" s="41"/>
      <c r="F10" s="5"/>
      <c r="G10" s="5"/>
      <c r="H10" s="45"/>
      <c r="I10" s="4"/>
      <c r="J10" s="44"/>
      <c r="K10" s="17"/>
      <c r="L10" s="11"/>
      <c r="M10" s="1"/>
      <c r="N10" s="6">
        <f t="shared" si="7"/>
        <v>0</v>
      </c>
      <c r="Q10" s="2"/>
    </row>
    <row r="11" spans="1:19" ht="17" customHeight="1" x14ac:dyDescent="0.2">
      <c r="A11" s="14"/>
      <c r="B11" s="13"/>
      <c r="C11" s="12"/>
      <c r="D11" s="12"/>
      <c r="E11" s="12"/>
      <c r="F11" s="15">
        <f>IFERROR(E11/C11,0)</f>
        <v>0</v>
      </c>
      <c r="G11" s="15">
        <f>F11*1.05</f>
        <v>0</v>
      </c>
      <c r="H11" s="18">
        <f>$B$29*$B$28*$B$27</f>
        <v>60000</v>
      </c>
      <c r="I11" s="13">
        <f>G11*H11/1000000</f>
        <v>0</v>
      </c>
      <c r="J11" s="16"/>
      <c r="K11" s="17">
        <f>J11/1000000*G11</f>
        <v>0</v>
      </c>
      <c r="L11" s="11">
        <f>K11*$B$28*$B$27</f>
        <v>0</v>
      </c>
      <c r="M11" s="1">
        <f>L11*$B$29</f>
        <v>0</v>
      </c>
      <c r="N11" s="6">
        <f t="shared" si="7"/>
        <v>0</v>
      </c>
      <c r="Q11" s="2"/>
    </row>
    <row r="12" spans="1:19" ht="17" customHeight="1" x14ac:dyDescent="0.2">
      <c r="B12" s="19" t="s">
        <v>2104</v>
      </c>
      <c r="C12" s="19"/>
      <c r="D12" s="26"/>
      <c r="E12" s="24">
        <f>SUM(E2:E11)</f>
        <v>19990</v>
      </c>
      <c r="F12" s="25">
        <f>SUM(F2:F11)</f>
        <v>19990</v>
      </c>
      <c r="G12" s="25">
        <f>SUM(G2:G11)</f>
        <v>20989.5</v>
      </c>
      <c r="K12" s="2">
        <v>7.0000000000000007E-2</v>
      </c>
      <c r="L12" s="11">
        <f>K12*B28</f>
        <v>2.1</v>
      </c>
      <c r="M12" s="1">
        <f>L12*$B$29</f>
        <v>4200</v>
      </c>
      <c r="N12" s="6"/>
      <c r="Q12" s="2"/>
    </row>
    <row r="13" spans="1:19" ht="17" customHeight="1" x14ac:dyDescent="0.2">
      <c r="B13" s="19" t="s">
        <v>2105</v>
      </c>
      <c r="C13" s="19"/>
      <c r="D13" s="26"/>
      <c r="E13" s="24"/>
      <c r="F13" s="25"/>
      <c r="G13" s="25"/>
      <c r="K13" s="2"/>
      <c r="L13" s="11">
        <v>0.4</v>
      </c>
      <c r="M13" s="1"/>
      <c r="N13" s="6"/>
      <c r="Q13" s="2"/>
    </row>
    <row r="14" spans="1:19" ht="17" customHeight="1" x14ac:dyDescent="0.2">
      <c r="B14" s="19" t="s">
        <v>2106</v>
      </c>
      <c r="C14" s="19"/>
      <c r="D14" s="2"/>
      <c r="E14" s="2"/>
      <c r="L14" s="11"/>
      <c r="M14" s="1">
        <f t="shared" ref="M14:M20" si="8">L14*$B$29</f>
        <v>0</v>
      </c>
      <c r="N14" s="6"/>
      <c r="Q14" s="2"/>
    </row>
    <row r="15" spans="1:19" ht="17" customHeight="1" x14ac:dyDescent="0.2">
      <c r="B15" s="19" t="s">
        <v>2107</v>
      </c>
      <c r="C15" s="19"/>
      <c r="D15" s="2"/>
      <c r="E15" s="2"/>
      <c r="L15" s="24"/>
      <c r="M15" s="1">
        <f t="shared" si="8"/>
        <v>0</v>
      </c>
      <c r="N15" s="6"/>
      <c r="Q15" s="2"/>
      <c r="S15" s="2"/>
    </row>
    <row r="16" spans="1:19" ht="17" customHeight="1" x14ac:dyDescent="0.2">
      <c r="B16" s="19" t="s">
        <v>2108</v>
      </c>
      <c r="C16" s="19"/>
      <c r="D16" s="2"/>
      <c r="E16" s="2"/>
      <c r="K16" s="2">
        <f>L16/60</f>
        <v>0</v>
      </c>
      <c r="L16" s="24"/>
      <c r="M16" s="1">
        <f t="shared" si="8"/>
        <v>0</v>
      </c>
      <c r="N16" s="6"/>
    </row>
    <row r="17" spans="1:20" ht="17" customHeight="1" x14ac:dyDescent="0.2">
      <c r="B17" s="19" t="s">
        <v>2109</v>
      </c>
      <c r="C17" s="19"/>
      <c r="D17" s="2"/>
      <c r="E17" s="2"/>
      <c r="L17" s="11"/>
      <c r="M17" s="1">
        <f t="shared" si="8"/>
        <v>0</v>
      </c>
      <c r="N17" s="6"/>
    </row>
    <row r="18" spans="1:20" ht="17" customHeight="1" x14ac:dyDescent="0.2">
      <c r="B18" s="19" t="s">
        <v>2110</v>
      </c>
      <c r="C18" s="19"/>
      <c r="D18" s="2"/>
      <c r="E18" s="2"/>
      <c r="L18" s="42">
        <v>8.3000000000000001E-3</v>
      </c>
      <c r="M18" s="1">
        <f t="shared" si="8"/>
        <v>16.600000000000001</v>
      </c>
      <c r="N18" s="6"/>
    </row>
    <row r="19" spans="1:20" ht="17" customHeight="1" x14ac:dyDescent="0.2">
      <c r="A19" s="2">
        <v>0</v>
      </c>
      <c r="B19" s="19" t="s">
        <v>2111</v>
      </c>
      <c r="C19" s="19"/>
      <c r="D19" s="2"/>
      <c r="E19" s="2"/>
      <c r="L19" s="42">
        <v>0.05</v>
      </c>
      <c r="M19" s="1">
        <f t="shared" si="8"/>
        <v>100</v>
      </c>
      <c r="N19" s="6"/>
    </row>
    <row r="20" spans="1:20" ht="17" customHeight="1" x14ac:dyDescent="0.2">
      <c r="B20" s="19" t="s">
        <v>2112</v>
      </c>
      <c r="C20" s="19"/>
      <c r="D20" s="2"/>
      <c r="E20" s="2"/>
      <c r="K20" s="2">
        <f>L20/60</f>
        <v>8.3333333333333332E-3</v>
      </c>
      <c r="L20" s="11">
        <v>0.5</v>
      </c>
      <c r="M20" s="1">
        <f t="shared" si="8"/>
        <v>1000</v>
      </c>
      <c r="N20" s="6"/>
    </row>
    <row r="21" spans="1:20" ht="17" customHeight="1" x14ac:dyDescent="0.2">
      <c r="B21" s="19" t="s">
        <v>2113</v>
      </c>
      <c r="C21" s="19"/>
      <c r="D21" s="2"/>
      <c r="E21" s="2"/>
      <c r="K21" s="2"/>
      <c r="L21" s="11">
        <f>SUM(L2:L20)*0.2</f>
        <v>0.70861196000000004</v>
      </c>
      <c r="M21" s="1"/>
      <c r="N21" s="6"/>
    </row>
    <row r="22" spans="1:20" ht="17" customHeight="1" x14ac:dyDescent="0.2">
      <c r="B22" s="19" t="s">
        <v>2114</v>
      </c>
      <c r="C22" s="19"/>
      <c r="D22" s="2"/>
      <c r="E22" s="2"/>
      <c r="K22" s="2"/>
      <c r="L22" s="11">
        <v>1</v>
      </c>
      <c r="M22" s="1">
        <f>L22*$B$29</f>
        <v>2000</v>
      </c>
      <c r="N22" s="6"/>
    </row>
    <row r="23" spans="1:20" ht="17" customHeight="1" x14ac:dyDescent="0.2">
      <c r="B23" s="19" t="s">
        <v>2115</v>
      </c>
      <c r="C23" s="19"/>
      <c r="D23" s="2"/>
      <c r="E23" s="2"/>
      <c r="L23" s="11"/>
      <c r="M23" s="1">
        <f>L23*$B$29</f>
        <v>0</v>
      </c>
      <c r="N23" s="6"/>
    </row>
    <row r="24" spans="1:20" ht="17" customHeight="1" x14ac:dyDescent="0.2">
      <c r="B24" s="30"/>
      <c r="D24" s="2"/>
      <c r="E24" s="2"/>
      <c r="L24" s="31"/>
      <c r="M24" s="32">
        <f>L24*$B$29</f>
        <v>0</v>
      </c>
      <c r="N24" s="29">
        <f>I24*J24/10000</f>
        <v>0</v>
      </c>
    </row>
    <row r="25" spans="1:20" ht="17" customHeight="1" x14ac:dyDescent="0.2">
      <c r="B25" s="19" t="s">
        <v>2116</v>
      </c>
      <c r="C25" s="19"/>
      <c r="D25" s="2"/>
      <c r="E25" s="2"/>
      <c r="K25" s="34">
        <f>SUM(K2:K24)</f>
        <v>9.449199333333333E-2</v>
      </c>
      <c r="L25" s="11">
        <f>SUM(L2:L24)</f>
        <v>5.2516717599999998</v>
      </c>
      <c r="M25" s="1">
        <f>SUM(M2:M24)</f>
        <v>8286.1196</v>
      </c>
      <c r="N25" s="33">
        <f>SUM(N2:N24)</f>
        <v>9.6951960000000004E-2</v>
      </c>
    </row>
    <row r="26" spans="1:20" ht="17" customHeight="1" x14ac:dyDescent="0.2">
      <c r="D26" s="2"/>
      <c r="E26" s="2"/>
      <c r="F26" s="2"/>
      <c r="L26" s="2"/>
    </row>
    <row r="27" spans="1:20" ht="17" customHeight="1" x14ac:dyDescent="0.2">
      <c r="A27" s="22" t="s">
        <v>2117</v>
      </c>
      <c r="B27" s="20">
        <v>1</v>
      </c>
      <c r="C27" s="21"/>
      <c r="D27" s="2"/>
      <c r="E27" s="2"/>
      <c r="F27" s="2"/>
      <c r="G27" s="2"/>
      <c r="H27" s="47"/>
      <c r="I27" s="2"/>
      <c r="J27" s="2"/>
      <c r="K27" s="46">
        <f>K25*1.3</f>
        <v>0.12283959133333333</v>
      </c>
      <c r="L27" s="2"/>
      <c r="M27" s="2"/>
      <c r="N27" s="2"/>
      <c r="O27" s="2"/>
      <c r="P27" s="2"/>
      <c r="Q27" s="2"/>
      <c r="S27" s="2"/>
      <c r="T27" s="2"/>
    </row>
    <row r="28" spans="1:20" ht="17" customHeight="1" x14ac:dyDescent="0.2">
      <c r="A28" s="22" t="s">
        <v>2118</v>
      </c>
      <c r="B28" s="20">
        <v>30</v>
      </c>
      <c r="C28" s="2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7" customHeight="1" x14ac:dyDescent="0.2">
      <c r="A29" s="22" t="s">
        <v>2119</v>
      </c>
      <c r="B29" s="20">
        <v>2000</v>
      </c>
      <c r="C29" s="2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65EB-CE22-5540-960F-B94589A7EE74}">
  <sheetPr>
    <outlinePr summaryBelow="0" summaryRight="0"/>
  </sheetPr>
  <dimension ref="A1:T750"/>
  <sheetViews>
    <sheetView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baseColWidth="10" defaultColWidth="14" defaultRowHeight="14" x14ac:dyDescent="0.2"/>
  <cols>
    <col min="1" max="1" width="66" customWidth="1"/>
    <col min="2" max="2" width="39" customWidth="1"/>
    <col min="3" max="3" width="18" customWidth="1"/>
    <col min="4" max="4" width="16" customWidth="1"/>
    <col min="5" max="5" width="12" customWidth="1"/>
    <col min="6" max="6" width="23" customWidth="1"/>
    <col min="7" max="7" width="19" customWidth="1"/>
    <col min="8" max="8" width="28" customWidth="1"/>
    <col min="9" max="9" width="16" customWidth="1"/>
    <col min="10" max="10" width="30" customWidth="1"/>
    <col min="11" max="11" width="27" customWidth="1"/>
    <col min="12" max="20" width="12" customWidth="1"/>
  </cols>
  <sheetData>
    <row r="1" spans="1:11" ht="15" customHeight="1" x14ac:dyDescent="0.2">
      <c r="A1" s="105" t="s">
        <v>2120</v>
      </c>
      <c r="B1" s="106" t="s">
        <v>2121</v>
      </c>
      <c r="C1" s="107" t="s">
        <v>2088</v>
      </c>
      <c r="D1" s="106" t="s">
        <v>2122</v>
      </c>
      <c r="E1" s="106" t="s">
        <v>2123</v>
      </c>
      <c r="F1" s="108" t="s">
        <v>2124</v>
      </c>
      <c r="G1" s="106" t="s">
        <v>2125</v>
      </c>
      <c r="H1" s="109" t="s">
        <v>2126</v>
      </c>
      <c r="I1" s="110" t="s">
        <v>2127</v>
      </c>
      <c r="J1" s="106" t="s">
        <v>2128</v>
      </c>
      <c r="K1" s="106" t="s">
        <v>2129</v>
      </c>
    </row>
    <row r="2" spans="1:11" ht="15" x14ac:dyDescent="0.2">
      <c r="A2" s="61" t="s">
        <v>2130</v>
      </c>
      <c r="B2" s="51" t="s">
        <v>2131</v>
      </c>
      <c r="C2" s="111">
        <v>0.99990000000000001</v>
      </c>
      <c r="D2" s="51" t="s">
        <v>2132</v>
      </c>
      <c r="E2" s="51" t="s">
        <v>2133</v>
      </c>
      <c r="F2" s="60" t="s">
        <v>2134</v>
      </c>
      <c r="G2" s="51" t="s">
        <v>2135</v>
      </c>
      <c r="H2" s="71">
        <v>1</v>
      </c>
      <c r="I2" s="62">
        <v>668</v>
      </c>
    </row>
    <row r="3" spans="1:11" ht="20" customHeight="1" x14ac:dyDescent="0.2">
      <c r="A3" s="61" t="s">
        <v>2130</v>
      </c>
      <c r="B3" s="51" t="s">
        <v>2131</v>
      </c>
      <c r="C3" s="111">
        <v>0.99990000000000001</v>
      </c>
      <c r="D3" s="51" t="s">
        <v>2132</v>
      </c>
      <c r="E3" s="51" t="s">
        <v>2136</v>
      </c>
      <c r="F3" s="60" t="s">
        <v>2101</v>
      </c>
      <c r="G3" s="51" t="s">
        <v>2135</v>
      </c>
      <c r="H3" s="71">
        <v>1</v>
      </c>
      <c r="I3" s="62">
        <v>520</v>
      </c>
    </row>
    <row r="4" spans="1:11" ht="15" x14ac:dyDescent="0.2">
      <c r="A4" s="61" t="s">
        <v>2130</v>
      </c>
      <c r="B4" s="51" t="s">
        <v>2131</v>
      </c>
      <c r="D4" s="51" t="s">
        <v>2132</v>
      </c>
      <c r="E4" s="51" t="s">
        <v>2133</v>
      </c>
      <c r="F4" s="60" t="s">
        <v>2137</v>
      </c>
      <c r="G4" s="51" t="s">
        <v>2138</v>
      </c>
      <c r="H4" s="48"/>
      <c r="I4" s="62">
        <v>1160</v>
      </c>
    </row>
    <row r="5" spans="1:11" ht="15" x14ac:dyDescent="0.2">
      <c r="A5" s="61" t="s">
        <v>2130</v>
      </c>
      <c r="B5" s="51" t="s">
        <v>2131</v>
      </c>
      <c r="D5" s="51" t="s">
        <v>2132</v>
      </c>
      <c r="E5" s="51" t="s">
        <v>2133</v>
      </c>
      <c r="F5" s="60" t="s">
        <v>2139</v>
      </c>
      <c r="G5" s="51" t="s">
        <v>2135</v>
      </c>
      <c r="H5" s="71">
        <v>1</v>
      </c>
      <c r="I5" s="62">
        <v>800</v>
      </c>
    </row>
    <row r="6" spans="1:11" ht="15" x14ac:dyDescent="0.2">
      <c r="A6" s="49"/>
      <c r="H6" s="48"/>
      <c r="I6" s="62"/>
    </row>
    <row r="7" spans="1:11" ht="15" x14ac:dyDescent="0.2">
      <c r="A7" s="61" t="s">
        <v>2140</v>
      </c>
      <c r="B7" s="51" t="s">
        <v>2141</v>
      </c>
      <c r="D7" s="51" t="s">
        <v>2132</v>
      </c>
      <c r="E7" s="51" t="s">
        <v>2133</v>
      </c>
      <c r="F7" s="60" t="s">
        <v>2142</v>
      </c>
      <c r="G7" s="51" t="s">
        <v>2138</v>
      </c>
      <c r="H7" s="48"/>
      <c r="I7" s="62">
        <v>845</v>
      </c>
    </row>
    <row r="8" spans="1:11" ht="15" x14ac:dyDescent="0.2">
      <c r="A8" s="61" t="s">
        <v>2140</v>
      </c>
      <c r="B8" s="51" t="s">
        <v>2141</v>
      </c>
      <c r="D8" s="51" t="s">
        <v>2132</v>
      </c>
      <c r="E8" s="51" t="s">
        <v>2133</v>
      </c>
      <c r="F8" s="60" t="s">
        <v>2143</v>
      </c>
      <c r="G8" s="51" t="s">
        <v>2138</v>
      </c>
      <c r="H8" s="48"/>
      <c r="I8" s="48"/>
    </row>
    <row r="9" spans="1:11" ht="15" x14ac:dyDescent="0.2">
      <c r="A9" s="61" t="s">
        <v>2140</v>
      </c>
      <c r="B9" s="51" t="s">
        <v>2141</v>
      </c>
      <c r="D9" s="51" t="s">
        <v>2132</v>
      </c>
      <c r="E9" s="51" t="s">
        <v>2136</v>
      </c>
      <c r="F9" s="60" t="s">
        <v>2144</v>
      </c>
      <c r="G9" s="51" t="s">
        <v>2135</v>
      </c>
      <c r="H9" s="48"/>
      <c r="I9" s="62">
        <v>1375</v>
      </c>
    </row>
    <row r="10" spans="1:11" ht="15" x14ac:dyDescent="0.2">
      <c r="A10" s="61" t="s">
        <v>2145</v>
      </c>
      <c r="B10" s="51" t="s">
        <v>2141</v>
      </c>
      <c r="D10" s="51" t="s">
        <v>2132</v>
      </c>
      <c r="E10" s="51" t="s">
        <v>2136</v>
      </c>
      <c r="F10" s="60" t="s">
        <v>2146</v>
      </c>
      <c r="G10" s="51" t="s">
        <v>2135</v>
      </c>
      <c r="H10" s="48"/>
      <c r="I10" s="62">
        <v>1309</v>
      </c>
    </row>
    <row r="11" spans="1:11" x14ac:dyDescent="0.2">
      <c r="A11" s="49"/>
      <c r="H11" s="48"/>
      <c r="I11" s="48"/>
    </row>
    <row r="12" spans="1:11" ht="15" x14ac:dyDescent="0.2">
      <c r="A12" s="61" t="s">
        <v>2147</v>
      </c>
      <c r="B12" s="51" t="s">
        <v>2148</v>
      </c>
      <c r="D12" s="51" t="s">
        <v>2132</v>
      </c>
      <c r="E12" s="51" t="s">
        <v>2136</v>
      </c>
      <c r="F12" s="60" t="s">
        <v>2144</v>
      </c>
      <c r="G12" s="51" t="s">
        <v>2135</v>
      </c>
      <c r="H12" s="71">
        <v>25</v>
      </c>
      <c r="I12" s="62">
        <v>180</v>
      </c>
    </row>
    <row r="13" spans="1:11" x14ac:dyDescent="0.2">
      <c r="A13" s="49"/>
      <c r="H13" s="48"/>
      <c r="I13" s="48"/>
    </row>
    <row r="14" spans="1:11" ht="15" x14ac:dyDescent="0.2">
      <c r="A14" s="61" t="s">
        <v>2149</v>
      </c>
      <c r="B14" s="51" t="s">
        <v>2150</v>
      </c>
      <c r="C14" s="54">
        <v>0.99</v>
      </c>
      <c r="D14" s="51" t="s">
        <v>2132</v>
      </c>
      <c r="E14" s="51" t="s">
        <v>2136</v>
      </c>
      <c r="F14" s="60" t="s">
        <v>2151</v>
      </c>
      <c r="G14" s="51" t="s">
        <v>2135</v>
      </c>
      <c r="H14" s="48"/>
      <c r="I14" s="62">
        <v>14.97</v>
      </c>
    </row>
    <row r="15" spans="1:11" ht="15" x14ac:dyDescent="0.2">
      <c r="A15" s="61" t="s">
        <v>2152</v>
      </c>
      <c r="B15" s="51" t="s">
        <v>2152</v>
      </c>
      <c r="C15" s="54">
        <v>1</v>
      </c>
      <c r="D15" s="51" t="s">
        <v>2132</v>
      </c>
      <c r="E15" s="51" t="s">
        <v>2136</v>
      </c>
      <c r="F15" s="60" t="s">
        <v>2153</v>
      </c>
      <c r="G15" s="51" t="s">
        <v>2135</v>
      </c>
      <c r="H15" s="48"/>
      <c r="I15" s="62">
        <v>128</v>
      </c>
    </row>
    <row r="16" spans="1:11" ht="15" x14ac:dyDescent="0.2">
      <c r="A16" s="61" t="s">
        <v>2154</v>
      </c>
      <c r="B16" s="51" t="s">
        <v>2154</v>
      </c>
      <c r="D16" s="51" t="s">
        <v>2132</v>
      </c>
      <c r="E16" s="51" t="s">
        <v>2133</v>
      </c>
      <c r="F16" s="60" t="s">
        <v>2155</v>
      </c>
      <c r="G16" s="51" t="s">
        <v>2138</v>
      </c>
      <c r="H16" s="48"/>
      <c r="I16" s="62">
        <v>115</v>
      </c>
    </row>
    <row r="17" spans="1:20" ht="15" x14ac:dyDescent="0.2">
      <c r="A17" s="61" t="s">
        <v>2156</v>
      </c>
      <c r="B17" s="51" t="s">
        <v>2157</v>
      </c>
      <c r="D17" s="51" t="s">
        <v>2132</v>
      </c>
      <c r="E17" s="51" t="s">
        <v>2133</v>
      </c>
      <c r="F17" s="60" t="s">
        <v>2155</v>
      </c>
      <c r="G17" s="51" t="s">
        <v>2138</v>
      </c>
      <c r="H17" s="48"/>
      <c r="I17" s="62">
        <v>253</v>
      </c>
    </row>
    <row r="18" spans="1:20" ht="15" x14ac:dyDescent="0.2">
      <c r="A18" s="61" t="s">
        <v>2154</v>
      </c>
      <c r="B18" s="51" t="s">
        <v>2154</v>
      </c>
      <c r="D18" s="51" t="s">
        <v>2132</v>
      </c>
      <c r="E18" s="51" t="s">
        <v>2136</v>
      </c>
      <c r="F18" s="51" t="s">
        <v>2158</v>
      </c>
      <c r="G18" s="51" t="s">
        <v>2135</v>
      </c>
      <c r="H18" s="48"/>
      <c r="I18" s="62">
        <v>145</v>
      </c>
    </row>
    <row r="19" spans="1:20" ht="15" x14ac:dyDescent="0.2">
      <c r="A19" s="61" t="s">
        <v>2159</v>
      </c>
      <c r="B19" s="51" t="s">
        <v>2160</v>
      </c>
      <c r="C19" s="54" t="s">
        <v>2161</v>
      </c>
      <c r="D19" s="51" t="s">
        <v>2132</v>
      </c>
      <c r="E19" s="51" t="s">
        <v>2136</v>
      </c>
      <c r="F19" s="60" t="s">
        <v>2102</v>
      </c>
      <c r="G19" s="51" t="s">
        <v>2135</v>
      </c>
      <c r="H19" s="71">
        <v>25</v>
      </c>
      <c r="I19" s="62">
        <v>200</v>
      </c>
    </row>
    <row r="20" spans="1:20" x14ac:dyDescent="0.2">
      <c r="A20" s="49"/>
      <c r="H20" s="48"/>
      <c r="I20" s="48"/>
    </row>
    <row r="21" spans="1:20" ht="15" x14ac:dyDescent="0.2">
      <c r="A21" s="61" t="s">
        <v>2162</v>
      </c>
      <c r="B21" s="51" t="s">
        <v>2163</v>
      </c>
      <c r="C21" s="54">
        <v>0.7</v>
      </c>
      <c r="D21" s="51" t="s">
        <v>2132</v>
      </c>
      <c r="E21" s="51" t="s">
        <v>2133</v>
      </c>
      <c r="F21" s="60" t="s">
        <v>2164</v>
      </c>
      <c r="G21" s="51" t="s">
        <v>2138</v>
      </c>
      <c r="H21" s="48"/>
      <c r="I21" s="62">
        <v>165</v>
      </c>
    </row>
    <row r="22" spans="1:20" x14ac:dyDescent="0.2">
      <c r="A22" s="49"/>
      <c r="H22" s="48"/>
      <c r="I22" s="48"/>
    </row>
    <row r="23" spans="1:20" ht="15" x14ac:dyDescent="0.2">
      <c r="A23" s="61" t="s">
        <v>2165</v>
      </c>
      <c r="B23" s="98" t="s">
        <v>2166</v>
      </c>
      <c r="D23" s="51" t="s">
        <v>2132</v>
      </c>
      <c r="E23" s="51" t="s">
        <v>2136</v>
      </c>
      <c r="F23" s="60" t="s">
        <v>2146</v>
      </c>
      <c r="G23" s="51" t="s">
        <v>2135</v>
      </c>
      <c r="H23" s="48"/>
      <c r="I23" s="62">
        <v>85</v>
      </c>
    </row>
    <row r="24" spans="1:20" ht="15" x14ac:dyDescent="0.2">
      <c r="A24" s="61" t="s">
        <v>2167</v>
      </c>
      <c r="B24" s="51" t="s">
        <v>2168</v>
      </c>
      <c r="C24" s="54">
        <v>0.7</v>
      </c>
      <c r="D24" s="51" t="s">
        <v>2132</v>
      </c>
      <c r="E24" s="51" t="s">
        <v>2133</v>
      </c>
      <c r="F24" s="60" t="s">
        <v>2164</v>
      </c>
      <c r="G24" s="51" t="s">
        <v>2138</v>
      </c>
      <c r="H24" s="48"/>
      <c r="I24" s="62">
        <v>195</v>
      </c>
    </row>
    <row r="25" spans="1:20" x14ac:dyDescent="0.2">
      <c r="A25" s="49"/>
      <c r="H25" s="48"/>
      <c r="I25" s="48"/>
    </row>
    <row r="26" spans="1:20" ht="15" x14ac:dyDescent="0.2">
      <c r="A26" s="61" t="s">
        <v>2169</v>
      </c>
      <c r="B26" s="51" t="s">
        <v>2170</v>
      </c>
      <c r="D26" s="51" t="s">
        <v>2132</v>
      </c>
      <c r="E26" s="51" t="s">
        <v>2133</v>
      </c>
      <c r="F26" s="60" t="s">
        <v>2134</v>
      </c>
      <c r="G26" s="51" t="s">
        <v>2135</v>
      </c>
      <c r="H26" s="71">
        <v>5</v>
      </c>
      <c r="I26" s="62">
        <v>76</v>
      </c>
    </row>
    <row r="27" spans="1:20" ht="15" x14ac:dyDescent="0.2">
      <c r="A27" s="61" t="s">
        <v>2171</v>
      </c>
      <c r="B27" s="51" t="s">
        <v>2172</v>
      </c>
      <c r="D27" s="51" t="s">
        <v>2132</v>
      </c>
      <c r="E27" s="51" t="s">
        <v>2136</v>
      </c>
      <c r="F27" s="60" t="s">
        <v>2158</v>
      </c>
      <c r="G27" s="51" t="s">
        <v>2135</v>
      </c>
      <c r="H27" s="48"/>
      <c r="I27" s="62">
        <v>125</v>
      </c>
    </row>
    <row r="28" spans="1:20" ht="15" x14ac:dyDescent="0.2">
      <c r="A28" s="61" t="s">
        <v>2173</v>
      </c>
      <c r="B28" s="51" t="s">
        <v>2174</v>
      </c>
      <c r="C28" s="54" t="s">
        <v>2161</v>
      </c>
      <c r="D28" s="51" t="s">
        <v>2132</v>
      </c>
      <c r="E28" s="51" t="s">
        <v>2136</v>
      </c>
      <c r="F28" s="60" t="s">
        <v>2102</v>
      </c>
      <c r="G28" s="51" t="s">
        <v>2135</v>
      </c>
      <c r="H28" s="71">
        <v>25</v>
      </c>
      <c r="I28" s="62">
        <v>125</v>
      </c>
    </row>
    <row r="29" spans="1:20" ht="15" x14ac:dyDescent="0.2">
      <c r="A29" s="61" t="s">
        <v>2175</v>
      </c>
      <c r="B29" s="51" t="s">
        <v>2174</v>
      </c>
      <c r="C29" s="54" t="s">
        <v>2176</v>
      </c>
      <c r="D29" s="51" t="s">
        <v>2132</v>
      </c>
      <c r="E29" s="51" t="s">
        <v>2136</v>
      </c>
      <c r="F29" s="60" t="s">
        <v>2102</v>
      </c>
      <c r="G29" s="51" t="s">
        <v>2135</v>
      </c>
      <c r="H29" s="71">
        <v>25</v>
      </c>
      <c r="I29" s="62">
        <v>145</v>
      </c>
    </row>
    <row r="30" spans="1:20" ht="15" x14ac:dyDescent="0.2">
      <c r="A30" s="61" t="s">
        <v>2177</v>
      </c>
      <c r="B30" s="51" t="s">
        <v>2174</v>
      </c>
      <c r="C30" s="54" t="s">
        <v>2178</v>
      </c>
      <c r="D30" s="51" t="s">
        <v>2132</v>
      </c>
      <c r="E30" s="51" t="s">
        <v>2136</v>
      </c>
      <c r="F30" s="60" t="s">
        <v>2102</v>
      </c>
      <c r="G30" s="51" t="s">
        <v>2135</v>
      </c>
      <c r="H30" s="71">
        <v>25</v>
      </c>
      <c r="I30" s="62">
        <v>185</v>
      </c>
    </row>
    <row r="31" spans="1:20" x14ac:dyDescent="0.2">
      <c r="A31" s="49"/>
      <c r="H31" s="48"/>
      <c r="I31" s="48"/>
    </row>
    <row r="32" spans="1:20" ht="16" x14ac:dyDescent="0.2">
      <c r="A32" s="68" t="s">
        <v>2179</v>
      </c>
      <c r="B32" s="66" t="s">
        <v>2180</v>
      </c>
      <c r="C32" s="70">
        <v>1</v>
      </c>
      <c r="D32" s="66" t="s">
        <v>2132</v>
      </c>
      <c r="E32" s="66" t="s">
        <v>2136</v>
      </c>
      <c r="F32" s="64" t="s">
        <v>2181</v>
      </c>
      <c r="G32" s="66" t="s">
        <v>2135</v>
      </c>
      <c r="H32" s="69"/>
      <c r="I32" s="67">
        <v>52</v>
      </c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</row>
    <row r="33" spans="1:9" ht="15" x14ac:dyDescent="0.2">
      <c r="A33" s="61" t="s">
        <v>2182</v>
      </c>
      <c r="B33" s="51" t="s">
        <v>2183</v>
      </c>
      <c r="C33" s="54">
        <v>1</v>
      </c>
      <c r="D33" s="51" t="s">
        <v>2132</v>
      </c>
      <c r="E33" s="51" t="s">
        <v>2136</v>
      </c>
      <c r="F33" s="60" t="s">
        <v>2184</v>
      </c>
      <c r="G33" s="51" t="s">
        <v>2135</v>
      </c>
      <c r="H33" s="48"/>
      <c r="I33" s="62">
        <v>32</v>
      </c>
    </row>
    <row r="34" spans="1:9" ht="15" x14ac:dyDescent="0.2">
      <c r="A34" s="61" t="s">
        <v>2185</v>
      </c>
      <c r="B34" s="51" t="s">
        <v>2186</v>
      </c>
      <c r="D34" s="51" t="s">
        <v>2132</v>
      </c>
      <c r="E34" s="51" t="s">
        <v>2136</v>
      </c>
      <c r="F34" s="60" t="s">
        <v>2187</v>
      </c>
      <c r="G34" s="51" t="s">
        <v>2135</v>
      </c>
      <c r="H34" s="71">
        <v>25</v>
      </c>
      <c r="I34" s="62">
        <v>49</v>
      </c>
    </row>
    <row r="35" spans="1:9" ht="20" customHeight="1" x14ac:dyDescent="0.2">
      <c r="A35" s="61" t="s">
        <v>2185</v>
      </c>
      <c r="B35" s="51" t="s">
        <v>2186</v>
      </c>
      <c r="D35" s="51" t="s">
        <v>2132</v>
      </c>
      <c r="E35" s="51" t="s">
        <v>2136</v>
      </c>
      <c r="F35" s="60" t="s">
        <v>2101</v>
      </c>
      <c r="G35" s="51" t="s">
        <v>2135</v>
      </c>
      <c r="H35" s="71">
        <v>25</v>
      </c>
      <c r="I35" s="62">
        <v>47</v>
      </c>
    </row>
    <row r="36" spans="1:9" ht="15" x14ac:dyDescent="0.2">
      <c r="A36" s="61" t="s">
        <v>2188</v>
      </c>
      <c r="B36" s="51" t="s">
        <v>2189</v>
      </c>
      <c r="D36" s="51" t="s">
        <v>2132</v>
      </c>
      <c r="E36" s="51" t="s">
        <v>2136</v>
      </c>
      <c r="F36" s="60" t="s">
        <v>2187</v>
      </c>
      <c r="G36" s="51" t="s">
        <v>2135</v>
      </c>
      <c r="H36" s="71">
        <v>25</v>
      </c>
      <c r="I36" s="62">
        <v>41</v>
      </c>
    </row>
    <row r="37" spans="1:9" ht="15" x14ac:dyDescent="0.2">
      <c r="A37" s="61" t="s">
        <v>2190</v>
      </c>
      <c r="B37" s="51" t="s">
        <v>2191</v>
      </c>
      <c r="C37" s="54">
        <v>1</v>
      </c>
      <c r="D37" s="51" t="s">
        <v>2132</v>
      </c>
      <c r="E37" s="51" t="s">
        <v>2136</v>
      </c>
      <c r="F37" s="60" t="s">
        <v>2184</v>
      </c>
      <c r="G37" s="51" t="s">
        <v>2135</v>
      </c>
      <c r="H37" s="48"/>
      <c r="I37" s="62">
        <v>62</v>
      </c>
    </row>
    <row r="38" spans="1:9" ht="15" x14ac:dyDescent="0.2">
      <c r="A38" s="61" t="s">
        <v>2190</v>
      </c>
      <c r="B38" s="51" t="s">
        <v>2191</v>
      </c>
      <c r="D38" s="51" t="s">
        <v>2132</v>
      </c>
      <c r="E38" s="51" t="s">
        <v>2136</v>
      </c>
      <c r="F38" s="60" t="s">
        <v>2187</v>
      </c>
      <c r="G38" s="51" t="s">
        <v>2135</v>
      </c>
      <c r="H38" s="71">
        <v>25</v>
      </c>
      <c r="I38" s="62">
        <v>58</v>
      </c>
    </row>
    <row r="39" spans="1:9" ht="15" x14ac:dyDescent="0.2">
      <c r="A39" s="61" t="s">
        <v>2192</v>
      </c>
      <c r="B39" s="51" t="s">
        <v>2193</v>
      </c>
      <c r="C39" s="54">
        <v>1</v>
      </c>
      <c r="D39" s="51" t="s">
        <v>2132</v>
      </c>
      <c r="E39" s="51" t="s">
        <v>2136</v>
      </c>
      <c r="F39" s="60" t="s">
        <v>2184</v>
      </c>
      <c r="G39" s="51" t="s">
        <v>2135</v>
      </c>
      <c r="H39" s="48"/>
      <c r="I39" s="62">
        <v>9.5</v>
      </c>
    </row>
    <row r="40" spans="1:9" ht="15" x14ac:dyDescent="0.2">
      <c r="A40" s="61" t="s">
        <v>2194</v>
      </c>
      <c r="B40" s="51" t="s">
        <v>2195</v>
      </c>
      <c r="D40" s="51" t="s">
        <v>2132</v>
      </c>
      <c r="E40" s="51" t="s">
        <v>2136</v>
      </c>
      <c r="F40" s="60" t="s">
        <v>2187</v>
      </c>
      <c r="G40" s="51" t="s">
        <v>2135</v>
      </c>
      <c r="H40" s="71">
        <v>25</v>
      </c>
      <c r="I40" s="62">
        <v>9.75</v>
      </c>
    </row>
    <row r="41" spans="1:9" ht="15" x14ac:dyDescent="0.2">
      <c r="A41" s="61" t="s">
        <v>2196</v>
      </c>
      <c r="B41" s="51" t="s">
        <v>2197</v>
      </c>
      <c r="C41" s="54">
        <v>1</v>
      </c>
      <c r="D41" s="51" t="s">
        <v>2132</v>
      </c>
      <c r="E41" s="51" t="s">
        <v>2136</v>
      </c>
      <c r="F41" s="60" t="s">
        <v>2198</v>
      </c>
      <c r="G41" s="51" t="s">
        <v>2135</v>
      </c>
      <c r="H41" s="48"/>
      <c r="I41" s="62">
        <v>47</v>
      </c>
    </row>
    <row r="42" spans="1:9" ht="15" x14ac:dyDescent="0.2">
      <c r="A42" s="61" t="s">
        <v>2199</v>
      </c>
      <c r="B42" s="51" t="s">
        <v>2197</v>
      </c>
      <c r="D42" s="51" t="s">
        <v>2132</v>
      </c>
      <c r="E42" s="51" t="s">
        <v>2136</v>
      </c>
      <c r="F42" s="60" t="s">
        <v>2187</v>
      </c>
      <c r="G42" s="51" t="s">
        <v>2135</v>
      </c>
      <c r="H42" s="71">
        <v>25</v>
      </c>
      <c r="I42" s="62">
        <v>9</v>
      </c>
    </row>
    <row r="43" spans="1:9" ht="15" x14ac:dyDescent="0.2">
      <c r="A43" s="61" t="s">
        <v>2200</v>
      </c>
      <c r="B43" s="51" t="s">
        <v>2201</v>
      </c>
      <c r="C43" s="54">
        <v>1</v>
      </c>
      <c r="D43" s="51" t="s">
        <v>2132</v>
      </c>
      <c r="E43" s="51" t="s">
        <v>2136</v>
      </c>
      <c r="F43" s="60" t="s">
        <v>2198</v>
      </c>
      <c r="G43" s="51" t="s">
        <v>2135</v>
      </c>
      <c r="H43" s="48"/>
      <c r="I43" s="62">
        <v>25.2</v>
      </c>
    </row>
    <row r="44" spans="1:9" ht="15" x14ac:dyDescent="0.2">
      <c r="A44" s="61" t="s">
        <v>2202</v>
      </c>
      <c r="B44" s="51" t="s">
        <v>2201</v>
      </c>
      <c r="D44" s="51" t="s">
        <v>2132</v>
      </c>
      <c r="E44" s="51" t="s">
        <v>2136</v>
      </c>
      <c r="F44" s="60" t="s">
        <v>2187</v>
      </c>
      <c r="G44" s="51" t="s">
        <v>2135</v>
      </c>
      <c r="H44" s="71">
        <v>25</v>
      </c>
      <c r="I44" s="62">
        <v>26.5</v>
      </c>
    </row>
    <row r="45" spans="1:9" ht="15" x14ac:dyDescent="0.2">
      <c r="A45" s="61" t="s">
        <v>2203</v>
      </c>
      <c r="B45" s="51" t="s">
        <v>2204</v>
      </c>
      <c r="C45" s="54">
        <v>1</v>
      </c>
      <c r="D45" s="51" t="s">
        <v>2132</v>
      </c>
      <c r="E45" s="51" t="s">
        <v>2136</v>
      </c>
      <c r="F45" s="60" t="s">
        <v>2181</v>
      </c>
      <c r="G45" s="51" t="s">
        <v>2135</v>
      </c>
      <c r="H45" s="48"/>
      <c r="I45" s="62">
        <v>557.79999999999995</v>
      </c>
    </row>
    <row r="46" spans="1:9" ht="15" x14ac:dyDescent="0.2">
      <c r="A46" s="61" t="s">
        <v>2205</v>
      </c>
      <c r="B46" s="51" t="s">
        <v>2204</v>
      </c>
      <c r="C46" s="54">
        <v>1</v>
      </c>
      <c r="D46" s="51" t="s">
        <v>2132</v>
      </c>
      <c r="E46" s="51" t="s">
        <v>2136</v>
      </c>
      <c r="F46" s="60" t="s">
        <v>2187</v>
      </c>
      <c r="G46" s="51" t="s">
        <v>2135</v>
      </c>
      <c r="H46" s="71">
        <v>25</v>
      </c>
      <c r="I46" s="62">
        <v>195</v>
      </c>
    </row>
    <row r="47" spans="1:9" ht="15" x14ac:dyDescent="0.2">
      <c r="A47" s="61" t="s">
        <v>2206</v>
      </c>
      <c r="B47" s="51" t="s">
        <v>2207</v>
      </c>
      <c r="D47" s="51" t="s">
        <v>2132</v>
      </c>
      <c r="E47" s="51" t="s">
        <v>2136</v>
      </c>
      <c r="F47" s="60" t="s">
        <v>2187</v>
      </c>
      <c r="G47" s="51" t="s">
        <v>2135</v>
      </c>
      <c r="H47" s="71">
        <v>25</v>
      </c>
      <c r="I47" s="62">
        <v>9</v>
      </c>
    </row>
    <row r="48" spans="1:9" ht="15" x14ac:dyDescent="0.2">
      <c r="A48" s="61" t="s">
        <v>2208</v>
      </c>
      <c r="B48" s="51" t="s">
        <v>2209</v>
      </c>
      <c r="D48" s="51" t="s">
        <v>2132</v>
      </c>
      <c r="E48" s="51" t="s">
        <v>2136</v>
      </c>
      <c r="F48" s="60" t="s">
        <v>2187</v>
      </c>
      <c r="G48" s="51" t="s">
        <v>2135</v>
      </c>
      <c r="H48" s="71">
        <v>20</v>
      </c>
      <c r="I48" s="62">
        <v>79</v>
      </c>
    </row>
    <row r="49" spans="1:20" ht="15" x14ac:dyDescent="0.2">
      <c r="A49" s="61" t="s">
        <v>2210</v>
      </c>
      <c r="B49" s="51" t="s">
        <v>2209</v>
      </c>
      <c r="C49" s="54">
        <v>1</v>
      </c>
      <c r="D49" s="51" t="s">
        <v>2132</v>
      </c>
      <c r="E49" s="51" t="s">
        <v>2136</v>
      </c>
      <c r="F49" s="60" t="s">
        <v>2181</v>
      </c>
      <c r="G49" s="51" t="s">
        <v>2135</v>
      </c>
      <c r="H49" s="48"/>
      <c r="I49" s="62">
        <v>60</v>
      </c>
    </row>
    <row r="50" spans="1:20" ht="15" x14ac:dyDescent="0.2">
      <c r="A50" s="61" t="s">
        <v>2211</v>
      </c>
      <c r="B50" s="51" t="s">
        <v>2212</v>
      </c>
      <c r="C50" s="54">
        <v>1</v>
      </c>
      <c r="D50" s="51" t="s">
        <v>2132</v>
      </c>
      <c r="E50" s="51" t="s">
        <v>2136</v>
      </c>
      <c r="F50" s="60" t="s">
        <v>2151</v>
      </c>
      <c r="G50" s="51" t="s">
        <v>2135</v>
      </c>
      <c r="H50" s="48"/>
      <c r="I50" s="62">
        <v>5161.18</v>
      </c>
    </row>
    <row r="51" spans="1:20" ht="15" x14ac:dyDescent="0.2">
      <c r="A51" s="61" t="s">
        <v>2213</v>
      </c>
      <c r="B51" s="51" t="s">
        <v>2214</v>
      </c>
      <c r="C51" s="54">
        <v>0.99</v>
      </c>
      <c r="D51" s="51" t="s">
        <v>2132</v>
      </c>
      <c r="E51" s="51" t="s">
        <v>2136</v>
      </c>
      <c r="F51" s="60" t="s">
        <v>2215</v>
      </c>
      <c r="G51" s="51" t="s">
        <v>2135</v>
      </c>
      <c r="H51" s="48"/>
      <c r="I51" s="62">
        <v>8.75</v>
      </c>
    </row>
    <row r="52" spans="1:20" ht="15" x14ac:dyDescent="0.2">
      <c r="A52" s="61" t="s">
        <v>2216</v>
      </c>
      <c r="B52" s="51" t="s">
        <v>2214</v>
      </c>
      <c r="D52" s="51" t="s">
        <v>2132</v>
      </c>
      <c r="E52" s="51" t="s">
        <v>2136</v>
      </c>
      <c r="F52" s="60" t="s">
        <v>2187</v>
      </c>
      <c r="G52" s="51" t="s">
        <v>2135</v>
      </c>
      <c r="H52" s="71">
        <v>100</v>
      </c>
      <c r="I52" s="62">
        <v>5</v>
      </c>
    </row>
    <row r="53" spans="1:20" ht="15" x14ac:dyDescent="0.2">
      <c r="A53" s="61" t="s">
        <v>2217</v>
      </c>
      <c r="B53" s="51" t="s">
        <v>2218</v>
      </c>
      <c r="C53" s="54">
        <v>0.97</v>
      </c>
      <c r="D53" s="51" t="s">
        <v>2132</v>
      </c>
      <c r="E53" s="51" t="s">
        <v>2136</v>
      </c>
      <c r="F53" s="60" t="s">
        <v>2187</v>
      </c>
      <c r="G53" s="51" t="s">
        <v>2135</v>
      </c>
      <c r="H53" s="71">
        <v>100</v>
      </c>
      <c r="I53" s="62">
        <v>5.6</v>
      </c>
    </row>
    <row r="54" spans="1:20" ht="15" x14ac:dyDescent="0.2">
      <c r="A54" s="61" t="s">
        <v>2219</v>
      </c>
      <c r="B54" s="51" t="s">
        <v>2220</v>
      </c>
      <c r="F54" s="60" t="s">
        <v>2187</v>
      </c>
      <c r="G54" s="51" t="s">
        <v>2135</v>
      </c>
      <c r="H54" s="71">
        <v>100</v>
      </c>
      <c r="I54" s="62">
        <v>5.75</v>
      </c>
    </row>
    <row r="55" spans="1:20" ht="15" x14ac:dyDescent="0.2">
      <c r="A55" s="61" t="s">
        <v>2221</v>
      </c>
      <c r="B55" s="51" t="s">
        <v>2222</v>
      </c>
      <c r="D55" s="51" t="s">
        <v>2132</v>
      </c>
      <c r="E55" s="51" t="s">
        <v>2136</v>
      </c>
      <c r="F55" s="60" t="s">
        <v>2187</v>
      </c>
      <c r="H55" s="71">
        <v>100</v>
      </c>
      <c r="I55" s="62">
        <v>5.85</v>
      </c>
    </row>
    <row r="56" spans="1:20" ht="15" x14ac:dyDescent="0.2">
      <c r="A56" s="61" t="s">
        <v>2223</v>
      </c>
      <c r="B56" s="51" t="s">
        <v>2224</v>
      </c>
      <c r="C56" s="54" t="s">
        <v>2225</v>
      </c>
      <c r="D56" s="51" t="s">
        <v>2132</v>
      </c>
      <c r="E56" s="51" t="s">
        <v>2136</v>
      </c>
      <c r="F56" s="60" t="s">
        <v>2102</v>
      </c>
      <c r="G56" s="51" t="s">
        <v>2135</v>
      </c>
      <c r="H56" s="71">
        <v>25</v>
      </c>
      <c r="I56" s="62">
        <v>45</v>
      </c>
    </row>
    <row r="57" spans="1:20" ht="16" x14ac:dyDescent="0.2">
      <c r="A57" s="68" t="s">
        <v>2226</v>
      </c>
      <c r="B57" s="66" t="s">
        <v>2227</v>
      </c>
      <c r="C57" s="70">
        <v>1</v>
      </c>
      <c r="D57" s="66" t="s">
        <v>2132</v>
      </c>
      <c r="E57" s="66" t="s">
        <v>2136</v>
      </c>
      <c r="F57" s="64" t="s">
        <v>2181</v>
      </c>
      <c r="G57" s="66" t="s">
        <v>2135</v>
      </c>
      <c r="H57" s="69"/>
      <c r="I57" s="67">
        <v>23</v>
      </c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1:20" ht="15" x14ac:dyDescent="0.2">
      <c r="A58" s="61" t="s">
        <v>2228</v>
      </c>
      <c r="B58" s="51" t="s">
        <v>2229</v>
      </c>
      <c r="C58" s="54" t="s">
        <v>2230</v>
      </c>
      <c r="D58" s="51" t="s">
        <v>2132</v>
      </c>
      <c r="E58" s="51" t="s">
        <v>2136</v>
      </c>
      <c r="F58" s="60" t="s">
        <v>2102</v>
      </c>
      <c r="G58" s="51" t="s">
        <v>2135</v>
      </c>
      <c r="H58" s="71">
        <v>25</v>
      </c>
      <c r="I58" s="62">
        <v>17</v>
      </c>
    </row>
    <row r="59" spans="1:20" ht="16" x14ac:dyDescent="0.2">
      <c r="A59" s="68" t="s">
        <v>2231</v>
      </c>
      <c r="B59" s="66" t="s">
        <v>2232</v>
      </c>
      <c r="C59" s="72">
        <v>0.77900000000000003</v>
      </c>
      <c r="D59" s="66" t="s">
        <v>2132</v>
      </c>
      <c r="E59" s="66" t="s">
        <v>2136</v>
      </c>
      <c r="F59" s="64" t="s">
        <v>2153</v>
      </c>
      <c r="G59" s="66" t="s">
        <v>2135</v>
      </c>
      <c r="H59" s="69"/>
      <c r="I59" s="67">
        <v>98.43</v>
      </c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</row>
    <row r="60" spans="1:20" ht="15" x14ac:dyDescent="0.2">
      <c r="A60" s="61" t="s">
        <v>2233</v>
      </c>
      <c r="B60" s="51" t="s">
        <v>2234</v>
      </c>
      <c r="C60" s="54" t="s">
        <v>2235</v>
      </c>
      <c r="D60" s="51" t="s">
        <v>2132</v>
      </c>
      <c r="E60" s="51" t="s">
        <v>2136</v>
      </c>
      <c r="F60" s="60" t="s">
        <v>2102</v>
      </c>
      <c r="G60" s="51" t="s">
        <v>2135</v>
      </c>
      <c r="H60" s="71">
        <v>25</v>
      </c>
      <c r="I60" s="62">
        <v>24</v>
      </c>
    </row>
    <row r="61" spans="1:20" ht="15" x14ac:dyDescent="0.2">
      <c r="A61" s="61" t="s">
        <v>2236</v>
      </c>
      <c r="B61" s="51" t="s">
        <v>2237</v>
      </c>
      <c r="C61" s="54">
        <v>1.2999999999999999E-2</v>
      </c>
      <c r="D61" s="51" t="s">
        <v>2132</v>
      </c>
      <c r="E61" s="51" t="s">
        <v>2136</v>
      </c>
      <c r="F61" s="60" t="s">
        <v>2144</v>
      </c>
      <c r="G61" s="51" t="s">
        <v>2135</v>
      </c>
      <c r="H61" s="48"/>
      <c r="I61" s="62">
        <v>395</v>
      </c>
    </row>
    <row r="62" spans="1:20" ht="15" x14ac:dyDescent="0.2">
      <c r="A62" s="61" t="s">
        <v>2238</v>
      </c>
      <c r="B62" s="51" t="s">
        <v>2237</v>
      </c>
      <c r="C62" s="54">
        <v>1.2999999999999999E-2</v>
      </c>
      <c r="D62" s="51" t="s">
        <v>2132</v>
      </c>
      <c r="E62" s="51" t="s">
        <v>2136</v>
      </c>
      <c r="F62" s="60" t="s">
        <v>2181</v>
      </c>
      <c r="G62" s="51" t="s">
        <v>2135</v>
      </c>
      <c r="H62" s="48"/>
      <c r="I62" s="62">
        <v>229</v>
      </c>
    </row>
    <row r="63" spans="1:20" x14ac:dyDescent="0.2">
      <c r="A63" s="49"/>
      <c r="H63" s="48"/>
      <c r="I63" s="48"/>
    </row>
    <row r="64" spans="1:20" ht="15" x14ac:dyDescent="0.2">
      <c r="A64" s="61" t="s">
        <v>2239</v>
      </c>
      <c r="B64" s="51" t="s">
        <v>2240</v>
      </c>
      <c r="C64" s="54" t="s">
        <v>2161</v>
      </c>
      <c r="D64" s="51" t="s">
        <v>2132</v>
      </c>
      <c r="E64" s="51" t="s">
        <v>2136</v>
      </c>
      <c r="F64" s="60" t="s">
        <v>2102</v>
      </c>
      <c r="G64" s="51" t="s">
        <v>2135</v>
      </c>
      <c r="H64" s="71">
        <v>25</v>
      </c>
      <c r="I64" s="62">
        <v>130</v>
      </c>
    </row>
    <row r="65" spans="1:11" x14ac:dyDescent="0.2">
      <c r="A65" s="49"/>
      <c r="H65" s="48"/>
      <c r="I65" s="48"/>
    </row>
    <row r="66" spans="1:11" ht="15" x14ac:dyDescent="0.2">
      <c r="A66" s="61" t="s">
        <v>2241</v>
      </c>
      <c r="B66" s="51" t="s">
        <v>2242</v>
      </c>
      <c r="C66" s="54" t="s">
        <v>2161</v>
      </c>
      <c r="D66" s="51" t="s">
        <v>2132</v>
      </c>
      <c r="E66" s="51" t="s">
        <v>2136</v>
      </c>
      <c r="F66" s="60" t="s">
        <v>2102</v>
      </c>
      <c r="G66" s="51" t="s">
        <v>2135</v>
      </c>
      <c r="H66" s="71">
        <v>25</v>
      </c>
      <c r="I66" s="62">
        <v>80</v>
      </c>
    </row>
    <row r="67" spans="1:11" ht="15" x14ac:dyDescent="0.2">
      <c r="A67" s="61" t="s">
        <v>2243</v>
      </c>
      <c r="B67" s="51" t="s">
        <v>2244</v>
      </c>
      <c r="C67" s="54">
        <v>0.97</v>
      </c>
      <c r="D67" s="51" t="s">
        <v>2132</v>
      </c>
      <c r="E67" s="51" t="s">
        <v>2136</v>
      </c>
      <c r="F67" s="60" t="s">
        <v>2245</v>
      </c>
      <c r="G67" s="51" t="s">
        <v>2135</v>
      </c>
      <c r="H67" s="71">
        <v>25</v>
      </c>
      <c r="I67" s="62">
        <v>110</v>
      </c>
    </row>
    <row r="68" spans="1:11" ht="15" x14ac:dyDescent="0.2">
      <c r="A68" s="61" t="s">
        <v>2246</v>
      </c>
      <c r="B68" s="51" t="s">
        <v>2247</v>
      </c>
      <c r="D68" s="51" t="s">
        <v>2132</v>
      </c>
      <c r="E68" s="51" t="s">
        <v>2136</v>
      </c>
      <c r="F68" s="60" t="s">
        <v>2245</v>
      </c>
      <c r="G68" s="51" t="s">
        <v>2138</v>
      </c>
      <c r="H68" s="71">
        <v>25</v>
      </c>
      <c r="I68" s="62">
        <v>380</v>
      </c>
      <c r="K68" s="51" t="s">
        <v>2248</v>
      </c>
    </row>
    <row r="69" spans="1:11" ht="15" x14ac:dyDescent="0.2">
      <c r="A69" s="61" t="s">
        <v>2246</v>
      </c>
      <c r="B69" s="51" t="s">
        <v>2247</v>
      </c>
      <c r="C69" s="54">
        <v>0.2</v>
      </c>
      <c r="D69" s="51" t="s">
        <v>2132</v>
      </c>
      <c r="E69" s="51" t="s">
        <v>2133</v>
      </c>
      <c r="F69" s="60" t="s">
        <v>2249</v>
      </c>
      <c r="G69" s="51" t="s">
        <v>2135</v>
      </c>
      <c r="H69" s="48"/>
      <c r="I69" s="62">
        <v>61.8</v>
      </c>
    </row>
    <row r="70" spans="1:11" x14ac:dyDescent="0.2">
      <c r="A70" s="49"/>
      <c r="H70" s="48"/>
      <c r="I70" s="48"/>
    </row>
    <row r="71" spans="1:11" ht="15" x14ac:dyDescent="0.2">
      <c r="A71" s="61" t="s">
        <v>2250</v>
      </c>
      <c r="B71" s="51" t="s">
        <v>2251</v>
      </c>
      <c r="C71" s="54">
        <v>0.95</v>
      </c>
      <c r="D71" s="51" t="s">
        <v>2132</v>
      </c>
      <c r="E71" s="51" t="s">
        <v>2136</v>
      </c>
      <c r="F71" s="60" t="s">
        <v>2153</v>
      </c>
      <c r="G71" s="51" t="s">
        <v>2135</v>
      </c>
      <c r="H71" s="48"/>
      <c r="I71" s="62">
        <v>26.83</v>
      </c>
    </row>
    <row r="72" spans="1:11" x14ac:dyDescent="0.2">
      <c r="A72" s="49"/>
      <c r="H72" s="48"/>
      <c r="I72" s="48"/>
    </row>
    <row r="73" spans="1:11" ht="15" x14ac:dyDescent="0.2">
      <c r="A73" s="61" t="s">
        <v>2252</v>
      </c>
      <c r="B73" s="51" t="s">
        <v>2253</v>
      </c>
      <c r="C73" s="54">
        <v>0.95</v>
      </c>
      <c r="D73" s="51" t="s">
        <v>2132</v>
      </c>
      <c r="E73" s="51" t="s">
        <v>2136</v>
      </c>
      <c r="F73" s="60" t="s">
        <v>2254</v>
      </c>
      <c r="G73" s="51" t="s">
        <v>2135</v>
      </c>
      <c r="H73" s="48"/>
      <c r="I73" s="62">
        <v>141.97</v>
      </c>
    </row>
    <row r="74" spans="1:11" x14ac:dyDescent="0.2">
      <c r="A74" s="49"/>
      <c r="H74" s="48"/>
      <c r="I74" s="48"/>
    </row>
    <row r="75" spans="1:11" ht="15" x14ac:dyDescent="0.2">
      <c r="A75" s="61" t="s">
        <v>2255</v>
      </c>
      <c r="B75" s="51" t="s">
        <v>2256</v>
      </c>
      <c r="D75" s="51" t="s">
        <v>2132</v>
      </c>
      <c r="E75" s="51" t="s">
        <v>2136</v>
      </c>
      <c r="F75" s="60" t="s">
        <v>2245</v>
      </c>
      <c r="G75" s="51" t="s">
        <v>2135</v>
      </c>
      <c r="H75" s="48"/>
      <c r="I75" s="62">
        <v>12.5</v>
      </c>
    </row>
    <row r="76" spans="1:11" ht="15" x14ac:dyDescent="0.2">
      <c r="A76" s="61" t="s">
        <v>2257</v>
      </c>
      <c r="B76" s="51" t="s">
        <v>2256</v>
      </c>
      <c r="D76" s="51" t="s">
        <v>2132</v>
      </c>
      <c r="E76" s="51" t="s">
        <v>2136</v>
      </c>
      <c r="F76" s="60" t="s">
        <v>2258</v>
      </c>
      <c r="G76" s="51" t="s">
        <v>2138</v>
      </c>
      <c r="H76" s="48"/>
      <c r="I76" s="62">
        <v>4.3</v>
      </c>
    </row>
    <row r="77" spans="1:11" ht="15" x14ac:dyDescent="0.2">
      <c r="A77" s="61" t="s">
        <v>2259</v>
      </c>
      <c r="B77" s="51" t="s">
        <v>2260</v>
      </c>
      <c r="D77" s="51" t="s">
        <v>2132</v>
      </c>
      <c r="E77" s="51" t="s">
        <v>2136</v>
      </c>
      <c r="H77" s="48"/>
      <c r="I77" s="48"/>
    </row>
    <row r="78" spans="1:11" x14ac:dyDescent="0.2">
      <c r="A78" s="49"/>
      <c r="H78" s="48"/>
      <c r="I78" s="48"/>
    </row>
    <row r="79" spans="1:11" ht="15" x14ac:dyDescent="0.2">
      <c r="A79" s="61" t="s">
        <v>2261</v>
      </c>
      <c r="B79" s="51" t="s">
        <v>2262</v>
      </c>
      <c r="C79" s="54">
        <v>0.9</v>
      </c>
      <c r="D79" s="51" t="s">
        <v>2132</v>
      </c>
      <c r="E79" s="51" t="s">
        <v>2136</v>
      </c>
      <c r="F79" s="60" t="s">
        <v>2263</v>
      </c>
      <c r="G79" s="51" t="s">
        <v>2135</v>
      </c>
      <c r="H79" s="48"/>
      <c r="I79" s="62">
        <v>81</v>
      </c>
    </row>
    <row r="80" spans="1:11" x14ac:dyDescent="0.2">
      <c r="A80" s="49"/>
      <c r="H80" s="48"/>
      <c r="I80" s="48"/>
    </row>
    <row r="81" spans="1:20" ht="15" x14ac:dyDescent="0.2">
      <c r="A81" s="61" t="s">
        <v>2264</v>
      </c>
      <c r="B81" s="51" t="s">
        <v>2265</v>
      </c>
      <c r="C81" s="54">
        <v>0.41</v>
      </c>
      <c r="D81" s="51" t="s">
        <v>2132</v>
      </c>
      <c r="E81" s="51" t="s">
        <v>2136</v>
      </c>
      <c r="F81" s="60" t="s">
        <v>2153</v>
      </c>
      <c r="G81" s="51" t="s">
        <v>2135</v>
      </c>
      <c r="H81" s="48"/>
      <c r="I81" s="62">
        <v>68</v>
      </c>
    </row>
    <row r="82" spans="1:20" x14ac:dyDescent="0.2">
      <c r="A82" s="49"/>
      <c r="H82" s="48"/>
      <c r="I82" s="48"/>
    </row>
    <row r="83" spans="1:20" ht="15" x14ac:dyDescent="0.2">
      <c r="A83" s="61" t="s">
        <v>2266</v>
      </c>
      <c r="B83" s="51" t="s">
        <v>2267</v>
      </c>
      <c r="C83" s="54">
        <v>1</v>
      </c>
      <c r="D83" s="51" t="s">
        <v>2132</v>
      </c>
      <c r="E83" s="51" t="s">
        <v>2136</v>
      </c>
      <c r="F83" s="60" t="s">
        <v>2158</v>
      </c>
      <c r="G83" s="51" t="s">
        <v>2135</v>
      </c>
      <c r="H83" s="48"/>
      <c r="I83" s="62">
        <v>8.5</v>
      </c>
    </row>
    <row r="84" spans="1:20" x14ac:dyDescent="0.2">
      <c r="A84" s="49"/>
      <c r="H84" s="48"/>
      <c r="I84" s="48"/>
    </row>
    <row r="85" spans="1:20" ht="15" x14ac:dyDescent="0.2">
      <c r="A85" s="61" t="s">
        <v>2268</v>
      </c>
      <c r="B85" s="51" t="s">
        <v>2269</v>
      </c>
      <c r="C85" s="54">
        <v>0.9</v>
      </c>
      <c r="D85" s="51" t="s">
        <v>2132</v>
      </c>
      <c r="E85" s="51" t="s">
        <v>2136</v>
      </c>
      <c r="F85" s="60" t="s">
        <v>2270</v>
      </c>
      <c r="G85" s="51" t="s">
        <v>2135</v>
      </c>
      <c r="H85" s="48"/>
      <c r="I85" s="62">
        <v>9</v>
      </c>
    </row>
    <row r="86" spans="1:20" ht="15" x14ac:dyDescent="0.2">
      <c r="A86" s="61" t="s">
        <v>2268</v>
      </c>
      <c r="B86" s="51" t="s">
        <v>2269</v>
      </c>
      <c r="C86" s="54">
        <v>0.9</v>
      </c>
      <c r="D86" s="51" t="s">
        <v>2132</v>
      </c>
      <c r="E86" s="51" t="s">
        <v>2136</v>
      </c>
      <c r="F86" s="60" t="s">
        <v>2271</v>
      </c>
      <c r="G86" s="51" t="s">
        <v>2135</v>
      </c>
      <c r="H86" s="48"/>
      <c r="I86" s="62">
        <v>11.5</v>
      </c>
    </row>
    <row r="87" spans="1:20" ht="16" x14ac:dyDescent="0.2">
      <c r="A87" s="68" t="s">
        <v>2272</v>
      </c>
      <c r="B87" s="66" t="s">
        <v>2273</v>
      </c>
      <c r="C87" s="70">
        <v>1</v>
      </c>
      <c r="D87" s="66" t="s">
        <v>2132</v>
      </c>
      <c r="E87" s="66" t="s">
        <v>2136</v>
      </c>
      <c r="F87" s="64" t="s">
        <v>2274</v>
      </c>
      <c r="G87" s="66" t="s">
        <v>2135</v>
      </c>
      <c r="H87" s="69"/>
      <c r="I87" s="67">
        <v>34.090000000000003</v>
      </c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</row>
    <row r="88" spans="1:20" ht="15" x14ac:dyDescent="0.2">
      <c r="A88" s="61" t="s">
        <v>2275</v>
      </c>
      <c r="B88" s="51" t="s">
        <v>2276</v>
      </c>
      <c r="C88" s="54">
        <v>1</v>
      </c>
      <c r="D88" s="51" t="s">
        <v>2132</v>
      </c>
      <c r="E88" s="51" t="s">
        <v>2136</v>
      </c>
      <c r="F88" s="2" t="s">
        <v>2277</v>
      </c>
      <c r="G88" s="51" t="s">
        <v>2135</v>
      </c>
      <c r="H88" s="48"/>
      <c r="I88" s="48">
        <v>14</v>
      </c>
    </row>
    <row r="89" spans="1:20" ht="20" customHeight="1" x14ac:dyDescent="0.2">
      <c r="A89" s="61" t="s">
        <v>2278</v>
      </c>
      <c r="B89" s="51" t="s">
        <v>2279</v>
      </c>
      <c r="C89" s="54">
        <v>1</v>
      </c>
      <c r="D89" s="51" t="s">
        <v>2132</v>
      </c>
      <c r="E89" s="51" t="s">
        <v>2136</v>
      </c>
      <c r="F89" s="168" t="s">
        <v>2280</v>
      </c>
      <c r="G89" s="172" t="s">
        <v>2135</v>
      </c>
      <c r="H89" s="48"/>
      <c r="I89" s="48">
        <v>15.75</v>
      </c>
      <c r="J89" s="168" t="s">
        <v>1</v>
      </c>
    </row>
    <row r="90" spans="1:20" ht="20" customHeight="1" x14ac:dyDescent="0.2">
      <c r="A90" s="61" t="s">
        <v>2281</v>
      </c>
      <c r="B90" s="51" t="s">
        <v>2282</v>
      </c>
      <c r="C90" s="54">
        <v>1</v>
      </c>
      <c r="D90" s="51" t="s">
        <v>2132</v>
      </c>
      <c r="E90" s="51" t="s">
        <v>2136</v>
      </c>
      <c r="F90" s="169"/>
      <c r="G90" s="172"/>
      <c r="H90" s="48"/>
      <c r="I90" s="48">
        <v>14.5</v>
      </c>
      <c r="J90" s="169"/>
    </row>
    <row r="91" spans="1:20" ht="20" customHeight="1" x14ac:dyDescent="0.2">
      <c r="A91" s="61" t="s">
        <v>2283</v>
      </c>
      <c r="B91" s="51" t="s">
        <v>2284</v>
      </c>
      <c r="C91" s="54">
        <v>1</v>
      </c>
      <c r="D91" s="51" t="s">
        <v>2132</v>
      </c>
      <c r="E91" s="51" t="s">
        <v>2136</v>
      </c>
      <c r="F91" s="169"/>
      <c r="G91" s="172"/>
      <c r="H91" s="48"/>
      <c r="I91" s="48">
        <v>14.9</v>
      </c>
      <c r="J91" s="169"/>
    </row>
    <row r="92" spans="1:20" ht="20" customHeight="1" x14ac:dyDescent="0.2">
      <c r="A92" s="61" t="s">
        <v>2285</v>
      </c>
      <c r="B92" s="51" t="s">
        <v>2286</v>
      </c>
      <c r="C92" s="54">
        <v>1</v>
      </c>
      <c r="D92" s="51" t="s">
        <v>2132</v>
      </c>
      <c r="E92" s="51" t="s">
        <v>2136</v>
      </c>
      <c r="F92" s="169"/>
      <c r="G92" s="172"/>
      <c r="H92" s="48"/>
      <c r="I92" s="48" t="s">
        <v>2287</v>
      </c>
      <c r="J92" s="169"/>
    </row>
    <row r="93" spans="1:20" ht="20" customHeight="1" x14ac:dyDescent="0.2">
      <c r="A93" s="61" t="s">
        <v>2288</v>
      </c>
      <c r="B93" s="51" t="s">
        <v>2289</v>
      </c>
      <c r="C93" s="54">
        <v>1</v>
      </c>
      <c r="D93" s="51" t="s">
        <v>2132</v>
      </c>
      <c r="E93" s="51" t="s">
        <v>2136</v>
      </c>
      <c r="F93" s="169"/>
      <c r="G93" s="172"/>
      <c r="H93" s="48"/>
      <c r="I93" s="48" t="s">
        <v>2287</v>
      </c>
      <c r="J93" s="169"/>
    </row>
    <row r="94" spans="1:20" x14ac:dyDescent="0.2">
      <c r="A94" s="49"/>
      <c r="H94" s="48"/>
      <c r="I94" s="48"/>
    </row>
    <row r="95" spans="1:20" ht="15" x14ac:dyDescent="0.2">
      <c r="A95" s="61" t="s">
        <v>2290</v>
      </c>
      <c r="B95" s="51" t="s">
        <v>2291</v>
      </c>
      <c r="C95" s="54">
        <v>0.7</v>
      </c>
      <c r="D95" s="51" t="s">
        <v>2132</v>
      </c>
      <c r="E95" s="51" t="s">
        <v>2136</v>
      </c>
      <c r="F95" s="60" t="s">
        <v>2292</v>
      </c>
      <c r="G95" s="51" t="s">
        <v>2135</v>
      </c>
      <c r="H95" s="48"/>
      <c r="I95" s="62">
        <v>29</v>
      </c>
    </row>
    <row r="96" spans="1:20" x14ac:dyDescent="0.2">
      <c r="A96" s="49"/>
      <c r="H96" s="48"/>
      <c r="I96" s="48"/>
    </row>
    <row r="97" spans="1:11" ht="15" x14ac:dyDescent="0.2">
      <c r="A97" s="61" t="s">
        <v>2293</v>
      </c>
      <c r="B97" s="51" t="s">
        <v>2294</v>
      </c>
      <c r="C97" s="54">
        <v>0.75</v>
      </c>
      <c r="D97" s="51" t="s">
        <v>2132</v>
      </c>
      <c r="E97" s="51" t="s">
        <v>2136</v>
      </c>
      <c r="F97" s="60" t="s">
        <v>2295</v>
      </c>
      <c r="G97" s="51" t="s">
        <v>2135</v>
      </c>
      <c r="H97" s="48"/>
      <c r="I97" s="62">
        <v>6.48</v>
      </c>
    </row>
    <row r="98" spans="1:11" ht="15" x14ac:dyDescent="0.2">
      <c r="A98" s="61" t="s">
        <v>2296</v>
      </c>
      <c r="B98" s="51" t="s">
        <v>2297</v>
      </c>
      <c r="D98" s="51" t="s">
        <v>2132</v>
      </c>
      <c r="E98" s="51" t="s">
        <v>2136</v>
      </c>
      <c r="F98" s="60" t="s">
        <v>2102</v>
      </c>
      <c r="G98" s="51" t="s">
        <v>2135</v>
      </c>
      <c r="H98" s="48"/>
      <c r="I98" s="62">
        <v>11</v>
      </c>
    </row>
    <row r="99" spans="1:11" x14ac:dyDescent="0.2">
      <c r="A99" s="49"/>
      <c r="H99" s="48"/>
      <c r="I99" s="48"/>
    </row>
    <row r="100" spans="1:11" ht="15" x14ac:dyDescent="0.2">
      <c r="A100" s="61" t="s">
        <v>2298</v>
      </c>
      <c r="B100" s="51" t="s">
        <v>2299</v>
      </c>
      <c r="C100" s="54">
        <v>0.4</v>
      </c>
      <c r="D100" s="51" t="s">
        <v>2132</v>
      </c>
      <c r="E100" s="51" t="s">
        <v>2136</v>
      </c>
      <c r="F100" s="60" t="s">
        <v>2153</v>
      </c>
      <c r="G100" s="51" t="s">
        <v>2135</v>
      </c>
      <c r="H100" s="48"/>
      <c r="I100" s="62">
        <v>40</v>
      </c>
    </row>
    <row r="101" spans="1:11" ht="15" x14ac:dyDescent="0.2">
      <c r="A101" s="61" t="s">
        <v>2300</v>
      </c>
      <c r="B101" s="51" t="s">
        <v>2299</v>
      </c>
      <c r="C101" s="54">
        <v>0.4</v>
      </c>
      <c r="D101" s="51" t="s">
        <v>2132</v>
      </c>
      <c r="E101" s="51" t="s">
        <v>2136</v>
      </c>
      <c r="F101" s="60" t="s">
        <v>2102</v>
      </c>
      <c r="G101" s="51" t="s">
        <v>2135</v>
      </c>
      <c r="H101" s="71">
        <v>25</v>
      </c>
      <c r="I101" s="62">
        <v>21.5</v>
      </c>
    </row>
    <row r="102" spans="1:11" ht="15" x14ac:dyDescent="0.2">
      <c r="A102" s="61" t="s">
        <v>2300</v>
      </c>
      <c r="B102" s="51" t="s">
        <v>2299</v>
      </c>
      <c r="C102" s="54">
        <v>0.2</v>
      </c>
      <c r="D102" s="51" t="s">
        <v>2132</v>
      </c>
      <c r="E102" s="51" t="s">
        <v>2136</v>
      </c>
      <c r="F102" s="60" t="s">
        <v>2102</v>
      </c>
      <c r="G102" s="51" t="s">
        <v>2135</v>
      </c>
      <c r="H102" s="71">
        <v>25</v>
      </c>
      <c r="I102" s="62">
        <v>10</v>
      </c>
    </row>
    <row r="103" spans="1:11" x14ac:dyDescent="0.2">
      <c r="A103" s="49"/>
      <c r="H103" s="48"/>
      <c r="I103" s="48"/>
    </row>
    <row r="104" spans="1:11" ht="15" x14ac:dyDescent="0.2">
      <c r="A104" s="61" t="s">
        <v>2301</v>
      </c>
      <c r="B104" s="51" t="s">
        <v>2302</v>
      </c>
      <c r="D104" s="51" t="s">
        <v>2132</v>
      </c>
      <c r="E104" s="51" t="s">
        <v>2136</v>
      </c>
      <c r="F104" s="60" t="s">
        <v>2303</v>
      </c>
      <c r="G104" s="51" t="s">
        <v>2135</v>
      </c>
      <c r="H104" s="48"/>
      <c r="I104" s="62">
        <v>180</v>
      </c>
    </row>
    <row r="105" spans="1:11" x14ac:dyDescent="0.2">
      <c r="A105" s="49"/>
      <c r="H105" s="48"/>
      <c r="I105" s="48"/>
    </row>
    <row r="106" spans="1:11" ht="15" x14ac:dyDescent="0.2">
      <c r="A106" s="61" t="s">
        <v>2304</v>
      </c>
      <c r="B106" s="51" t="s">
        <v>2305</v>
      </c>
      <c r="C106" s="54">
        <v>0.9</v>
      </c>
      <c r="D106" s="51" t="s">
        <v>2132</v>
      </c>
      <c r="E106" s="51" t="s">
        <v>2136</v>
      </c>
      <c r="F106" s="60" t="s">
        <v>2306</v>
      </c>
      <c r="G106" s="51" t="s">
        <v>2135</v>
      </c>
      <c r="H106" s="48"/>
      <c r="I106" s="62">
        <v>22.6</v>
      </c>
    </row>
    <row r="107" spans="1:11" x14ac:dyDescent="0.2">
      <c r="A107" s="49"/>
      <c r="H107" s="48"/>
      <c r="I107" s="48"/>
    </row>
    <row r="108" spans="1:11" ht="15" x14ac:dyDescent="0.2">
      <c r="A108" s="61" t="s">
        <v>2307</v>
      </c>
      <c r="B108" s="51" t="s">
        <v>2308</v>
      </c>
      <c r="D108" s="51" t="s">
        <v>2132</v>
      </c>
      <c r="E108" s="51" t="s">
        <v>2136</v>
      </c>
      <c r="F108" s="60" t="s">
        <v>2187</v>
      </c>
      <c r="G108" s="51" t="s">
        <v>2135</v>
      </c>
      <c r="H108" s="71">
        <v>25</v>
      </c>
      <c r="I108" s="62">
        <v>46</v>
      </c>
    </row>
    <row r="109" spans="1:11" ht="15" x14ac:dyDescent="0.2">
      <c r="A109" s="61" t="s">
        <v>2309</v>
      </c>
      <c r="B109" s="51" t="s">
        <v>2308</v>
      </c>
      <c r="D109" s="51" t="s">
        <v>2132</v>
      </c>
      <c r="E109" s="51" t="s">
        <v>2136</v>
      </c>
      <c r="F109" s="60" t="s">
        <v>2310</v>
      </c>
      <c r="G109" s="51" t="s">
        <v>2135</v>
      </c>
      <c r="H109" s="48"/>
      <c r="I109" s="62">
        <v>69.16</v>
      </c>
    </row>
    <row r="110" spans="1:11" ht="15" x14ac:dyDescent="0.2">
      <c r="A110" s="61" t="s">
        <v>2311</v>
      </c>
      <c r="B110" s="51" t="s">
        <v>2312</v>
      </c>
      <c r="C110" s="54"/>
      <c r="D110" s="51" t="s">
        <v>2132</v>
      </c>
      <c r="E110" s="51" t="s">
        <v>2136</v>
      </c>
      <c r="F110" s="60" t="s">
        <v>2313</v>
      </c>
      <c r="G110" s="115" t="s">
        <v>2314</v>
      </c>
      <c r="H110" s="48">
        <v>25</v>
      </c>
      <c r="I110" s="48">
        <v>240</v>
      </c>
      <c r="K110" s="2" t="s">
        <v>2315</v>
      </c>
    </row>
    <row r="111" spans="1:11" ht="19" customHeight="1" x14ac:dyDescent="0.2">
      <c r="A111" s="49"/>
      <c r="H111" s="48"/>
      <c r="I111" s="48"/>
    </row>
    <row r="112" spans="1:11" ht="15" x14ac:dyDescent="0.2">
      <c r="A112" s="61" t="s">
        <v>2316</v>
      </c>
      <c r="B112" s="51" t="s">
        <v>2317</v>
      </c>
      <c r="D112" s="51" t="s">
        <v>2132</v>
      </c>
      <c r="E112" s="51" t="s">
        <v>2133</v>
      </c>
      <c r="F112" s="60" t="s">
        <v>2318</v>
      </c>
      <c r="G112" s="51" t="s">
        <v>2135</v>
      </c>
      <c r="H112" s="48"/>
      <c r="I112" s="48">
        <v>73</v>
      </c>
    </row>
    <row r="113" spans="1:20" ht="15" x14ac:dyDescent="0.2">
      <c r="A113" s="61" t="s">
        <v>2319</v>
      </c>
      <c r="B113" s="51" t="s">
        <v>2317</v>
      </c>
      <c r="D113" s="51" t="s">
        <v>2132</v>
      </c>
      <c r="E113" s="51" t="s">
        <v>2133</v>
      </c>
      <c r="F113" s="60" t="s">
        <v>2320</v>
      </c>
      <c r="G113" s="51" t="s">
        <v>2135</v>
      </c>
      <c r="H113" s="48"/>
      <c r="I113" s="62">
        <v>148.49</v>
      </c>
    </row>
    <row r="114" spans="1:20" x14ac:dyDescent="0.2">
      <c r="A114" s="49"/>
      <c r="H114" s="48"/>
      <c r="I114" s="48"/>
    </row>
    <row r="115" spans="1:20" ht="15" x14ac:dyDescent="0.2">
      <c r="A115" s="61" t="s">
        <v>2321</v>
      </c>
      <c r="H115" s="48"/>
      <c r="I115" s="48"/>
    </row>
    <row r="116" spans="1:20" x14ac:dyDescent="0.2">
      <c r="A116" s="49"/>
      <c r="H116" s="48"/>
      <c r="I116" s="48"/>
    </row>
    <row r="117" spans="1:20" ht="16" x14ac:dyDescent="0.2">
      <c r="A117" s="68" t="s">
        <v>2322</v>
      </c>
      <c r="B117" s="66" t="s">
        <v>2323</v>
      </c>
      <c r="C117" s="70">
        <v>0.98</v>
      </c>
      <c r="D117" s="66" t="s">
        <v>2132</v>
      </c>
      <c r="E117" s="66" t="s">
        <v>2136</v>
      </c>
      <c r="F117" s="64" t="s">
        <v>2324</v>
      </c>
      <c r="G117" s="66" t="s">
        <v>2135</v>
      </c>
      <c r="H117" s="69"/>
      <c r="I117" s="67">
        <v>260</v>
      </c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</row>
    <row r="118" spans="1:20" x14ac:dyDescent="0.2">
      <c r="A118" s="49"/>
      <c r="H118" s="48"/>
      <c r="I118" s="48"/>
    </row>
    <row r="119" spans="1:20" ht="15" x14ac:dyDescent="0.2">
      <c r="A119" s="61" t="s">
        <v>2325</v>
      </c>
      <c r="B119" s="51" t="s">
        <v>2326</v>
      </c>
      <c r="C119" s="54">
        <v>0.9</v>
      </c>
      <c r="D119" s="51" t="s">
        <v>2132</v>
      </c>
      <c r="E119" s="51" t="s">
        <v>2136</v>
      </c>
      <c r="F119" s="60" t="s">
        <v>2263</v>
      </c>
      <c r="G119" s="51" t="s">
        <v>2135</v>
      </c>
      <c r="H119" s="48"/>
      <c r="I119" s="62">
        <v>81</v>
      </c>
    </row>
    <row r="120" spans="1:20" x14ac:dyDescent="0.2">
      <c r="A120" s="49"/>
      <c r="H120" s="48"/>
      <c r="I120" s="48"/>
    </row>
    <row r="121" spans="1:20" ht="15" x14ac:dyDescent="0.2">
      <c r="A121" s="61" t="s">
        <v>2327</v>
      </c>
      <c r="B121" s="51" t="s">
        <v>2328</v>
      </c>
      <c r="D121" s="51" t="s">
        <v>2132</v>
      </c>
      <c r="E121" s="51" t="s">
        <v>2136</v>
      </c>
      <c r="F121" s="60" t="s">
        <v>2329</v>
      </c>
      <c r="G121" s="51" t="s">
        <v>2135</v>
      </c>
      <c r="H121" s="48"/>
      <c r="I121" s="62">
        <v>15</v>
      </c>
    </row>
    <row r="122" spans="1:20" x14ac:dyDescent="0.2">
      <c r="A122" s="49"/>
      <c r="H122" s="48"/>
      <c r="I122" s="48"/>
    </row>
    <row r="123" spans="1:20" ht="32" x14ac:dyDescent="0.2">
      <c r="A123" s="61" t="s">
        <v>2330</v>
      </c>
      <c r="B123" s="66" t="s">
        <v>2331</v>
      </c>
      <c r="D123" s="51" t="s">
        <v>2132</v>
      </c>
      <c r="E123" s="51" t="s">
        <v>2133</v>
      </c>
      <c r="F123" s="60" t="s">
        <v>2332</v>
      </c>
      <c r="G123" s="51" t="s">
        <v>2333</v>
      </c>
      <c r="H123" s="48"/>
      <c r="I123" s="62">
        <v>2982</v>
      </c>
    </row>
    <row r="124" spans="1:20" x14ac:dyDescent="0.2">
      <c r="A124" s="49"/>
      <c r="H124" s="48"/>
      <c r="I124" s="48"/>
    </row>
    <row r="125" spans="1:20" ht="15" x14ac:dyDescent="0.2">
      <c r="A125" s="61" t="s">
        <v>2334</v>
      </c>
      <c r="B125" s="51" t="s">
        <v>2335</v>
      </c>
      <c r="C125" s="54" t="s">
        <v>2336</v>
      </c>
      <c r="D125" s="51" t="s">
        <v>2132</v>
      </c>
      <c r="E125" s="51" t="s">
        <v>2136</v>
      </c>
      <c r="F125" s="60" t="s">
        <v>2158</v>
      </c>
      <c r="G125" s="51" t="s">
        <v>2135</v>
      </c>
      <c r="H125" s="48"/>
      <c r="I125" s="62">
        <v>25</v>
      </c>
    </row>
    <row r="126" spans="1:20" x14ac:dyDescent="0.2">
      <c r="A126" s="49"/>
      <c r="H126" s="48"/>
      <c r="I126" s="48"/>
    </row>
    <row r="127" spans="1:20" ht="15" x14ac:dyDescent="0.2">
      <c r="A127" s="61" t="s">
        <v>2337</v>
      </c>
      <c r="B127" s="51" t="s">
        <v>2338</v>
      </c>
      <c r="C127" s="54">
        <v>0.1</v>
      </c>
      <c r="D127" s="51" t="s">
        <v>2132</v>
      </c>
      <c r="E127" s="51" t="s">
        <v>2136</v>
      </c>
      <c r="F127" s="2" t="s">
        <v>2339</v>
      </c>
      <c r="H127" s="48"/>
      <c r="I127" s="48">
        <v>66.5</v>
      </c>
    </row>
    <row r="128" spans="1:20" x14ac:dyDescent="0.2">
      <c r="A128" s="49"/>
      <c r="H128" s="48"/>
      <c r="I128" s="48"/>
    </row>
    <row r="129" spans="1:9" ht="15" x14ac:dyDescent="0.2">
      <c r="A129" s="61" t="s">
        <v>2340</v>
      </c>
      <c r="B129" s="98" t="s">
        <v>2341</v>
      </c>
      <c r="C129" s="54">
        <v>1</v>
      </c>
      <c r="D129" s="51" t="s">
        <v>2132</v>
      </c>
      <c r="E129" s="51" t="s">
        <v>2136</v>
      </c>
      <c r="F129" s="60" t="s">
        <v>2215</v>
      </c>
      <c r="G129" s="51" t="s">
        <v>2135</v>
      </c>
      <c r="H129" s="48"/>
      <c r="I129" s="62">
        <v>180</v>
      </c>
    </row>
    <row r="130" spans="1:9" ht="20" customHeight="1" x14ac:dyDescent="0.2">
      <c r="A130" s="61" t="s">
        <v>2342</v>
      </c>
      <c r="B130" s="98" t="s">
        <v>2343</v>
      </c>
      <c r="C130" s="54">
        <v>1</v>
      </c>
      <c r="D130" s="51" t="s">
        <v>2132</v>
      </c>
      <c r="E130" s="51" t="s">
        <v>2136</v>
      </c>
      <c r="F130" s="60" t="s">
        <v>2101</v>
      </c>
      <c r="G130" s="51" t="s">
        <v>2135</v>
      </c>
      <c r="H130" s="48"/>
      <c r="I130" s="62">
        <v>90</v>
      </c>
    </row>
    <row r="131" spans="1:9" x14ac:dyDescent="0.2">
      <c r="A131" s="49"/>
      <c r="H131" s="48"/>
      <c r="I131" s="48"/>
    </row>
    <row r="132" spans="1:9" ht="15" x14ac:dyDescent="0.2">
      <c r="A132" s="61" t="s">
        <v>2344</v>
      </c>
      <c r="B132" s="51" t="s">
        <v>2345</v>
      </c>
      <c r="C132" s="54">
        <v>0.01</v>
      </c>
      <c r="D132" s="51" t="s">
        <v>2132</v>
      </c>
      <c r="E132" s="51" t="s">
        <v>2136</v>
      </c>
      <c r="F132" s="60" t="s">
        <v>2158</v>
      </c>
      <c r="G132" s="51" t="s">
        <v>2135</v>
      </c>
      <c r="H132" s="48"/>
      <c r="I132" s="48"/>
    </row>
    <row r="133" spans="1:9" ht="15" x14ac:dyDescent="0.2">
      <c r="A133" s="61"/>
      <c r="B133" s="51"/>
      <c r="C133" s="54"/>
      <c r="D133" s="51"/>
      <c r="E133" s="51"/>
      <c r="F133" s="60"/>
      <c r="G133" s="51"/>
      <c r="H133" s="48"/>
      <c r="I133" s="48"/>
    </row>
    <row r="134" spans="1:9" ht="15" x14ac:dyDescent="0.2">
      <c r="A134" s="61" t="s">
        <v>2346</v>
      </c>
      <c r="B134" s="51" t="s">
        <v>2347</v>
      </c>
      <c r="C134" s="54">
        <v>0.3</v>
      </c>
      <c r="D134" s="51" t="s">
        <v>2132</v>
      </c>
      <c r="E134" s="51" t="s">
        <v>2136</v>
      </c>
      <c r="F134" s="60" t="s">
        <v>2348</v>
      </c>
      <c r="G134" s="51" t="s">
        <v>2135</v>
      </c>
      <c r="H134" s="48"/>
      <c r="I134" s="48">
        <v>10.5</v>
      </c>
    </row>
    <row r="135" spans="1:9" ht="15" x14ac:dyDescent="0.2">
      <c r="A135" s="61"/>
      <c r="B135" s="51"/>
      <c r="C135" s="54"/>
      <c r="D135" s="51"/>
      <c r="E135" s="51"/>
      <c r="F135" s="60"/>
      <c r="G135" s="51"/>
      <c r="H135" s="48"/>
      <c r="I135" s="48"/>
    </row>
    <row r="136" spans="1:9" ht="15" x14ac:dyDescent="0.2">
      <c r="A136" s="61" t="s">
        <v>2349</v>
      </c>
      <c r="B136" s="51" t="s">
        <v>2350</v>
      </c>
      <c r="C136" s="54"/>
      <c r="D136" s="51" t="s">
        <v>2132</v>
      </c>
      <c r="E136" s="51" t="s">
        <v>2136</v>
      </c>
      <c r="F136" s="60" t="s">
        <v>2101</v>
      </c>
      <c r="G136" s="51" t="s">
        <v>2135</v>
      </c>
      <c r="H136" s="48"/>
      <c r="I136" s="48">
        <v>10.3</v>
      </c>
    </row>
    <row r="137" spans="1:9" ht="15" x14ac:dyDescent="0.2">
      <c r="A137" s="61" t="s">
        <v>2351</v>
      </c>
      <c r="B137" s="51" t="s">
        <v>2352</v>
      </c>
      <c r="C137" s="54"/>
      <c r="D137" s="51" t="s">
        <v>2132</v>
      </c>
      <c r="E137" s="51" t="s">
        <v>2136</v>
      </c>
      <c r="F137" s="60" t="s">
        <v>2101</v>
      </c>
      <c r="G137" s="51" t="s">
        <v>2135</v>
      </c>
      <c r="H137" s="48"/>
      <c r="I137" s="48">
        <v>6.1</v>
      </c>
    </row>
    <row r="138" spans="1:9" ht="16" x14ac:dyDescent="0.2">
      <c r="A138" s="53" t="s">
        <v>2353</v>
      </c>
      <c r="B138" s="51" t="s">
        <v>2354</v>
      </c>
      <c r="C138" s="54"/>
      <c r="D138" s="51" t="s">
        <v>2132</v>
      </c>
      <c r="E138" s="51" t="s">
        <v>2136</v>
      </c>
      <c r="F138" s="60" t="s">
        <v>2101</v>
      </c>
      <c r="G138" s="51" t="s">
        <v>2135</v>
      </c>
      <c r="H138" s="48"/>
      <c r="I138" s="48">
        <v>9</v>
      </c>
    </row>
    <row r="139" spans="1:9" ht="15" x14ac:dyDescent="0.2">
      <c r="A139" s="61" t="s">
        <v>2355</v>
      </c>
      <c r="B139" s="51" t="s">
        <v>2356</v>
      </c>
      <c r="C139" s="54"/>
      <c r="D139" s="51" t="s">
        <v>2132</v>
      </c>
      <c r="E139" s="51" t="s">
        <v>2136</v>
      </c>
      <c r="F139" s="60" t="s">
        <v>2101</v>
      </c>
      <c r="G139" s="51" t="s">
        <v>2135</v>
      </c>
      <c r="H139" s="48"/>
      <c r="I139" s="48">
        <v>13.2</v>
      </c>
    </row>
    <row r="140" spans="1:9" ht="17" x14ac:dyDescent="0.2">
      <c r="A140" s="103" t="s">
        <v>2357</v>
      </c>
      <c r="B140" s="104" t="s">
        <v>2358</v>
      </c>
      <c r="C140" s="54"/>
      <c r="D140" s="51" t="s">
        <v>2132</v>
      </c>
      <c r="E140" s="51" t="s">
        <v>2136</v>
      </c>
      <c r="F140" s="60" t="s">
        <v>2270</v>
      </c>
      <c r="G140" s="51" t="s">
        <v>2135</v>
      </c>
      <c r="H140" s="48"/>
      <c r="I140" s="48">
        <v>16</v>
      </c>
    </row>
    <row r="141" spans="1:9" ht="15" x14ac:dyDescent="0.2">
      <c r="A141" s="61"/>
      <c r="B141" s="51"/>
      <c r="C141" s="54"/>
      <c r="D141" s="51"/>
      <c r="E141" s="51"/>
      <c r="F141" s="60"/>
      <c r="G141" s="51"/>
      <c r="H141" s="48"/>
      <c r="I141" s="48"/>
    </row>
    <row r="142" spans="1:9" ht="15" x14ac:dyDescent="0.2">
      <c r="A142" s="61" t="s">
        <v>2359</v>
      </c>
      <c r="B142" s="51" t="s">
        <v>2360</v>
      </c>
      <c r="C142" s="54"/>
      <c r="D142" s="51" t="s">
        <v>2132</v>
      </c>
      <c r="E142" s="51" t="s">
        <v>2136</v>
      </c>
      <c r="F142" s="60" t="s">
        <v>2270</v>
      </c>
      <c r="G142" s="51" t="s">
        <v>2135</v>
      </c>
      <c r="H142" s="48"/>
      <c r="I142" s="48">
        <v>10</v>
      </c>
    </row>
    <row r="143" spans="1:9" ht="15" x14ac:dyDescent="0.2">
      <c r="A143" s="61"/>
      <c r="B143" s="51"/>
      <c r="C143" s="54"/>
      <c r="D143" s="51"/>
      <c r="E143" s="51"/>
      <c r="F143" s="60"/>
      <c r="G143" s="51"/>
      <c r="H143" s="48"/>
      <c r="I143" s="48"/>
    </row>
    <row r="144" spans="1:9" ht="15" x14ac:dyDescent="0.2">
      <c r="A144" s="61" t="s">
        <v>2361</v>
      </c>
      <c r="B144" s="51" t="s">
        <v>2362</v>
      </c>
      <c r="C144" s="54"/>
      <c r="D144" s="51" t="s">
        <v>2132</v>
      </c>
      <c r="E144" s="51" t="s">
        <v>2136</v>
      </c>
      <c r="F144" s="60" t="s">
        <v>2270</v>
      </c>
      <c r="G144" s="51" t="s">
        <v>2135</v>
      </c>
      <c r="H144" s="48"/>
      <c r="I144" s="48">
        <v>11</v>
      </c>
    </row>
    <row r="145" spans="1:11" ht="15" x14ac:dyDescent="0.2">
      <c r="A145" s="61"/>
      <c r="B145" s="51"/>
      <c r="C145" s="54"/>
      <c r="D145" s="51"/>
      <c r="E145" s="51"/>
      <c r="F145" s="60"/>
      <c r="G145" s="51"/>
      <c r="H145" s="48"/>
      <c r="I145" s="48"/>
    </row>
    <row r="146" spans="1:11" ht="15" x14ac:dyDescent="0.2">
      <c r="A146" s="61" t="s">
        <v>2363</v>
      </c>
      <c r="B146" s="51" t="s">
        <v>2364</v>
      </c>
      <c r="C146" s="54"/>
      <c r="D146" s="51" t="s">
        <v>2132</v>
      </c>
      <c r="E146" s="51" t="s">
        <v>2136</v>
      </c>
      <c r="F146" s="60" t="s">
        <v>2270</v>
      </c>
      <c r="G146" s="51" t="s">
        <v>2135</v>
      </c>
      <c r="H146" s="48"/>
      <c r="I146" s="48">
        <v>750</v>
      </c>
    </row>
    <row r="147" spans="1:11" ht="15" x14ac:dyDescent="0.2">
      <c r="A147" s="61"/>
      <c r="B147" s="51"/>
      <c r="C147" s="54"/>
      <c r="D147" s="51"/>
      <c r="E147" s="51"/>
      <c r="F147" s="60"/>
      <c r="G147" s="51"/>
      <c r="H147" s="48"/>
      <c r="I147" s="48"/>
    </row>
    <row r="148" spans="1:11" ht="15" x14ac:dyDescent="0.2">
      <c r="A148" s="61" t="s">
        <v>2365</v>
      </c>
      <c r="B148" s="51" t="s">
        <v>2366</v>
      </c>
      <c r="C148" s="54"/>
      <c r="D148" s="51" t="s">
        <v>2132</v>
      </c>
      <c r="E148" s="51" t="s">
        <v>2136</v>
      </c>
      <c r="F148" s="60" t="s">
        <v>2313</v>
      </c>
      <c r="G148" s="51" t="s">
        <v>2314</v>
      </c>
      <c r="H148" s="48">
        <v>25</v>
      </c>
      <c r="I148" s="48">
        <v>140</v>
      </c>
      <c r="K148" s="2" t="s">
        <v>2315</v>
      </c>
    </row>
    <row r="149" spans="1:11" ht="15" x14ac:dyDescent="0.2">
      <c r="A149" s="61"/>
      <c r="B149" s="51"/>
      <c r="C149" s="54"/>
      <c r="D149" s="51"/>
      <c r="E149" s="51"/>
      <c r="F149" s="60"/>
      <c r="G149" s="51"/>
      <c r="H149" s="48"/>
      <c r="I149" s="48"/>
    </row>
    <row r="150" spans="1:11" ht="15" x14ac:dyDescent="0.2">
      <c r="A150" s="49" t="s">
        <v>2367</v>
      </c>
      <c r="B150" s="2" t="s">
        <v>2152</v>
      </c>
      <c r="D150" s="51" t="s">
        <v>2132</v>
      </c>
      <c r="E150" s="51" t="s">
        <v>2136</v>
      </c>
      <c r="F150" s="2" t="s">
        <v>2368</v>
      </c>
      <c r="G150" s="51" t="s">
        <v>2135</v>
      </c>
      <c r="H150" s="48"/>
      <c r="I150" s="48">
        <v>74</v>
      </c>
    </row>
    <row r="151" spans="1:11" ht="15" x14ac:dyDescent="0.2">
      <c r="A151" s="61"/>
      <c r="B151" s="51"/>
      <c r="C151" s="54"/>
      <c r="D151" s="51"/>
      <c r="E151" s="51"/>
      <c r="F151" s="60"/>
      <c r="G151" s="51"/>
      <c r="H151" s="48"/>
      <c r="I151" s="48"/>
    </row>
    <row r="152" spans="1:11" ht="32" x14ac:dyDescent="0.2">
      <c r="A152" s="53" t="s">
        <v>2369</v>
      </c>
      <c r="B152" s="97" t="s">
        <v>2370</v>
      </c>
      <c r="C152" s="54"/>
      <c r="D152" s="51"/>
      <c r="E152" s="51"/>
      <c r="F152" s="52" t="s">
        <v>2371</v>
      </c>
      <c r="G152" s="51"/>
      <c r="H152" s="52" t="s">
        <v>2372</v>
      </c>
      <c r="I152" s="55" t="s">
        <v>2373</v>
      </c>
    </row>
    <row r="153" spans="1:11" ht="16" x14ac:dyDescent="0.2">
      <c r="A153" s="53" t="s">
        <v>2369</v>
      </c>
      <c r="B153" s="50" t="s">
        <v>2370</v>
      </c>
      <c r="C153" s="54"/>
      <c r="D153" s="51"/>
      <c r="E153" s="51"/>
      <c r="F153" s="52" t="s">
        <v>2374</v>
      </c>
      <c r="G153" s="51"/>
      <c r="H153" s="52" t="s">
        <v>2375</v>
      </c>
      <c r="I153" s="56">
        <v>185</v>
      </c>
    </row>
    <row r="154" spans="1:11" ht="32" x14ac:dyDescent="0.2">
      <c r="A154" s="53" t="s">
        <v>2369</v>
      </c>
      <c r="B154" s="50" t="s">
        <v>2370</v>
      </c>
      <c r="C154" s="54"/>
      <c r="D154" s="51"/>
      <c r="E154" s="51"/>
      <c r="F154" s="52" t="s">
        <v>2376</v>
      </c>
      <c r="G154" s="51"/>
      <c r="H154" s="52" t="s">
        <v>2377</v>
      </c>
      <c r="I154" s="56">
        <v>145</v>
      </c>
    </row>
    <row r="155" spans="1:11" ht="32" x14ac:dyDescent="0.2">
      <c r="A155" s="53" t="s">
        <v>2369</v>
      </c>
      <c r="B155" s="50" t="s">
        <v>2370</v>
      </c>
      <c r="C155" s="54"/>
      <c r="D155" s="51"/>
      <c r="E155" s="51"/>
      <c r="F155" s="52" t="s">
        <v>2378</v>
      </c>
      <c r="G155" s="51"/>
      <c r="H155" s="52" t="s">
        <v>2379</v>
      </c>
      <c r="I155" s="56">
        <v>189</v>
      </c>
    </row>
    <row r="156" spans="1:11" ht="32" x14ac:dyDescent="0.2">
      <c r="A156" s="53" t="s">
        <v>2369</v>
      </c>
      <c r="B156" s="50" t="s">
        <v>2370</v>
      </c>
      <c r="C156" s="54"/>
      <c r="D156" s="51"/>
      <c r="E156" s="51"/>
      <c r="F156" s="52" t="s">
        <v>2380</v>
      </c>
      <c r="G156" s="51"/>
      <c r="H156" s="52" t="s">
        <v>2381</v>
      </c>
      <c r="I156" s="56">
        <v>245</v>
      </c>
    </row>
    <row r="157" spans="1:11" ht="32" x14ac:dyDescent="0.2">
      <c r="A157" s="53" t="s">
        <v>2382</v>
      </c>
      <c r="B157" s="50" t="s">
        <v>2383</v>
      </c>
      <c r="C157" s="54"/>
      <c r="D157" s="51"/>
      <c r="E157" s="51"/>
      <c r="F157" s="52" t="s">
        <v>2371</v>
      </c>
      <c r="G157" s="51"/>
      <c r="H157" s="52"/>
      <c r="I157" s="55"/>
    </row>
    <row r="158" spans="1:11" ht="32" x14ac:dyDescent="0.2">
      <c r="A158" s="53" t="s">
        <v>2384</v>
      </c>
      <c r="B158" s="50" t="s">
        <v>2385</v>
      </c>
      <c r="C158" s="54"/>
      <c r="D158" s="51"/>
      <c r="E158" s="51"/>
      <c r="F158" s="52" t="s">
        <v>2386</v>
      </c>
      <c r="G158" s="51"/>
      <c r="H158" s="52" t="s">
        <v>2387</v>
      </c>
      <c r="I158" s="56">
        <v>48</v>
      </c>
    </row>
    <row r="159" spans="1:11" ht="16" x14ac:dyDescent="0.2">
      <c r="A159" s="53" t="s">
        <v>2384</v>
      </c>
      <c r="B159" s="50" t="s">
        <v>2385</v>
      </c>
      <c r="C159" s="54"/>
      <c r="D159" s="51"/>
      <c r="E159" s="51"/>
      <c r="F159" s="52" t="s">
        <v>2374</v>
      </c>
      <c r="G159" s="51"/>
      <c r="H159" s="52" t="s">
        <v>2387</v>
      </c>
      <c r="I159" s="56">
        <v>58</v>
      </c>
    </row>
    <row r="160" spans="1:11" ht="32" x14ac:dyDescent="0.2">
      <c r="A160" s="53" t="s">
        <v>2388</v>
      </c>
      <c r="B160" s="50" t="s">
        <v>2389</v>
      </c>
      <c r="C160" s="54"/>
      <c r="D160" s="51"/>
      <c r="E160" s="51"/>
      <c r="F160" s="52" t="s">
        <v>2376</v>
      </c>
      <c r="G160" s="51"/>
      <c r="H160" s="52" t="s">
        <v>2390</v>
      </c>
      <c r="I160" s="56">
        <v>65</v>
      </c>
    </row>
    <row r="161" spans="1:9" ht="32" x14ac:dyDescent="0.2">
      <c r="A161" s="86" t="s">
        <v>2391</v>
      </c>
      <c r="B161" s="85" t="s">
        <v>2392</v>
      </c>
      <c r="C161" s="54"/>
      <c r="D161" s="51"/>
      <c r="E161" s="51"/>
      <c r="F161" s="52" t="s">
        <v>2386</v>
      </c>
      <c r="G161" s="51"/>
      <c r="H161" s="52" t="s">
        <v>2387</v>
      </c>
      <c r="I161" s="56">
        <v>22</v>
      </c>
    </row>
    <row r="162" spans="1:9" ht="32" x14ac:dyDescent="0.2">
      <c r="A162" s="86" t="s">
        <v>2391</v>
      </c>
      <c r="B162" s="85" t="s">
        <v>2392</v>
      </c>
      <c r="C162" s="54"/>
      <c r="D162" s="51"/>
      <c r="E162" s="51"/>
      <c r="F162" s="52" t="s">
        <v>2376</v>
      </c>
      <c r="G162" s="51"/>
      <c r="H162" s="52" t="s">
        <v>2393</v>
      </c>
      <c r="I162" s="56">
        <v>25</v>
      </c>
    </row>
    <row r="163" spans="1:9" ht="16" x14ac:dyDescent="0.2">
      <c r="A163" s="86" t="s">
        <v>2394</v>
      </c>
      <c r="B163" s="85" t="s">
        <v>2395</v>
      </c>
      <c r="C163" s="54"/>
      <c r="D163" s="51"/>
      <c r="E163" s="51"/>
      <c r="F163" s="52" t="s">
        <v>2374</v>
      </c>
      <c r="G163" s="51"/>
      <c r="H163" s="52" t="s">
        <v>2387</v>
      </c>
      <c r="I163" s="56">
        <v>33</v>
      </c>
    </row>
    <row r="164" spans="1:9" ht="16" x14ac:dyDescent="0.2">
      <c r="A164" s="53" t="s">
        <v>2396</v>
      </c>
      <c r="B164" s="50" t="s">
        <v>2397</v>
      </c>
      <c r="C164" s="54"/>
      <c r="D164" s="51"/>
      <c r="E164" s="51"/>
      <c r="F164" s="52" t="s">
        <v>2374</v>
      </c>
      <c r="G164" s="51"/>
      <c r="H164" s="52" t="s">
        <v>2387</v>
      </c>
      <c r="I164" s="56">
        <v>188</v>
      </c>
    </row>
    <row r="165" spans="1:9" ht="32" x14ac:dyDescent="0.2">
      <c r="A165" s="53" t="s">
        <v>2398</v>
      </c>
      <c r="B165" s="50" t="s">
        <v>2399</v>
      </c>
      <c r="C165" s="54"/>
      <c r="D165" s="51"/>
      <c r="E165" s="51"/>
      <c r="F165" s="52" t="s">
        <v>2376</v>
      </c>
      <c r="G165" s="51"/>
      <c r="H165" s="52" t="s">
        <v>2400</v>
      </c>
      <c r="I165" s="56">
        <v>75</v>
      </c>
    </row>
    <row r="166" spans="1:9" ht="16" x14ac:dyDescent="0.2">
      <c r="A166" s="53" t="s">
        <v>2398</v>
      </c>
      <c r="B166" s="50" t="s">
        <v>2401</v>
      </c>
      <c r="C166" s="54"/>
      <c r="D166" s="51"/>
      <c r="E166" s="51"/>
      <c r="F166" s="52" t="s">
        <v>2402</v>
      </c>
      <c r="G166" s="51"/>
      <c r="H166" s="52" t="s">
        <v>2379</v>
      </c>
      <c r="I166" s="56">
        <v>115</v>
      </c>
    </row>
    <row r="167" spans="1:9" ht="16" x14ac:dyDescent="0.2">
      <c r="A167" s="53" t="s">
        <v>2403</v>
      </c>
      <c r="B167" s="50" t="s">
        <v>2404</v>
      </c>
      <c r="C167" s="54"/>
      <c r="D167" s="51"/>
      <c r="E167" s="51"/>
      <c r="F167" s="52" t="s">
        <v>2374</v>
      </c>
      <c r="G167" s="51"/>
      <c r="H167" s="52" t="s">
        <v>2405</v>
      </c>
      <c r="I167" s="56">
        <v>118</v>
      </c>
    </row>
    <row r="168" spans="1:9" ht="16" x14ac:dyDescent="0.2">
      <c r="A168" s="53" t="s">
        <v>2406</v>
      </c>
      <c r="B168" s="50" t="s">
        <v>2407</v>
      </c>
      <c r="C168" s="54"/>
      <c r="D168" s="51"/>
      <c r="E168" s="51"/>
      <c r="F168" s="52" t="s">
        <v>2374</v>
      </c>
      <c r="G168" s="51"/>
      <c r="H168" s="52" t="s">
        <v>2408</v>
      </c>
      <c r="I168" s="56">
        <v>68.12</v>
      </c>
    </row>
    <row r="169" spans="1:9" ht="32" x14ac:dyDescent="0.2">
      <c r="A169" s="53" t="s">
        <v>2406</v>
      </c>
      <c r="B169" s="50" t="s">
        <v>2407</v>
      </c>
      <c r="C169" s="54"/>
      <c r="D169" s="51"/>
      <c r="E169" s="51"/>
      <c r="F169" s="52" t="s">
        <v>2409</v>
      </c>
      <c r="G169" s="51"/>
      <c r="H169" s="52"/>
      <c r="I169" s="56">
        <v>28.62</v>
      </c>
    </row>
    <row r="170" spans="1:9" ht="16" x14ac:dyDescent="0.2">
      <c r="A170" s="53" t="s">
        <v>2410</v>
      </c>
      <c r="B170" s="50" t="s">
        <v>2411</v>
      </c>
      <c r="C170" s="54"/>
      <c r="D170" s="51"/>
      <c r="E170" s="51"/>
      <c r="F170" s="52" t="s">
        <v>2374</v>
      </c>
      <c r="G170" s="51"/>
      <c r="H170" s="52" t="s">
        <v>2387</v>
      </c>
      <c r="I170" s="56">
        <v>160</v>
      </c>
    </row>
    <row r="171" spans="1:9" ht="32" x14ac:dyDescent="0.2">
      <c r="A171" s="53" t="s">
        <v>2410</v>
      </c>
      <c r="B171" s="50" t="s">
        <v>2411</v>
      </c>
      <c r="C171" s="54"/>
      <c r="D171" s="51"/>
      <c r="E171" s="51"/>
      <c r="F171" s="52" t="s">
        <v>2378</v>
      </c>
      <c r="G171" s="51"/>
      <c r="H171" s="52" t="s">
        <v>2379</v>
      </c>
      <c r="I171" s="56">
        <v>95.55</v>
      </c>
    </row>
    <row r="172" spans="1:9" ht="32" x14ac:dyDescent="0.2">
      <c r="A172" s="53" t="s">
        <v>2410</v>
      </c>
      <c r="B172" s="50" t="s">
        <v>2411</v>
      </c>
      <c r="C172" s="54"/>
      <c r="D172" s="51"/>
      <c r="E172" s="51"/>
      <c r="F172" s="52" t="s">
        <v>2376</v>
      </c>
      <c r="G172" s="51"/>
      <c r="H172" s="52" t="s">
        <v>2379</v>
      </c>
      <c r="I172" s="56">
        <v>165</v>
      </c>
    </row>
    <row r="173" spans="1:9" ht="32" x14ac:dyDescent="0.2">
      <c r="A173" s="53" t="s">
        <v>2412</v>
      </c>
      <c r="B173" s="50" t="s">
        <v>2413</v>
      </c>
      <c r="C173" s="54"/>
      <c r="D173" s="51"/>
      <c r="E173" s="51"/>
      <c r="F173" s="52" t="s">
        <v>2386</v>
      </c>
      <c r="G173" s="51"/>
      <c r="H173" s="52"/>
      <c r="I173" s="56">
        <v>17</v>
      </c>
    </row>
    <row r="174" spans="1:9" ht="32" x14ac:dyDescent="0.2">
      <c r="A174" s="53" t="s">
        <v>2414</v>
      </c>
      <c r="B174" s="50" t="s">
        <v>2415</v>
      </c>
      <c r="C174" s="54"/>
      <c r="D174" s="51"/>
      <c r="E174" s="51"/>
      <c r="F174" s="52" t="s">
        <v>2386</v>
      </c>
      <c r="G174" s="51"/>
      <c r="H174" s="52" t="s">
        <v>2416</v>
      </c>
      <c r="I174" s="56">
        <v>18</v>
      </c>
    </row>
    <row r="175" spans="1:9" ht="32" x14ac:dyDescent="0.2">
      <c r="A175" s="53" t="s">
        <v>2417</v>
      </c>
      <c r="B175" s="50" t="s">
        <v>2418</v>
      </c>
      <c r="C175" s="54"/>
      <c r="D175" s="51"/>
      <c r="E175" s="51"/>
      <c r="F175" s="52" t="s">
        <v>2386</v>
      </c>
      <c r="G175" s="51"/>
      <c r="H175" s="52" t="s">
        <v>2405</v>
      </c>
      <c r="I175" s="56">
        <v>9.5</v>
      </c>
    </row>
    <row r="176" spans="1:9" ht="16" x14ac:dyDescent="0.2">
      <c r="A176" s="53" t="s">
        <v>2419</v>
      </c>
      <c r="B176" s="50" t="s">
        <v>2420</v>
      </c>
      <c r="C176" s="54"/>
      <c r="D176" s="51"/>
      <c r="E176" s="51"/>
      <c r="F176" s="52" t="s">
        <v>2421</v>
      </c>
      <c r="G176" s="51"/>
      <c r="H176" s="52" t="s">
        <v>2379</v>
      </c>
      <c r="I176" s="56">
        <v>62</v>
      </c>
    </row>
    <row r="177" spans="1:9" ht="32" x14ac:dyDescent="0.2">
      <c r="A177" s="53" t="s">
        <v>2422</v>
      </c>
      <c r="B177" s="50" t="s">
        <v>2423</v>
      </c>
      <c r="C177" s="54"/>
      <c r="D177" s="51"/>
      <c r="E177" s="51"/>
      <c r="F177" s="52" t="s">
        <v>2376</v>
      </c>
      <c r="G177" s="51"/>
      <c r="H177" s="52" t="s">
        <v>2379</v>
      </c>
      <c r="I177" s="56">
        <v>420</v>
      </c>
    </row>
    <row r="178" spans="1:9" ht="32" x14ac:dyDescent="0.2">
      <c r="A178" s="53" t="s">
        <v>2424</v>
      </c>
      <c r="B178" s="50" t="s">
        <v>2425</v>
      </c>
      <c r="C178" s="54"/>
      <c r="D178" s="51"/>
      <c r="E178" s="51"/>
      <c r="F178" s="52" t="s">
        <v>2380</v>
      </c>
      <c r="G178" s="51"/>
      <c r="H178" s="52" t="s">
        <v>2426</v>
      </c>
      <c r="I178" s="56">
        <v>245</v>
      </c>
    </row>
    <row r="179" spans="1:9" ht="32" x14ac:dyDescent="0.2">
      <c r="A179" s="53" t="s">
        <v>2147</v>
      </c>
      <c r="B179" s="50" t="s">
        <v>2148</v>
      </c>
      <c r="C179" s="54"/>
      <c r="D179" s="51"/>
      <c r="E179" s="51"/>
      <c r="F179" s="52" t="s">
        <v>2380</v>
      </c>
      <c r="G179" s="51"/>
      <c r="H179" s="52" t="s">
        <v>2426</v>
      </c>
      <c r="I179" s="56">
        <v>245</v>
      </c>
    </row>
    <row r="180" spans="1:9" ht="32" x14ac:dyDescent="0.2">
      <c r="A180" s="53" t="s">
        <v>2427</v>
      </c>
      <c r="B180" s="50" t="s">
        <v>2427</v>
      </c>
      <c r="C180" s="54"/>
      <c r="D180" s="51"/>
      <c r="E180" s="51"/>
      <c r="F180" s="52" t="s">
        <v>2380</v>
      </c>
      <c r="G180" s="51"/>
      <c r="H180" s="52" t="s">
        <v>2428</v>
      </c>
      <c r="I180" s="55" t="s">
        <v>2429</v>
      </c>
    </row>
    <row r="181" spans="1:9" ht="32" x14ac:dyDescent="0.2">
      <c r="A181" s="53" t="s">
        <v>2430</v>
      </c>
      <c r="B181" s="50" t="s">
        <v>2431</v>
      </c>
      <c r="C181" s="54"/>
      <c r="D181" s="51"/>
      <c r="E181" s="51"/>
      <c r="F181" s="52" t="s">
        <v>2432</v>
      </c>
      <c r="G181" s="51"/>
      <c r="H181" s="52" t="s">
        <v>2381</v>
      </c>
      <c r="I181" s="55" t="s">
        <v>2433</v>
      </c>
    </row>
    <row r="182" spans="1:9" ht="32" x14ac:dyDescent="0.2">
      <c r="A182" s="53" t="s">
        <v>2434</v>
      </c>
      <c r="B182" s="50" t="s">
        <v>2435</v>
      </c>
      <c r="C182" s="54"/>
      <c r="D182" s="51"/>
      <c r="E182" s="51"/>
      <c r="F182" s="52" t="s">
        <v>2432</v>
      </c>
      <c r="G182" s="51"/>
      <c r="H182" s="52" t="s">
        <v>2381</v>
      </c>
      <c r="I182" s="55" t="s">
        <v>2436</v>
      </c>
    </row>
    <row r="183" spans="1:9" ht="32" x14ac:dyDescent="0.2">
      <c r="A183" s="53" t="s">
        <v>2437</v>
      </c>
      <c r="B183" s="50" t="s">
        <v>2438</v>
      </c>
      <c r="C183" s="54"/>
      <c r="D183" s="51"/>
      <c r="E183" s="51"/>
      <c r="F183" s="52" t="s">
        <v>2439</v>
      </c>
      <c r="G183" s="51"/>
      <c r="H183" s="52" t="s">
        <v>2426</v>
      </c>
      <c r="I183" s="56">
        <v>198.22</v>
      </c>
    </row>
    <row r="184" spans="1:9" ht="16" x14ac:dyDescent="0.2">
      <c r="A184" s="53" t="s">
        <v>2440</v>
      </c>
      <c r="B184" s="50" t="s">
        <v>2441</v>
      </c>
      <c r="C184" s="54"/>
      <c r="D184" s="51"/>
      <c r="E184" s="51"/>
      <c r="F184" s="52" t="s">
        <v>2442</v>
      </c>
      <c r="G184" s="51"/>
      <c r="H184" s="52" t="s">
        <v>2443</v>
      </c>
      <c r="I184" s="56">
        <v>22.02</v>
      </c>
    </row>
    <row r="185" spans="1:9" ht="32" x14ac:dyDescent="0.2">
      <c r="A185" s="53" t="s">
        <v>2440</v>
      </c>
      <c r="B185" s="50" t="s">
        <v>2441</v>
      </c>
      <c r="C185" s="54"/>
      <c r="D185" s="51"/>
      <c r="E185" s="51"/>
      <c r="F185" s="52" t="s">
        <v>2409</v>
      </c>
      <c r="G185" s="51"/>
      <c r="H185" s="52"/>
      <c r="I185" s="56">
        <v>4.96</v>
      </c>
    </row>
    <row r="186" spans="1:9" ht="32" x14ac:dyDescent="0.2">
      <c r="A186" s="53" t="s">
        <v>2444</v>
      </c>
      <c r="B186" s="50" t="s">
        <v>2445</v>
      </c>
      <c r="C186" s="54"/>
      <c r="D186" s="51"/>
      <c r="E186" s="51"/>
      <c r="F186" s="52" t="s">
        <v>2446</v>
      </c>
      <c r="G186" s="51"/>
      <c r="H186" s="52"/>
      <c r="I186" s="56">
        <v>260</v>
      </c>
    </row>
    <row r="187" spans="1:9" ht="32" x14ac:dyDescent="0.2">
      <c r="A187" s="53" t="s">
        <v>2447</v>
      </c>
      <c r="B187" s="50" t="s">
        <v>2448</v>
      </c>
      <c r="C187" s="54"/>
      <c r="D187" s="51"/>
      <c r="E187" s="51"/>
      <c r="F187" s="52" t="s">
        <v>2376</v>
      </c>
      <c r="G187" s="51"/>
      <c r="H187" s="52" t="s">
        <v>2379</v>
      </c>
      <c r="I187" s="56">
        <v>15</v>
      </c>
    </row>
    <row r="188" spans="1:9" ht="32" x14ac:dyDescent="0.2">
      <c r="A188" s="53" t="s">
        <v>2449</v>
      </c>
      <c r="B188" s="50" t="s">
        <v>2450</v>
      </c>
      <c r="C188" s="54"/>
      <c r="D188" s="51"/>
      <c r="E188" s="51"/>
      <c r="F188" s="52" t="s">
        <v>2386</v>
      </c>
      <c r="G188" s="51"/>
      <c r="H188" s="52" t="s">
        <v>2379</v>
      </c>
      <c r="I188" s="56">
        <v>14</v>
      </c>
    </row>
    <row r="189" spans="1:9" ht="16" x14ac:dyDescent="0.2">
      <c r="A189" s="53" t="s">
        <v>2449</v>
      </c>
      <c r="B189" s="50" t="s">
        <v>2450</v>
      </c>
      <c r="C189" s="54"/>
      <c r="D189" s="51"/>
      <c r="E189" s="51"/>
      <c r="F189" s="52" t="s">
        <v>2451</v>
      </c>
      <c r="G189" s="51"/>
      <c r="H189" s="52" t="s">
        <v>2379</v>
      </c>
      <c r="I189" s="56">
        <v>13.85</v>
      </c>
    </row>
    <row r="190" spans="1:9" ht="16" x14ac:dyDescent="0.2">
      <c r="A190" s="53" t="s">
        <v>2452</v>
      </c>
      <c r="B190" s="50" t="s">
        <v>2453</v>
      </c>
      <c r="C190" s="54"/>
      <c r="D190" s="51"/>
      <c r="E190" s="51"/>
      <c r="F190" s="52" t="s">
        <v>2451</v>
      </c>
      <c r="G190" s="51"/>
      <c r="H190" s="52" t="s">
        <v>2405</v>
      </c>
      <c r="I190" s="56">
        <v>33.15</v>
      </c>
    </row>
    <row r="191" spans="1:9" ht="32" x14ac:dyDescent="0.2">
      <c r="A191" s="53" t="s">
        <v>2454</v>
      </c>
      <c r="B191" s="50" t="s">
        <v>2455</v>
      </c>
      <c r="C191" s="54"/>
      <c r="D191" s="51"/>
      <c r="E191" s="51"/>
      <c r="F191" s="52" t="s">
        <v>2376</v>
      </c>
      <c r="G191" s="51"/>
      <c r="H191" s="52" t="s">
        <v>2379</v>
      </c>
      <c r="I191" s="56">
        <v>14</v>
      </c>
    </row>
    <row r="192" spans="1:9" ht="32" x14ac:dyDescent="0.2">
      <c r="A192" s="53" t="s">
        <v>2456</v>
      </c>
      <c r="B192" s="50" t="s">
        <v>2457</v>
      </c>
      <c r="C192" s="54"/>
      <c r="D192" s="51"/>
      <c r="E192" s="51"/>
      <c r="F192" s="52" t="s">
        <v>2386</v>
      </c>
      <c r="G192" s="51"/>
      <c r="H192" s="52" t="s">
        <v>2379</v>
      </c>
      <c r="I192" s="56">
        <v>14</v>
      </c>
    </row>
    <row r="193" spans="1:9" ht="16" x14ac:dyDescent="0.2">
      <c r="A193" s="53" t="s">
        <v>2456</v>
      </c>
      <c r="B193" s="50" t="s">
        <v>2457</v>
      </c>
      <c r="C193" s="54"/>
      <c r="D193" s="51"/>
      <c r="E193" s="51"/>
      <c r="F193" s="52" t="s">
        <v>2451</v>
      </c>
      <c r="G193" s="51"/>
      <c r="H193" s="52" t="s">
        <v>2379</v>
      </c>
      <c r="I193" s="56">
        <v>36.4</v>
      </c>
    </row>
    <row r="194" spans="1:9" ht="16" x14ac:dyDescent="0.2">
      <c r="A194" s="53" t="s">
        <v>2458</v>
      </c>
      <c r="B194" s="50" t="s">
        <v>2459</v>
      </c>
      <c r="C194" s="54"/>
      <c r="D194" s="51"/>
      <c r="E194" s="51"/>
      <c r="F194" s="52" t="s">
        <v>2451</v>
      </c>
      <c r="G194" s="51"/>
      <c r="H194" s="52" t="s">
        <v>2460</v>
      </c>
      <c r="I194" s="56">
        <v>77.650000000000006</v>
      </c>
    </row>
    <row r="195" spans="1:9" ht="16" x14ac:dyDescent="0.2">
      <c r="A195" s="53" t="s">
        <v>2461</v>
      </c>
      <c r="B195" s="50" t="s">
        <v>2462</v>
      </c>
      <c r="C195" s="54"/>
      <c r="D195" s="51"/>
      <c r="E195" s="51"/>
      <c r="F195" s="52" t="s">
        <v>2421</v>
      </c>
      <c r="G195" s="51"/>
      <c r="H195" s="52" t="s">
        <v>2379</v>
      </c>
      <c r="I195" s="56">
        <v>29</v>
      </c>
    </row>
    <row r="196" spans="1:9" ht="32" x14ac:dyDescent="0.2">
      <c r="A196" s="53" t="s">
        <v>2461</v>
      </c>
      <c r="B196" s="50" t="s">
        <v>2462</v>
      </c>
      <c r="C196" s="54"/>
      <c r="D196" s="51"/>
      <c r="E196" s="51"/>
      <c r="F196" s="52" t="s">
        <v>2386</v>
      </c>
      <c r="G196" s="51"/>
      <c r="H196" s="52" t="s">
        <v>2379</v>
      </c>
      <c r="I196" s="56">
        <v>17</v>
      </c>
    </row>
    <row r="197" spans="1:9" ht="32" x14ac:dyDescent="0.2">
      <c r="A197" s="53" t="s">
        <v>2463</v>
      </c>
      <c r="B197" s="50" t="s">
        <v>2464</v>
      </c>
      <c r="C197" s="54"/>
      <c r="D197" s="51"/>
      <c r="E197" s="51"/>
      <c r="F197" s="52" t="s">
        <v>2465</v>
      </c>
      <c r="G197" s="51"/>
      <c r="H197" s="52" t="s">
        <v>2466</v>
      </c>
      <c r="I197" s="56">
        <v>19</v>
      </c>
    </row>
    <row r="198" spans="1:9" ht="32" x14ac:dyDescent="0.2">
      <c r="A198" s="53" t="s">
        <v>2467</v>
      </c>
      <c r="B198" s="50" t="s">
        <v>2468</v>
      </c>
      <c r="C198" s="54"/>
      <c r="D198" s="51"/>
      <c r="E198" s="51"/>
      <c r="F198" s="52" t="s">
        <v>2376</v>
      </c>
      <c r="G198" s="51"/>
      <c r="H198" s="52" t="s">
        <v>2466</v>
      </c>
      <c r="I198" s="56">
        <v>16</v>
      </c>
    </row>
    <row r="199" spans="1:9" ht="32" x14ac:dyDescent="0.2">
      <c r="A199" s="53" t="s">
        <v>2469</v>
      </c>
      <c r="B199" s="50" t="s">
        <v>2470</v>
      </c>
      <c r="C199" s="54"/>
      <c r="D199" s="51"/>
      <c r="E199" s="51"/>
      <c r="F199" s="52" t="s">
        <v>2439</v>
      </c>
      <c r="G199" s="51"/>
      <c r="H199" s="52"/>
      <c r="I199" s="56">
        <v>56.14</v>
      </c>
    </row>
    <row r="200" spans="1:9" ht="32" x14ac:dyDescent="0.2">
      <c r="A200" s="53" t="s">
        <v>2471</v>
      </c>
      <c r="B200" s="50" t="s">
        <v>2472</v>
      </c>
      <c r="C200" s="54"/>
      <c r="D200" s="51"/>
      <c r="E200" s="51"/>
      <c r="F200" s="52" t="s">
        <v>2473</v>
      </c>
      <c r="G200" s="51"/>
      <c r="H200" s="52"/>
      <c r="I200" s="55"/>
    </row>
    <row r="201" spans="1:9" ht="32" x14ac:dyDescent="0.2">
      <c r="A201" s="53" t="s">
        <v>2474</v>
      </c>
      <c r="B201" s="50" t="s">
        <v>2475</v>
      </c>
      <c r="C201" s="54"/>
      <c r="D201" s="51"/>
      <c r="E201" s="51"/>
      <c r="F201" s="52" t="s">
        <v>2476</v>
      </c>
      <c r="G201" s="51"/>
      <c r="H201" s="52" t="s">
        <v>2477</v>
      </c>
      <c r="I201" s="56">
        <v>4.54</v>
      </c>
    </row>
    <row r="202" spans="1:9" ht="32" x14ac:dyDescent="0.2">
      <c r="A202" s="53" t="s">
        <v>2478</v>
      </c>
      <c r="B202" s="50" t="s">
        <v>2479</v>
      </c>
      <c r="C202" s="54"/>
      <c r="D202" s="51"/>
      <c r="E202" s="51"/>
      <c r="F202" s="52" t="s">
        <v>2386</v>
      </c>
      <c r="G202" s="51"/>
      <c r="H202" s="52" t="s">
        <v>2480</v>
      </c>
      <c r="I202" s="56">
        <v>260</v>
      </c>
    </row>
    <row r="203" spans="1:9" ht="32" x14ac:dyDescent="0.2">
      <c r="A203" s="53" t="s">
        <v>2481</v>
      </c>
      <c r="B203" s="50" t="s">
        <v>2482</v>
      </c>
      <c r="C203" s="54"/>
      <c r="D203" s="51"/>
      <c r="E203" s="51"/>
      <c r="F203" s="52" t="s">
        <v>2386</v>
      </c>
      <c r="G203" s="51"/>
      <c r="H203" s="52" t="s">
        <v>2483</v>
      </c>
      <c r="I203" s="56">
        <v>80</v>
      </c>
    </row>
    <row r="204" spans="1:9" ht="32" x14ac:dyDescent="0.2">
      <c r="A204" s="53" t="s">
        <v>2481</v>
      </c>
      <c r="B204" s="50" t="s">
        <v>2482</v>
      </c>
      <c r="C204" s="54"/>
      <c r="D204" s="51"/>
      <c r="E204" s="51"/>
      <c r="F204" s="52" t="s">
        <v>2421</v>
      </c>
      <c r="G204" s="51"/>
      <c r="H204" s="52" t="s">
        <v>2480</v>
      </c>
      <c r="I204" s="56">
        <v>260</v>
      </c>
    </row>
    <row r="205" spans="1:9" ht="32" x14ac:dyDescent="0.2">
      <c r="A205" s="53" t="s">
        <v>2484</v>
      </c>
      <c r="B205" s="50" t="s">
        <v>2485</v>
      </c>
      <c r="C205" s="54"/>
      <c r="D205" s="51"/>
      <c r="E205" s="51"/>
      <c r="F205" s="52" t="s">
        <v>2465</v>
      </c>
      <c r="G205" s="51"/>
      <c r="H205" s="52" t="s">
        <v>2486</v>
      </c>
      <c r="I205" s="56">
        <v>199</v>
      </c>
    </row>
    <row r="206" spans="1:9" ht="32" x14ac:dyDescent="0.2">
      <c r="A206" s="53" t="s">
        <v>2487</v>
      </c>
      <c r="B206" s="50" t="s">
        <v>2488</v>
      </c>
      <c r="C206" s="54"/>
      <c r="D206" s="51"/>
      <c r="E206" s="51"/>
      <c r="F206" s="52" t="s">
        <v>2386</v>
      </c>
      <c r="G206" s="51"/>
      <c r="H206" s="52" t="s">
        <v>2466</v>
      </c>
      <c r="I206" s="56">
        <v>24</v>
      </c>
    </row>
    <row r="207" spans="1:9" ht="32" x14ac:dyDescent="0.2">
      <c r="A207" s="53" t="s">
        <v>2489</v>
      </c>
      <c r="B207" s="50" t="s">
        <v>2490</v>
      </c>
      <c r="C207" s="54"/>
      <c r="D207" s="51"/>
      <c r="E207" s="51"/>
      <c r="F207" s="52" t="s">
        <v>2491</v>
      </c>
      <c r="G207" s="51"/>
      <c r="H207" s="52" t="s">
        <v>2379</v>
      </c>
      <c r="I207" s="56">
        <v>15</v>
      </c>
    </row>
    <row r="208" spans="1:9" ht="32" x14ac:dyDescent="0.2">
      <c r="A208" s="53" t="s">
        <v>2489</v>
      </c>
      <c r="B208" s="50" t="s">
        <v>2490</v>
      </c>
      <c r="C208" s="54"/>
      <c r="D208" s="51"/>
      <c r="E208" s="51"/>
      <c r="F208" s="52" t="s">
        <v>2376</v>
      </c>
      <c r="G208" s="51"/>
      <c r="H208" s="52" t="s">
        <v>2379</v>
      </c>
      <c r="I208" s="56">
        <v>15</v>
      </c>
    </row>
    <row r="209" spans="1:9" ht="32" x14ac:dyDescent="0.2">
      <c r="A209" s="53" t="s">
        <v>2492</v>
      </c>
      <c r="B209" s="50" t="s">
        <v>2493</v>
      </c>
      <c r="C209" s="54"/>
      <c r="D209" s="51"/>
      <c r="E209" s="51"/>
      <c r="F209" s="52" t="s">
        <v>2465</v>
      </c>
      <c r="G209" s="51"/>
      <c r="H209" s="52" t="s">
        <v>2379</v>
      </c>
      <c r="I209" s="56">
        <v>19</v>
      </c>
    </row>
    <row r="210" spans="1:9" ht="32" x14ac:dyDescent="0.2">
      <c r="A210" s="53" t="s">
        <v>2494</v>
      </c>
      <c r="B210" s="50" t="s">
        <v>2495</v>
      </c>
      <c r="C210" s="54"/>
      <c r="D210" s="51"/>
      <c r="E210" s="51"/>
      <c r="F210" s="52" t="s">
        <v>2496</v>
      </c>
      <c r="G210" s="51"/>
      <c r="H210" s="52" t="s">
        <v>2405</v>
      </c>
      <c r="I210" s="56">
        <v>95.5</v>
      </c>
    </row>
    <row r="211" spans="1:9" ht="16" x14ac:dyDescent="0.2">
      <c r="A211" s="53" t="s">
        <v>2497</v>
      </c>
      <c r="B211" s="50" t="s">
        <v>2498</v>
      </c>
      <c r="C211" s="54"/>
      <c r="D211" s="51"/>
      <c r="E211" s="51"/>
      <c r="F211" s="52" t="s">
        <v>2421</v>
      </c>
      <c r="G211" s="51"/>
      <c r="H211" s="52" t="s">
        <v>2405</v>
      </c>
      <c r="I211" s="56">
        <v>30</v>
      </c>
    </row>
    <row r="212" spans="1:9" ht="32" x14ac:dyDescent="0.2">
      <c r="A212" s="53" t="s">
        <v>2489</v>
      </c>
      <c r="B212" s="50" t="s">
        <v>2490</v>
      </c>
      <c r="C212" s="54"/>
      <c r="D212" s="51"/>
      <c r="E212" s="51"/>
      <c r="F212" s="52" t="s">
        <v>2376</v>
      </c>
      <c r="G212" s="51"/>
      <c r="H212" s="52" t="s">
        <v>2379</v>
      </c>
      <c r="I212" s="56">
        <v>15</v>
      </c>
    </row>
    <row r="213" spans="1:9" ht="32" x14ac:dyDescent="0.2">
      <c r="A213" s="53" t="s">
        <v>2499</v>
      </c>
      <c r="B213" s="50" t="s">
        <v>2500</v>
      </c>
      <c r="C213" s="54"/>
      <c r="D213" s="51"/>
      <c r="E213" s="51"/>
      <c r="F213" s="52" t="s">
        <v>2501</v>
      </c>
      <c r="G213" s="51"/>
      <c r="H213" s="52" t="s">
        <v>2379</v>
      </c>
      <c r="I213" s="56">
        <v>115</v>
      </c>
    </row>
    <row r="214" spans="1:9" ht="32" x14ac:dyDescent="0.2">
      <c r="A214" s="53" t="s">
        <v>2502</v>
      </c>
      <c r="B214" s="50" t="s">
        <v>2503</v>
      </c>
      <c r="C214" s="54"/>
      <c r="D214" s="51"/>
      <c r="E214" s="51"/>
      <c r="F214" s="52" t="s">
        <v>2386</v>
      </c>
      <c r="G214" s="51"/>
      <c r="H214" s="52" t="s">
        <v>2504</v>
      </c>
      <c r="I214" s="56">
        <v>22</v>
      </c>
    </row>
    <row r="215" spans="1:9" ht="32" x14ac:dyDescent="0.2">
      <c r="A215" s="53" t="s">
        <v>2505</v>
      </c>
      <c r="B215" s="50" t="s">
        <v>2506</v>
      </c>
      <c r="C215" s="54"/>
      <c r="D215" s="51"/>
      <c r="E215" s="51"/>
      <c r="F215" s="52" t="s">
        <v>2386</v>
      </c>
      <c r="G215" s="51"/>
      <c r="H215" s="52" t="s">
        <v>2379</v>
      </c>
      <c r="I215" s="56">
        <v>12.5</v>
      </c>
    </row>
    <row r="216" spans="1:9" ht="32" x14ac:dyDescent="0.2">
      <c r="A216" s="53" t="s">
        <v>2507</v>
      </c>
      <c r="B216" s="50" t="s">
        <v>2508</v>
      </c>
      <c r="C216" s="54"/>
      <c r="D216" s="51"/>
      <c r="E216" s="51"/>
      <c r="F216" s="52" t="s">
        <v>2421</v>
      </c>
      <c r="G216" s="51"/>
      <c r="H216" s="52" t="s">
        <v>2379</v>
      </c>
      <c r="I216" s="56">
        <v>19.5</v>
      </c>
    </row>
    <row r="217" spans="1:9" ht="32" x14ac:dyDescent="0.2">
      <c r="A217" s="53" t="s">
        <v>2509</v>
      </c>
      <c r="B217" s="50" t="s">
        <v>2510</v>
      </c>
      <c r="C217" s="54"/>
      <c r="D217" s="51"/>
      <c r="E217" s="51"/>
      <c r="F217" s="52" t="s">
        <v>2386</v>
      </c>
      <c r="G217" s="51"/>
      <c r="H217" s="52" t="s">
        <v>2511</v>
      </c>
      <c r="I217" s="56">
        <v>28</v>
      </c>
    </row>
    <row r="218" spans="1:9" ht="32" x14ac:dyDescent="0.2">
      <c r="A218" s="53" t="s">
        <v>2512</v>
      </c>
      <c r="B218" s="50" t="s">
        <v>2513</v>
      </c>
      <c r="C218" s="54"/>
      <c r="D218" s="51"/>
      <c r="E218" s="51"/>
      <c r="F218" s="52" t="s">
        <v>2501</v>
      </c>
      <c r="G218" s="51"/>
      <c r="H218" s="52" t="s">
        <v>2379</v>
      </c>
      <c r="I218" s="56">
        <v>50</v>
      </c>
    </row>
    <row r="219" spans="1:9" ht="32" x14ac:dyDescent="0.2">
      <c r="A219" s="53" t="s">
        <v>2514</v>
      </c>
      <c r="B219" s="50" t="s">
        <v>2515</v>
      </c>
      <c r="C219" s="54"/>
      <c r="D219" s="51"/>
      <c r="E219" s="51"/>
      <c r="F219" s="52" t="s">
        <v>2421</v>
      </c>
      <c r="G219" s="51"/>
      <c r="H219" s="52" t="s">
        <v>2379</v>
      </c>
      <c r="I219" s="56">
        <v>19.5</v>
      </c>
    </row>
    <row r="220" spans="1:9" ht="32" x14ac:dyDescent="0.2">
      <c r="A220" s="53" t="s">
        <v>2516</v>
      </c>
      <c r="B220" s="50" t="s">
        <v>2517</v>
      </c>
      <c r="C220" s="54"/>
      <c r="D220" s="51"/>
      <c r="E220" s="51"/>
      <c r="F220" s="52" t="s">
        <v>2386</v>
      </c>
      <c r="G220" s="51"/>
      <c r="H220" s="52" t="s">
        <v>2379</v>
      </c>
      <c r="I220" s="56">
        <v>32</v>
      </c>
    </row>
    <row r="221" spans="1:9" ht="32" x14ac:dyDescent="0.2">
      <c r="A221" s="53" t="s">
        <v>2518</v>
      </c>
      <c r="B221" s="50" t="s">
        <v>2519</v>
      </c>
      <c r="C221" s="54"/>
      <c r="D221" s="51"/>
      <c r="E221" s="51"/>
      <c r="F221" s="52" t="s">
        <v>2501</v>
      </c>
      <c r="G221" s="51"/>
      <c r="H221" s="52" t="s">
        <v>2379</v>
      </c>
      <c r="I221" s="56">
        <v>127</v>
      </c>
    </row>
    <row r="222" spans="1:9" ht="32" x14ac:dyDescent="0.2">
      <c r="A222" s="53" t="s">
        <v>2520</v>
      </c>
      <c r="B222" s="50" t="s">
        <v>2521</v>
      </c>
      <c r="C222" s="54"/>
      <c r="D222" s="51"/>
      <c r="E222" s="51"/>
      <c r="F222" s="52" t="s">
        <v>2386</v>
      </c>
      <c r="G222" s="51"/>
      <c r="H222" s="52" t="s">
        <v>2379</v>
      </c>
      <c r="I222" s="56">
        <v>22</v>
      </c>
    </row>
    <row r="223" spans="1:9" ht="32" x14ac:dyDescent="0.2">
      <c r="A223" s="53" t="s">
        <v>2520</v>
      </c>
      <c r="B223" s="50" t="s">
        <v>2521</v>
      </c>
      <c r="C223" s="54"/>
      <c r="D223" s="51"/>
      <c r="E223" s="51"/>
      <c r="F223" s="52" t="s">
        <v>2522</v>
      </c>
      <c r="G223" s="51"/>
      <c r="H223" s="52" t="s">
        <v>2379</v>
      </c>
      <c r="I223" s="56">
        <v>18</v>
      </c>
    </row>
    <row r="224" spans="1:9" ht="48" x14ac:dyDescent="0.2">
      <c r="A224" s="53" t="s">
        <v>2523</v>
      </c>
      <c r="B224" s="50" t="s">
        <v>2524</v>
      </c>
      <c r="C224" s="54"/>
      <c r="D224" s="51"/>
      <c r="E224" s="51"/>
      <c r="F224" s="52" t="s">
        <v>2421</v>
      </c>
      <c r="G224" s="51"/>
      <c r="H224" s="52" t="s">
        <v>2379</v>
      </c>
      <c r="I224" s="56">
        <v>22</v>
      </c>
    </row>
    <row r="225" spans="1:9" ht="16" x14ac:dyDescent="0.2">
      <c r="A225" s="53" t="s">
        <v>2525</v>
      </c>
      <c r="B225" s="50" t="s">
        <v>2526</v>
      </c>
      <c r="C225" s="54"/>
      <c r="D225" s="51"/>
      <c r="E225" s="51"/>
      <c r="F225" s="52" t="s">
        <v>2374</v>
      </c>
      <c r="G225" s="51"/>
      <c r="H225" s="52" t="s">
        <v>2379</v>
      </c>
      <c r="I225" s="56">
        <v>18.5</v>
      </c>
    </row>
    <row r="226" spans="1:9" ht="32" x14ac:dyDescent="0.2">
      <c r="A226" s="53" t="s">
        <v>2527</v>
      </c>
      <c r="B226" s="50" t="s">
        <v>2528</v>
      </c>
      <c r="C226" s="54"/>
      <c r="D226" s="51"/>
      <c r="E226" s="51"/>
      <c r="F226" s="52" t="s">
        <v>2501</v>
      </c>
      <c r="G226" s="51"/>
      <c r="H226" s="52" t="s">
        <v>2379</v>
      </c>
      <c r="I226" s="56">
        <v>23.5</v>
      </c>
    </row>
    <row r="227" spans="1:9" ht="32" x14ac:dyDescent="0.2">
      <c r="A227" s="53" t="s">
        <v>2529</v>
      </c>
      <c r="B227" s="50" t="s">
        <v>2530</v>
      </c>
      <c r="C227" s="54"/>
      <c r="D227" s="51"/>
      <c r="E227" s="51"/>
      <c r="F227" s="52" t="s">
        <v>2501</v>
      </c>
      <c r="G227" s="51"/>
      <c r="H227" s="52" t="s">
        <v>2379</v>
      </c>
      <c r="I227" s="56">
        <v>65</v>
      </c>
    </row>
    <row r="228" spans="1:9" ht="32" x14ac:dyDescent="0.2">
      <c r="A228" s="53" t="s">
        <v>2531</v>
      </c>
      <c r="B228" s="50" t="s">
        <v>2532</v>
      </c>
      <c r="C228" s="54"/>
      <c r="D228" s="51"/>
      <c r="E228" s="51"/>
      <c r="F228" s="52" t="s">
        <v>2533</v>
      </c>
      <c r="G228" s="51"/>
      <c r="H228" s="52" t="s">
        <v>2379</v>
      </c>
      <c r="I228" s="56">
        <v>216</v>
      </c>
    </row>
    <row r="229" spans="1:9" ht="32" x14ac:dyDescent="0.2">
      <c r="A229" s="53" t="s">
        <v>2534</v>
      </c>
      <c r="B229" s="50" t="s">
        <v>2535</v>
      </c>
      <c r="C229" s="54"/>
      <c r="D229" s="51"/>
      <c r="E229" s="51"/>
      <c r="F229" s="52" t="s">
        <v>2536</v>
      </c>
      <c r="G229" s="51"/>
      <c r="H229" s="52"/>
      <c r="I229" s="56">
        <v>43</v>
      </c>
    </row>
    <row r="230" spans="1:9" ht="32" x14ac:dyDescent="0.2">
      <c r="A230" s="53" t="s">
        <v>2537</v>
      </c>
      <c r="B230" s="50" t="s">
        <v>2538</v>
      </c>
      <c r="C230" s="54"/>
      <c r="D230" s="51"/>
      <c r="E230" s="51"/>
      <c r="F230" s="52" t="s">
        <v>2536</v>
      </c>
      <c r="G230" s="51"/>
      <c r="H230" s="52"/>
      <c r="I230" s="56">
        <v>28</v>
      </c>
    </row>
    <row r="231" spans="1:9" ht="32" x14ac:dyDescent="0.2">
      <c r="A231" s="53" t="s">
        <v>2539</v>
      </c>
      <c r="B231" s="50" t="s">
        <v>2539</v>
      </c>
      <c r="C231" s="54"/>
      <c r="D231" s="51"/>
      <c r="E231" s="51"/>
      <c r="F231" s="52" t="s">
        <v>2540</v>
      </c>
      <c r="G231" s="51"/>
      <c r="H231" s="52" t="s">
        <v>2379</v>
      </c>
      <c r="I231" s="56">
        <v>785</v>
      </c>
    </row>
    <row r="232" spans="1:9" ht="32" x14ac:dyDescent="0.2">
      <c r="A232" s="53" t="s">
        <v>2541</v>
      </c>
      <c r="B232" s="50" t="s">
        <v>2542</v>
      </c>
      <c r="C232" s="54"/>
      <c r="D232" s="51"/>
      <c r="E232" s="51"/>
      <c r="F232" s="52" t="s">
        <v>2376</v>
      </c>
      <c r="G232" s="51"/>
      <c r="H232" s="52" t="s">
        <v>2379</v>
      </c>
      <c r="I232" s="56">
        <v>50</v>
      </c>
    </row>
    <row r="233" spans="1:9" ht="32" x14ac:dyDescent="0.2">
      <c r="A233" s="53" t="s">
        <v>2543</v>
      </c>
      <c r="B233" s="50" t="s">
        <v>2544</v>
      </c>
      <c r="C233" s="54"/>
      <c r="D233" s="51"/>
      <c r="E233" s="51"/>
      <c r="F233" s="52" t="s">
        <v>2545</v>
      </c>
      <c r="G233" s="51"/>
      <c r="H233" s="52" t="s">
        <v>2546</v>
      </c>
      <c r="I233" s="56">
        <v>85.19</v>
      </c>
    </row>
    <row r="234" spans="1:9" ht="32" x14ac:dyDescent="0.2">
      <c r="A234" s="53" t="s">
        <v>2547</v>
      </c>
      <c r="B234" s="50" t="s">
        <v>2548</v>
      </c>
      <c r="C234" s="54"/>
      <c r="D234" s="51"/>
      <c r="E234" s="51"/>
      <c r="F234" s="52" t="s">
        <v>2522</v>
      </c>
      <c r="G234" s="51"/>
      <c r="H234" s="52" t="s">
        <v>2549</v>
      </c>
      <c r="I234" s="56">
        <v>190</v>
      </c>
    </row>
    <row r="235" spans="1:9" ht="32" x14ac:dyDescent="0.2">
      <c r="A235" s="53" t="s">
        <v>2550</v>
      </c>
      <c r="B235" s="114" t="s">
        <v>2551</v>
      </c>
      <c r="C235" s="54"/>
      <c r="D235" s="51"/>
      <c r="E235" s="51"/>
      <c r="F235" s="52" t="s">
        <v>2376</v>
      </c>
      <c r="G235" s="51"/>
      <c r="H235" s="52" t="s">
        <v>2379</v>
      </c>
      <c r="I235" s="56">
        <v>45</v>
      </c>
    </row>
    <row r="236" spans="1:9" ht="16" x14ac:dyDescent="0.2">
      <c r="A236" s="53" t="s">
        <v>2552</v>
      </c>
      <c r="B236" s="50" t="s">
        <v>2553</v>
      </c>
      <c r="C236" s="54"/>
      <c r="D236" s="51"/>
      <c r="E236" s="51"/>
      <c r="F236" s="52" t="s">
        <v>2554</v>
      </c>
      <c r="G236" s="51"/>
      <c r="H236" s="52" t="s">
        <v>2379</v>
      </c>
      <c r="I236" s="56">
        <v>89</v>
      </c>
    </row>
    <row r="237" spans="1:9" ht="16" x14ac:dyDescent="0.2">
      <c r="A237" s="53" t="s">
        <v>2555</v>
      </c>
      <c r="B237" s="50" t="s">
        <v>2556</v>
      </c>
      <c r="C237" s="54"/>
      <c r="D237" s="51"/>
      <c r="E237" s="51"/>
      <c r="F237" s="52" t="s">
        <v>2557</v>
      </c>
      <c r="G237" s="51"/>
      <c r="H237" s="52" t="s">
        <v>2558</v>
      </c>
      <c r="I237" s="56">
        <v>201.6</v>
      </c>
    </row>
    <row r="238" spans="1:9" ht="16" x14ac:dyDescent="0.2">
      <c r="A238" s="53" t="s">
        <v>2559</v>
      </c>
      <c r="B238" s="50" t="s">
        <v>2559</v>
      </c>
      <c r="C238" s="54"/>
      <c r="D238" s="51"/>
      <c r="E238" s="51"/>
      <c r="F238" s="52" t="s">
        <v>2557</v>
      </c>
      <c r="G238" s="51"/>
      <c r="H238" s="52" t="s">
        <v>2558</v>
      </c>
      <c r="I238" s="56">
        <v>316.10000000000002</v>
      </c>
    </row>
    <row r="239" spans="1:9" ht="16" x14ac:dyDescent="0.2">
      <c r="A239" s="53" t="s">
        <v>2560</v>
      </c>
      <c r="B239" s="50" t="s">
        <v>2560</v>
      </c>
      <c r="C239" s="54"/>
      <c r="D239" s="51"/>
      <c r="E239" s="51"/>
      <c r="F239" s="52" t="s">
        <v>2560</v>
      </c>
      <c r="G239" s="51"/>
      <c r="H239" s="52" t="s">
        <v>2561</v>
      </c>
      <c r="I239" s="56">
        <v>10.71</v>
      </c>
    </row>
    <row r="240" spans="1:9" ht="16" x14ac:dyDescent="0.2">
      <c r="A240" s="53" t="s">
        <v>2562</v>
      </c>
      <c r="B240" s="50" t="s">
        <v>2562</v>
      </c>
      <c r="C240" s="54"/>
      <c r="D240" s="51"/>
      <c r="E240" s="51"/>
      <c r="F240" s="52" t="s">
        <v>2563</v>
      </c>
      <c r="G240" s="51"/>
      <c r="H240" s="52"/>
      <c r="I240" s="56">
        <v>250</v>
      </c>
    </row>
    <row r="241" spans="1:9" ht="16" x14ac:dyDescent="0.2">
      <c r="A241" s="53" t="s">
        <v>2564</v>
      </c>
      <c r="B241" s="50" t="s">
        <v>2565</v>
      </c>
      <c r="C241" s="54"/>
      <c r="D241" s="51"/>
      <c r="E241" s="51"/>
      <c r="F241" s="52" t="s">
        <v>2566</v>
      </c>
      <c r="G241" s="51"/>
      <c r="H241" s="52" t="s">
        <v>2567</v>
      </c>
      <c r="I241" s="56">
        <v>60</v>
      </c>
    </row>
    <row r="242" spans="1:9" ht="32" x14ac:dyDescent="0.2">
      <c r="A242" s="53" t="s">
        <v>2568</v>
      </c>
      <c r="B242" s="50" t="s">
        <v>2569</v>
      </c>
      <c r="C242" s="54"/>
      <c r="D242" s="51"/>
      <c r="E242" s="51"/>
      <c r="F242" s="52" t="s">
        <v>2570</v>
      </c>
      <c r="G242" s="51"/>
      <c r="H242" s="52" t="s">
        <v>2571</v>
      </c>
      <c r="I242" s="55" t="s">
        <v>2572</v>
      </c>
    </row>
    <row r="243" spans="1:9" ht="32" x14ac:dyDescent="0.2">
      <c r="A243" s="53" t="s">
        <v>2573</v>
      </c>
      <c r="B243" s="50" t="s">
        <v>2574</v>
      </c>
      <c r="C243" s="54"/>
      <c r="D243" s="51"/>
      <c r="E243" s="51"/>
      <c r="F243" s="52" t="s">
        <v>2575</v>
      </c>
      <c r="G243" s="51"/>
      <c r="H243" s="52"/>
      <c r="I243" s="56">
        <v>525</v>
      </c>
    </row>
    <row r="244" spans="1:9" ht="32" x14ac:dyDescent="0.2">
      <c r="A244" s="53" t="s">
        <v>2576</v>
      </c>
      <c r="B244" s="50" t="s">
        <v>2577</v>
      </c>
      <c r="C244" s="54"/>
      <c r="D244" s="51"/>
      <c r="E244" s="51"/>
      <c r="F244" s="52" t="s">
        <v>2578</v>
      </c>
      <c r="G244" s="51"/>
      <c r="H244" s="52" t="s">
        <v>2579</v>
      </c>
      <c r="I244" s="56">
        <v>19.850000000000001</v>
      </c>
    </row>
    <row r="245" spans="1:9" ht="16" x14ac:dyDescent="0.2">
      <c r="A245" s="53" t="s">
        <v>2580</v>
      </c>
      <c r="B245" s="50" t="s">
        <v>2581</v>
      </c>
      <c r="C245" s="54"/>
      <c r="D245" s="51"/>
      <c r="E245" s="51"/>
      <c r="F245" s="52" t="s">
        <v>2582</v>
      </c>
      <c r="G245" s="51"/>
      <c r="H245" s="52" t="s">
        <v>2571</v>
      </c>
      <c r="I245" s="55" t="s">
        <v>2583</v>
      </c>
    </row>
    <row r="246" spans="1:9" ht="16" x14ac:dyDescent="0.2">
      <c r="A246" s="53" t="s">
        <v>2584</v>
      </c>
      <c r="B246" s="50" t="s">
        <v>2585</v>
      </c>
      <c r="C246" s="54"/>
      <c r="D246" s="51"/>
      <c r="E246" s="51"/>
      <c r="F246" s="52" t="s">
        <v>2554</v>
      </c>
      <c r="G246" s="51"/>
      <c r="H246" s="52" t="s">
        <v>2586</v>
      </c>
      <c r="I246" s="56">
        <v>52</v>
      </c>
    </row>
    <row r="247" spans="1:9" ht="32" x14ac:dyDescent="0.2">
      <c r="A247" s="53" t="s">
        <v>2587</v>
      </c>
      <c r="B247" s="50" t="s">
        <v>2588</v>
      </c>
      <c r="C247" s="54"/>
      <c r="D247" s="51"/>
      <c r="E247" s="51"/>
      <c r="F247" s="52" t="s">
        <v>2589</v>
      </c>
      <c r="G247" s="51"/>
      <c r="H247" s="52" t="s">
        <v>2571</v>
      </c>
      <c r="I247" s="56">
        <v>395</v>
      </c>
    </row>
    <row r="248" spans="1:9" ht="32" x14ac:dyDescent="0.2">
      <c r="A248" s="53" t="s">
        <v>2590</v>
      </c>
      <c r="B248" s="50" t="s">
        <v>2591</v>
      </c>
      <c r="C248" s="54"/>
      <c r="D248" s="51"/>
      <c r="E248" s="51"/>
      <c r="F248" s="52" t="s">
        <v>2592</v>
      </c>
      <c r="G248" s="51"/>
      <c r="H248" s="52" t="s">
        <v>2466</v>
      </c>
      <c r="I248" s="56">
        <v>210</v>
      </c>
    </row>
    <row r="249" spans="1:9" ht="32" x14ac:dyDescent="0.2">
      <c r="A249" s="53" t="s">
        <v>2593</v>
      </c>
      <c r="B249" s="50" t="s">
        <v>2594</v>
      </c>
      <c r="C249" s="54"/>
      <c r="D249" s="51"/>
      <c r="E249" s="51"/>
      <c r="F249" s="52" t="s">
        <v>2378</v>
      </c>
      <c r="G249" s="51"/>
      <c r="H249" s="52" t="s">
        <v>2549</v>
      </c>
      <c r="I249" s="56">
        <v>35.6</v>
      </c>
    </row>
    <row r="250" spans="1:9" ht="32" x14ac:dyDescent="0.2">
      <c r="A250" s="53" t="s">
        <v>2595</v>
      </c>
      <c r="B250" s="50" t="s">
        <v>2596</v>
      </c>
      <c r="C250" s="54"/>
      <c r="D250" s="51"/>
      <c r="E250" s="51"/>
      <c r="F250" s="52" t="s">
        <v>2378</v>
      </c>
      <c r="G250" s="51"/>
      <c r="H250" s="52" t="s">
        <v>2597</v>
      </c>
      <c r="I250" s="56">
        <v>35.75</v>
      </c>
    </row>
    <row r="251" spans="1:9" ht="16" x14ac:dyDescent="0.2">
      <c r="A251" s="53" t="s">
        <v>2598</v>
      </c>
      <c r="B251" s="50" t="s">
        <v>2599</v>
      </c>
      <c r="C251" s="54"/>
      <c r="D251" s="51"/>
      <c r="E251" s="51"/>
      <c r="F251" s="52" t="s">
        <v>2554</v>
      </c>
      <c r="G251" s="51"/>
      <c r="H251" s="52" t="s">
        <v>2466</v>
      </c>
      <c r="I251" s="56">
        <v>18</v>
      </c>
    </row>
    <row r="252" spans="1:9" ht="32" x14ac:dyDescent="0.2">
      <c r="A252" s="53" t="s">
        <v>2600</v>
      </c>
      <c r="B252" s="50" t="s">
        <v>2600</v>
      </c>
      <c r="C252" s="54"/>
      <c r="D252" s="51"/>
      <c r="E252" s="51"/>
      <c r="F252" s="52" t="s">
        <v>2601</v>
      </c>
      <c r="G252" s="51"/>
      <c r="H252" s="52" t="s">
        <v>2393</v>
      </c>
      <c r="I252" s="56">
        <v>18</v>
      </c>
    </row>
    <row r="253" spans="1:9" ht="16" x14ac:dyDescent="0.2">
      <c r="A253" s="53" t="s">
        <v>2602</v>
      </c>
      <c r="B253" s="50" t="s">
        <v>2603</v>
      </c>
      <c r="C253" s="54"/>
      <c r="D253" s="51"/>
      <c r="E253" s="51"/>
      <c r="F253" s="52"/>
      <c r="G253" s="51"/>
      <c r="H253" s="52"/>
      <c r="I253" s="55"/>
    </row>
    <row r="254" spans="1:9" ht="32" x14ac:dyDescent="0.2">
      <c r="A254" s="53" t="s">
        <v>2604</v>
      </c>
      <c r="B254" s="50" t="s">
        <v>2605</v>
      </c>
      <c r="C254" s="54"/>
      <c r="D254" s="51"/>
      <c r="E254" s="51"/>
      <c r="F254" s="52" t="s">
        <v>2376</v>
      </c>
      <c r="G254" s="51"/>
      <c r="H254" s="52" t="s">
        <v>2379</v>
      </c>
      <c r="I254" s="56">
        <v>16</v>
      </c>
    </row>
    <row r="255" spans="1:9" ht="32" x14ac:dyDescent="0.2">
      <c r="A255" s="53" t="s">
        <v>2606</v>
      </c>
      <c r="B255" s="50" t="s">
        <v>2607</v>
      </c>
      <c r="C255" s="54"/>
      <c r="D255" s="51"/>
      <c r="E255" s="51"/>
      <c r="F255" s="52" t="s">
        <v>2386</v>
      </c>
      <c r="G255" s="51"/>
      <c r="H255" s="52" t="s">
        <v>2379</v>
      </c>
      <c r="I255" s="56">
        <v>68</v>
      </c>
    </row>
    <row r="256" spans="1:9" ht="32" x14ac:dyDescent="0.2">
      <c r="A256" s="53" t="s">
        <v>2608</v>
      </c>
      <c r="B256" s="50" t="s">
        <v>2609</v>
      </c>
      <c r="C256" s="54"/>
      <c r="D256" s="51"/>
      <c r="E256" s="51"/>
      <c r="F256" s="52" t="s">
        <v>2610</v>
      </c>
      <c r="G256" s="51"/>
      <c r="H256" s="52" t="s">
        <v>2405</v>
      </c>
      <c r="I256" s="56">
        <v>20</v>
      </c>
    </row>
    <row r="257" spans="1:9" ht="32" x14ac:dyDescent="0.2">
      <c r="A257" s="53" t="s">
        <v>2611</v>
      </c>
      <c r="B257" s="50" t="s">
        <v>2612</v>
      </c>
      <c r="C257" s="54"/>
      <c r="D257" s="51"/>
      <c r="E257" s="51"/>
      <c r="F257" s="52" t="s">
        <v>2613</v>
      </c>
      <c r="G257" s="51"/>
      <c r="H257" s="52" t="s">
        <v>2405</v>
      </c>
      <c r="I257" s="56">
        <v>55</v>
      </c>
    </row>
    <row r="258" spans="1:9" ht="32" x14ac:dyDescent="0.2">
      <c r="A258" s="53" t="s">
        <v>2614</v>
      </c>
      <c r="B258" s="50" t="s">
        <v>2615</v>
      </c>
      <c r="C258" s="54"/>
      <c r="D258" s="51"/>
      <c r="E258" s="51"/>
      <c r="F258" s="52" t="s">
        <v>2522</v>
      </c>
      <c r="G258" s="51"/>
      <c r="H258" s="52" t="s">
        <v>2405</v>
      </c>
      <c r="I258" s="56">
        <v>130</v>
      </c>
    </row>
    <row r="259" spans="1:9" ht="32" x14ac:dyDescent="0.2">
      <c r="A259" s="53" t="s">
        <v>2616</v>
      </c>
      <c r="B259" s="50" t="s">
        <v>2616</v>
      </c>
      <c r="C259" s="54"/>
      <c r="D259" s="51"/>
      <c r="E259" s="51"/>
      <c r="F259" s="52" t="s">
        <v>2439</v>
      </c>
      <c r="G259" s="51"/>
      <c r="H259" s="52"/>
      <c r="I259" s="56">
        <v>56.14</v>
      </c>
    </row>
    <row r="260" spans="1:9" ht="32" x14ac:dyDescent="0.2">
      <c r="A260" s="53" t="s">
        <v>2617</v>
      </c>
      <c r="B260" s="50" t="s">
        <v>2618</v>
      </c>
      <c r="C260" s="54"/>
      <c r="D260" s="51"/>
      <c r="E260" s="51"/>
      <c r="F260" s="52" t="s">
        <v>2619</v>
      </c>
      <c r="G260" s="51"/>
      <c r="H260" s="52" t="s">
        <v>2620</v>
      </c>
      <c r="I260" s="56">
        <v>515</v>
      </c>
    </row>
    <row r="261" spans="1:9" ht="32" x14ac:dyDescent="0.2">
      <c r="A261" s="53" t="s">
        <v>2621</v>
      </c>
      <c r="B261" s="50" t="s">
        <v>2622</v>
      </c>
      <c r="C261" s="54"/>
      <c r="D261" s="51"/>
      <c r="E261" s="51"/>
      <c r="F261" s="52" t="s">
        <v>2623</v>
      </c>
      <c r="G261" s="51"/>
      <c r="H261" s="52" t="s">
        <v>2624</v>
      </c>
      <c r="I261" s="56">
        <v>300</v>
      </c>
    </row>
    <row r="262" spans="1:9" ht="32" x14ac:dyDescent="0.2">
      <c r="A262" s="53" t="s">
        <v>2625</v>
      </c>
      <c r="B262" s="50" t="s">
        <v>2626</v>
      </c>
      <c r="C262" s="54"/>
      <c r="D262" s="51"/>
      <c r="E262" s="51"/>
      <c r="F262" s="52" t="s">
        <v>2575</v>
      </c>
      <c r="G262" s="51"/>
      <c r="H262" s="52"/>
      <c r="I262" s="56">
        <v>156.25</v>
      </c>
    </row>
    <row r="263" spans="1:9" ht="32" x14ac:dyDescent="0.2">
      <c r="A263" s="53" t="s">
        <v>2627</v>
      </c>
      <c r="B263" s="50" t="s">
        <v>2628</v>
      </c>
      <c r="C263" s="54"/>
      <c r="D263" s="51"/>
      <c r="E263" s="51"/>
      <c r="F263" s="52" t="s">
        <v>2575</v>
      </c>
      <c r="G263" s="51"/>
      <c r="H263" s="52"/>
      <c r="I263" s="56">
        <v>340.37</v>
      </c>
    </row>
    <row r="264" spans="1:9" ht="32" x14ac:dyDescent="0.2">
      <c r="A264" s="53" t="s">
        <v>2629</v>
      </c>
      <c r="B264" s="50" t="s">
        <v>2630</v>
      </c>
      <c r="C264" s="54"/>
      <c r="D264" s="51"/>
      <c r="E264" s="51"/>
      <c r="F264" s="52" t="s">
        <v>2631</v>
      </c>
      <c r="G264" s="51"/>
      <c r="H264" s="52" t="s">
        <v>2381</v>
      </c>
      <c r="I264" s="56">
        <v>73</v>
      </c>
    </row>
    <row r="265" spans="1:9" ht="32" x14ac:dyDescent="0.2">
      <c r="A265" s="53" t="s">
        <v>2632</v>
      </c>
      <c r="B265" s="50" t="s">
        <v>2633</v>
      </c>
      <c r="C265" s="54"/>
      <c r="D265" s="51"/>
      <c r="E265" s="51"/>
      <c r="F265" s="52" t="s">
        <v>2610</v>
      </c>
      <c r="G265" s="51"/>
      <c r="H265" s="52" t="s">
        <v>2426</v>
      </c>
      <c r="I265" s="55" t="s">
        <v>2634</v>
      </c>
    </row>
    <row r="266" spans="1:9" ht="32" x14ac:dyDescent="0.2">
      <c r="A266" s="53" t="s">
        <v>2568</v>
      </c>
      <c r="B266" s="50" t="s">
        <v>2569</v>
      </c>
      <c r="C266" s="54"/>
      <c r="D266" s="51"/>
      <c r="E266" s="51"/>
      <c r="F266" s="52" t="s">
        <v>2635</v>
      </c>
      <c r="G266" s="51"/>
      <c r="H266" s="52" t="s">
        <v>2636</v>
      </c>
      <c r="I266" s="55" t="s">
        <v>2572</v>
      </c>
    </row>
    <row r="267" spans="1:9" ht="32" x14ac:dyDescent="0.2">
      <c r="A267" s="53" t="s">
        <v>2573</v>
      </c>
      <c r="B267" s="50" t="s">
        <v>2574</v>
      </c>
      <c r="C267" s="54"/>
      <c r="D267" s="51"/>
      <c r="E267" s="51"/>
      <c r="F267" s="52" t="s">
        <v>2575</v>
      </c>
      <c r="G267" s="51"/>
      <c r="H267" s="52"/>
      <c r="I267" s="56">
        <v>525</v>
      </c>
    </row>
    <row r="268" spans="1:9" ht="16" x14ac:dyDescent="0.2">
      <c r="A268" s="53" t="s">
        <v>2637</v>
      </c>
      <c r="B268" s="50" t="s">
        <v>2638</v>
      </c>
      <c r="C268" s="54"/>
      <c r="D268" s="51"/>
      <c r="E268" s="51"/>
      <c r="F268" s="52" t="s">
        <v>2639</v>
      </c>
      <c r="G268" s="51"/>
      <c r="H268" s="52" t="s">
        <v>2379</v>
      </c>
      <c r="I268" s="56">
        <v>30.5</v>
      </c>
    </row>
    <row r="269" spans="1:9" ht="32" x14ac:dyDescent="0.2">
      <c r="A269" s="53" t="s">
        <v>2640</v>
      </c>
      <c r="B269" s="50" t="s">
        <v>2641</v>
      </c>
      <c r="C269" s="54"/>
      <c r="D269" s="51"/>
      <c r="E269" s="51"/>
      <c r="F269" s="52" t="s">
        <v>2642</v>
      </c>
      <c r="G269" s="51"/>
      <c r="H269" s="102" t="s">
        <v>2643</v>
      </c>
      <c r="I269" s="56">
        <v>83</v>
      </c>
    </row>
    <row r="270" spans="1:9" ht="16" x14ac:dyDescent="0.2">
      <c r="A270" s="53" t="s">
        <v>2644</v>
      </c>
      <c r="B270" s="50" t="s">
        <v>2645</v>
      </c>
      <c r="C270" s="54"/>
      <c r="D270" s="51"/>
      <c r="E270" s="51"/>
      <c r="F270" s="52" t="s">
        <v>2646</v>
      </c>
      <c r="G270" s="51"/>
      <c r="H270" s="52" t="s">
        <v>2466</v>
      </c>
      <c r="I270" s="56">
        <v>250</v>
      </c>
    </row>
    <row r="271" spans="1:9" ht="32" x14ac:dyDescent="0.2">
      <c r="A271" s="53" t="s">
        <v>2647</v>
      </c>
      <c r="B271" s="50" t="s">
        <v>2648</v>
      </c>
      <c r="C271" s="54"/>
      <c r="D271" s="51"/>
      <c r="E271" s="51"/>
      <c r="F271" s="52" t="s">
        <v>2592</v>
      </c>
      <c r="G271" s="51"/>
      <c r="H271" s="52" t="s">
        <v>2649</v>
      </c>
      <c r="I271" s="56">
        <v>90</v>
      </c>
    </row>
    <row r="272" spans="1:9" ht="32" x14ac:dyDescent="0.2">
      <c r="A272" s="53" t="s">
        <v>2650</v>
      </c>
      <c r="B272" s="50" t="s">
        <v>2651</v>
      </c>
      <c r="C272" s="54"/>
      <c r="D272" s="51"/>
      <c r="E272" s="51"/>
      <c r="F272" s="52" t="s">
        <v>2386</v>
      </c>
      <c r="G272" s="51"/>
      <c r="H272" s="52"/>
      <c r="I272" s="56">
        <v>19.5</v>
      </c>
    </row>
    <row r="273" spans="1:9" ht="32" x14ac:dyDescent="0.2">
      <c r="A273" s="53" t="s">
        <v>2652</v>
      </c>
      <c r="B273" s="50" t="s">
        <v>2653</v>
      </c>
      <c r="C273" s="54"/>
      <c r="D273" s="51"/>
      <c r="E273" s="51"/>
      <c r="F273" s="52" t="s">
        <v>2654</v>
      </c>
      <c r="G273" s="51"/>
      <c r="H273" s="52"/>
      <c r="I273" s="56">
        <v>150</v>
      </c>
    </row>
    <row r="274" spans="1:9" ht="32" x14ac:dyDescent="0.2">
      <c r="A274" s="53" t="s">
        <v>2655</v>
      </c>
      <c r="B274" s="50" t="s">
        <v>2655</v>
      </c>
      <c r="C274" s="54"/>
      <c r="D274" s="51"/>
      <c r="E274" s="51"/>
      <c r="F274" s="52" t="s">
        <v>2473</v>
      </c>
      <c r="G274" s="51"/>
      <c r="H274" s="52"/>
      <c r="I274" s="55" t="s">
        <v>2656</v>
      </c>
    </row>
    <row r="275" spans="1:9" ht="32" x14ac:dyDescent="0.2">
      <c r="A275" s="53" t="s">
        <v>2655</v>
      </c>
      <c r="B275" s="50" t="s">
        <v>2655</v>
      </c>
      <c r="C275" s="54"/>
      <c r="D275" s="51"/>
      <c r="E275" s="51"/>
      <c r="F275" s="52" t="s">
        <v>2657</v>
      </c>
      <c r="G275" s="51"/>
      <c r="H275" s="52" t="s">
        <v>2658</v>
      </c>
      <c r="I275" s="56">
        <v>900</v>
      </c>
    </row>
    <row r="276" spans="1:9" ht="16" x14ac:dyDescent="0.2">
      <c r="A276" s="53" t="s">
        <v>2301</v>
      </c>
      <c r="B276" s="50" t="s">
        <v>2659</v>
      </c>
      <c r="C276" s="54"/>
      <c r="D276" s="51"/>
      <c r="E276" s="51"/>
      <c r="F276" s="52" t="s">
        <v>2303</v>
      </c>
      <c r="G276" s="51"/>
      <c r="H276" s="52"/>
      <c r="I276" s="56">
        <v>186</v>
      </c>
    </row>
    <row r="277" spans="1:9" ht="32" x14ac:dyDescent="0.2">
      <c r="A277" s="53" t="s">
        <v>2301</v>
      </c>
      <c r="B277" s="50" t="s">
        <v>2659</v>
      </c>
      <c r="C277" s="54"/>
      <c r="D277" s="51"/>
      <c r="E277" s="51"/>
      <c r="F277" s="52" t="s">
        <v>2660</v>
      </c>
      <c r="G277" s="51"/>
      <c r="H277" s="52" t="s">
        <v>2661</v>
      </c>
      <c r="I277" s="56">
        <v>238</v>
      </c>
    </row>
    <row r="278" spans="1:9" ht="32" x14ac:dyDescent="0.2">
      <c r="A278" s="53" t="s">
        <v>2662</v>
      </c>
      <c r="B278" s="50" t="s">
        <v>2663</v>
      </c>
      <c r="C278" s="54"/>
      <c r="D278" s="51"/>
      <c r="E278" s="51"/>
      <c r="F278" s="52" t="s">
        <v>2465</v>
      </c>
      <c r="G278" s="51"/>
      <c r="H278" s="52" t="s">
        <v>2466</v>
      </c>
      <c r="I278" s="56">
        <v>195</v>
      </c>
    </row>
    <row r="279" spans="1:9" ht="32" x14ac:dyDescent="0.2">
      <c r="A279" s="53" t="s">
        <v>2662</v>
      </c>
      <c r="B279" s="50" t="s">
        <v>2663</v>
      </c>
      <c r="C279" s="54"/>
      <c r="D279" s="51"/>
      <c r="E279" s="51"/>
      <c r="F279" s="52" t="s">
        <v>2664</v>
      </c>
      <c r="G279" s="51"/>
      <c r="H279" s="52" t="s">
        <v>2665</v>
      </c>
      <c r="I279" s="56">
        <v>822</v>
      </c>
    </row>
    <row r="280" spans="1:9" ht="48" x14ac:dyDescent="0.2">
      <c r="A280" s="53" t="s">
        <v>2406</v>
      </c>
      <c r="B280" s="50" t="s">
        <v>2407</v>
      </c>
      <c r="C280" s="54"/>
      <c r="D280" s="51"/>
      <c r="E280" s="51"/>
      <c r="F280" s="52" t="s">
        <v>2666</v>
      </c>
      <c r="G280" s="51"/>
      <c r="H280" s="52" t="s">
        <v>2667</v>
      </c>
      <c r="I280" s="56">
        <v>28.62</v>
      </c>
    </row>
    <row r="281" spans="1:9" ht="48" x14ac:dyDescent="0.2">
      <c r="A281" s="53" t="s">
        <v>2668</v>
      </c>
      <c r="B281" s="50" t="s">
        <v>2669</v>
      </c>
      <c r="C281" s="54"/>
      <c r="D281" s="51"/>
      <c r="E281" s="51"/>
      <c r="F281" s="52" t="s">
        <v>2670</v>
      </c>
      <c r="G281" s="51"/>
      <c r="H281" s="52" t="s">
        <v>2667</v>
      </c>
      <c r="I281" s="56">
        <v>42.97</v>
      </c>
    </row>
    <row r="282" spans="1:9" ht="48" x14ac:dyDescent="0.2">
      <c r="A282" s="53" t="s">
        <v>2671</v>
      </c>
      <c r="B282" s="50" t="s">
        <v>2672</v>
      </c>
      <c r="C282" s="54"/>
      <c r="D282" s="51"/>
      <c r="E282" s="51"/>
      <c r="F282" s="52" t="s">
        <v>2673</v>
      </c>
      <c r="G282" s="51"/>
      <c r="H282" s="52" t="s">
        <v>2674</v>
      </c>
      <c r="I282" s="56">
        <v>67.989999999999995</v>
      </c>
    </row>
    <row r="283" spans="1:9" ht="32" x14ac:dyDescent="0.2">
      <c r="A283" s="53" t="s">
        <v>2675</v>
      </c>
      <c r="B283" s="50" t="s">
        <v>2676</v>
      </c>
      <c r="C283" s="54"/>
      <c r="D283" s="51"/>
      <c r="E283" s="51"/>
      <c r="F283" s="52" t="s">
        <v>2677</v>
      </c>
      <c r="G283" s="51"/>
      <c r="H283" s="52"/>
      <c r="I283" s="56">
        <v>22.5</v>
      </c>
    </row>
    <row r="284" spans="1:9" ht="32" x14ac:dyDescent="0.2">
      <c r="A284" s="53" t="s">
        <v>2678</v>
      </c>
      <c r="B284" s="50" t="s">
        <v>2679</v>
      </c>
      <c r="C284" s="54"/>
      <c r="D284" s="51"/>
      <c r="E284" s="51"/>
      <c r="F284" s="52" t="s">
        <v>2680</v>
      </c>
      <c r="G284" s="51"/>
      <c r="H284" s="52" t="s">
        <v>2681</v>
      </c>
      <c r="I284" s="56">
        <v>510</v>
      </c>
    </row>
    <row r="285" spans="1:9" ht="32" x14ac:dyDescent="0.2">
      <c r="A285" s="53" t="s">
        <v>2678</v>
      </c>
      <c r="B285" s="50" t="s">
        <v>2679</v>
      </c>
      <c r="C285" s="54"/>
      <c r="D285" s="51"/>
      <c r="E285" s="51"/>
      <c r="F285" s="52" t="s">
        <v>2421</v>
      </c>
      <c r="G285" s="51"/>
      <c r="H285" s="52" t="s">
        <v>2682</v>
      </c>
      <c r="I285" s="56">
        <v>680</v>
      </c>
    </row>
    <row r="286" spans="1:9" ht="16" x14ac:dyDescent="0.2">
      <c r="A286" s="53" t="s">
        <v>2683</v>
      </c>
      <c r="B286" s="50" t="s">
        <v>2684</v>
      </c>
      <c r="C286" s="54"/>
      <c r="D286" s="51"/>
      <c r="E286" s="51"/>
      <c r="F286" s="52" t="s">
        <v>2685</v>
      </c>
      <c r="G286" s="51"/>
      <c r="H286" s="52" t="s">
        <v>2686</v>
      </c>
      <c r="I286" s="56">
        <v>31.08</v>
      </c>
    </row>
    <row r="287" spans="1:9" ht="32" x14ac:dyDescent="0.2">
      <c r="A287" s="53" t="s">
        <v>2687</v>
      </c>
      <c r="B287" s="50" t="s">
        <v>2688</v>
      </c>
      <c r="C287" s="54"/>
      <c r="D287" s="51"/>
      <c r="E287" s="51"/>
      <c r="F287" s="52" t="s">
        <v>2689</v>
      </c>
      <c r="G287" s="51"/>
      <c r="H287" s="52" t="s">
        <v>2690</v>
      </c>
      <c r="I287" s="56">
        <v>23.92</v>
      </c>
    </row>
    <row r="288" spans="1:9" ht="48" x14ac:dyDescent="0.2">
      <c r="A288" s="53" t="s">
        <v>2691</v>
      </c>
      <c r="B288" s="50" t="s">
        <v>2692</v>
      </c>
      <c r="C288" s="54"/>
      <c r="D288" s="51"/>
      <c r="E288" s="51"/>
      <c r="F288" s="52" t="s">
        <v>2693</v>
      </c>
      <c r="G288" s="51"/>
      <c r="H288" s="52" t="s">
        <v>2694</v>
      </c>
      <c r="I288" s="56">
        <v>24.14</v>
      </c>
    </row>
    <row r="289" spans="1:9" ht="32" x14ac:dyDescent="0.2">
      <c r="A289" s="53" t="s">
        <v>2695</v>
      </c>
      <c r="B289" s="50" t="s">
        <v>2696</v>
      </c>
      <c r="C289" s="54"/>
      <c r="D289" s="51"/>
      <c r="E289" s="51"/>
      <c r="F289" s="52" t="s">
        <v>2689</v>
      </c>
      <c r="G289" s="51"/>
      <c r="H289" s="52"/>
      <c r="I289" s="56">
        <v>43.87</v>
      </c>
    </row>
    <row r="290" spans="1:9" ht="32" x14ac:dyDescent="0.2">
      <c r="A290" s="53" t="s">
        <v>2697</v>
      </c>
      <c r="B290" s="50" t="s">
        <v>2698</v>
      </c>
      <c r="C290" s="54"/>
      <c r="D290" s="51"/>
      <c r="E290" s="51"/>
      <c r="F290" s="52" t="s">
        <v>2699</v>
      </c>
      <c r="G290" s="51"/>
      <c r="H290" s="52" t="s">
        <v>2700</v>
      </c>
      <c r="I290" s="56">
        <v>46.85</v>
      </c>
    </row>
    <row r="291" spans="1:9" ht="16" x14ac:dyDescent="0.2">
      <c r="A291" s="53" t="s">
        <v>2701</v>
      </c>
      <c r="B291" s="50" t="s">
        <v>2702</v>
      </c>
      <c r="C291" s="54"/>
      <c r="D291" s="51"/>
      <c r="E291" s="51"/>
      <c r="F291" s="52" t="s">
        <v>2660</v>
      </c>
      <c r="G291" s="51"/>
      <c r="H291" s="52" t="s">
        <v>2703</v>
      </c>
      <c r="I291" s="56">
        <v>312</v>
      </c>
    </row>
    <row r="292" spans="1:9" ht="16" x14ac:dyDescent="0.2">
      <c r="A292" s="53" t="s">
        <v>2704</v>
      </c>
      <c r="B292" s="50" t="s">
        <v>2705</v>
      </c>
      <c r="C292" s="54"/>
      <c r="D292" s="51"/>
      <c r="E292" s="51"/>
      <c r="F292" s="52" t="s">
        <v>2660</v>
      </c>
      <c r="G292" s="51"/>
      <c r="H292" s="52" t="s">
        <v>2703</v>
      </c>
      <c r="I292" s="56">
        <v>211</v>
      </c>
    </row>
    <row r="293" spans="1:9" ht="16" x14ac:dyDescent="0.2">
      <c r="A293" s="53" t="s">
        <v>2706</v>
      </c>
      <c r="B293" s="50" t="s">
        <v>2707</v>
      </c>
      <c r="C293" s="54"/>
      <c r="D293" s="51"/>
      <c r="E293" s="51"/>
      <c r="F293" s="52" t="s">
        <v>2660</v>
      </c>
      <c r="G293" s="51"/>
      <c r="H293" s="52" t="s">
        <v>2426</v>
      </c>
      <c r="I293" s="56">
        <v>228</v>
      </c>
    </row>
    <row r="294" spans="1:9" ht="16" x14ac:dyDescent="0.2">
      <c r="A294" s="53" t="s">
        <v>2708</v>
      </c>
      <c r="B294" s="50" t="s">
        <v>2709</v>
      </c>
      <c r="C294" s="54"/>
      <c r="D294" s="51"/>
      <c r="E294" s="51"/>
      <c r="F294" s="52" t="s">
        <v>2660</v>
      </c>
      <c r="G294" s="51"/>
      <c r="H294" s="52" t="s">
        <v>2426</v>
      </c>
      <c r="I294" s="56">
        <v>262</v>
      </c>
    </row>
    <row r="295" spans="1:9" ht="32" x14ac:dyDescent="0.2">
      <c r="A295" s="53" t="s">
        <v>2710</v>
      </c>
      <c r="B295" s="50" t="s">
        <v>2711</v>
      </c>
      <c r="C295" s="54"/>
      <c r="D295" s="51"/>
      <c r="E295" s="51"/>
      <c r="F295" s="52" t="s">
        <v>2642</v>
      </c>
      <c r="G295" s="51"/>
      <c r="H295" s="52" t="s">
        <v>2712</v>
      </c>
      <c r="I295" s="56">
        <v>83</v>
      </c>
    </row>
    <row r="296" spans="1:9" ht="32" x14ac:dyDescent="0.2">
      <c r="A296" s="53" t="s">
        <v>2713</v>
      </c>
      <c r="B296" s="50" t="s">
        <v>2714</v>
      </c>
      <c r="C296" s="54"/>
      <c r="D296" s="51"/>
      <c r="E296" s="51"/>
      <c r="F296" s="52" t="s">
        <v>2592</v>
      </c>
      <c r="G296" s="51"/>
      <c r="H296" s="52" t="s">
        <v>2381</v>
      </c>
      <c r="I296" s="56">
        <v>250</v>
      </c>
    </row>
    <row r="297" spans="1:9" ht="32" x14ac:dyDescent="0.2">
      <c r="A297" s="53" t="s">
        <v>2152</v>
      </c>
      <c r="B297" s="50" t="s">
        <v>2152</v>
      </c>
      <c r="C297" s="54"/>
      <c r="D297" s="51"/>
      <c r="E297" s="51"/>
      <c r="F297" s="52" t="s">
        <v>2380</v>
      </c>
      <c r="G297" s="51"/>
      <c r="H297" s="52" t="s">
        <v>2715</v>
      </c>
      <c r="I297" s="56">
        <v>185</v>
      </c>
    </row>
    <row r="298" spans="1:9" ht="32" x14ac:dyDescent="0.2">
      <c r="A298" s="53" t="s">
        <v>2716</v>
      </c>
      <c r="B298" s="50" t="s">
        <v>2717</v>
      </c>
      <c r="C298" s="54"/>
      <c r="D298" s="51"/>
      <c r="E298" s="51"/>
      <c r="F298" s="52" t="s">
        <v>2501</v>
      </c>
      <c r="G298" s="51"/>
      <c r="H298" s="52" t="s">
        <v>2718</v>
      </c>
      <c r="I298" s="56">
        <v>300</v>
      </c>
    </row>
    <row r="299" spans="1:9" ht="32" x14ac:dyDescent="0.2">
      <c r="A299" s="53" t="s">
        <v>2716</v>
      </c>
      <c r="B299" s="76" t="s">
        <v>2717</v>
      </c>
      <c r="C299" s="54"/>
      <c r="D299" s="51"/>
      <c r="E299" s="51"/>
      <c r="F299" s="52" t="s">
        <v>2719</v>
      </c>
      <c r="G299" s="51"/>
      <c r="H299" s="52" t="s">
        <v>2718</v>
      </c>
      <c r="I299" s="56">
        <v>900</v>
      </c>
    </row>
    <row r="300" spans="1:9" ht="32" x14ac:dyDescent="0.2">
      <c r="A300" s="53" t="s">
        <v>2716</v>
      </c>
      <c r="B300" s="76" t="s">
        <v>2717</v>
      </c>
      <c r="C300" s="54"/>
      <c r="D300" s="51"/>
      <c r="E300" s="51"/>
      <c r="F300" s="52" t="s">
        <v>2610</v>
      </c>
      <c r="G300" s="51"/>
      <c r="H300" s="52" t="s">
        <v>2720</v>
      </c>
      <c r="I300" s="56">
        <v>203</v>
      </c>
    </row>
    <row r="301" spans="1:9" ht="32" x14ac:dyDescent="0.2">
      <c r="A301" s="53" t="s">
        <v>2721</v>
      </c>
      <c r="B301" s="50" t="s">
        <v>2722</v>
      </c>
      <c r="C301" s="54"/>
      <c r="D301" s="51"/>
      <c r="E301" s="51"/>
      <c r="F301" s="52" t="s">
        <v>2699</v>
      </c>
      <c r="G301" s="51"/>
      <c r="H301" s="52" t="s">
        <v>2700</v>
      </c>
      <c r="I301" s="56">
        <v>38.909999999999997</v>
      </c>
    </row>
    <row r="302" spans="1:9" ht="112" x14ac:dyDescent="0.2">
      <c r="A302" s="53" t="s">
        <v>2723</v>
      </c>
      <c r="B302" s="50" t="s">
        <v>2723</v>
      </c>
      <c r="C302" s="54"/>
      <c r="D302" s="51"/>
      <c r="E302" s="51"/>
      <c r="F302" s="52" t="s">
        <v>2724</v>
      </c>
      <c r="G302" s="51"/>
      <c r="H302" s="52" t="s">
        <v>2725</v>
      </c>
      <c r="I302" s="55" t="s">
        <v>2726</v>
      </c>
    </row>
    <row r="303" spans="1:9" ht="32" x14ac:dyDescent="0.2">
      <c r="A303" s="53" t="s">
        <v>2683</v>
      </c>
      <c r="B303" s="50" t="s">
        <v>2727</v>
      </c>
      <c r="C303" s="54"/>
      <c r="D303" s="51"/>
      <c r="E303" s="51"/>
      <c r="F303" s="52" t="s">
        <v>2728</v>
      </c>
      <c r="G303" s="51"/>
      <c r="H303" s="52" t="s">
        <v>2729</v>
      </c>
      <c r="I303" s="56">
        <v>69</v>
      </c>
    </row>
    <row r="304" spans="1:9" ht="32" x14ac:dyDescent="0.2">
      <c r="A304" s="53" t="s">
        <v>2730</v>
      </c>
      <c r="B304" s="50" t="s">
        <v>2731</v>
      </c>
      <c r="C304" s="54"/>
      <c r="D304" s="51"/>
      <c r="E304" s="51"/>
      <c r="F304" s="52" t="s">
        <v>2610</v>
      </c>
      <c r="G304" s="51"/>
      <c r="H304" s="52"/>
      <c r="I304" s="55" t="s">
        <v>2373</v>
      </c>
    </row>
    <row r="305" spans="1:9" ht="32" x14ac:dyDescent="0.2">
      <c r="A305" s="53" t="s">
        <v>2732</v>
      </c>
      <c r="B305" s="50" t="s">
        <v>2733</v>
      </c>
      <c r="C305" s="54"/>
      <c r="D305" s="51"/>
      <c r="E305" s="51"/>
      <c r="F305" s="52" t="s">
        <v>2734</v>
      </c>
      <c r="G305" s="51"/>
      <c r="H305" s="52" t="s">
        <v>2735</v>
      </c>
      <c r="I305" s="56">
        <v>55</v>
      </c>
    </row>
    <row r="306" spans="1:9" ht="32" x14ac:dyDescent="0.2">
      <c r="A306" s="53" t="s">
        <v>2736</v>
      </c>
      <c r="B306" s="50" t="s">
        <v>2737</v>
      </c>
      <c r="C306" s="54"/>
      <c r="D306" s="51"/>
      <c r="E306" s="51"/>
      <c r="F306" s="52" t="s">
        <v>2738</v>
      </c>
      <c r="G306" s="51"/>
      <c r="H306" s="52" t="s">
        <v>2739</v>
      </c>
      <c r="I306" s="56">
        <v>48.99</v>
      </c>
    </row>
    <row r="307" spans="1:9" ht="48" x14ac:dyDescent="0.2">
      <c r="A307" s="53" t="s">
        <v>2740</v>
      </c>
      <c r="B307" s="50" t="s">
        <v>2741</v>
      </c>
      <c r="C307" s="54"/>
      <c r="D307" s="51"/>
      <c r="E307" s="51"/>
      <c r="F307" s="52" t="s">
        <v>2742</v>
      </c>
      <c r="G307" s="51"/>
      <c r="H307" s="52"/>
      <c r="I307" s="56">
        <v>58</v>
      </c>
    </row>
    <row r="308" spans="1:9" ht="32" x14ac:dyDescent="0.2">
      <c r="A308" s="53" t="s">
        <v>2743</v>
      </c>
      <c r="B308" s="50" t="s">
        <v>2744</v>
      </c>
      <c r="C308" s="54"/>
      <c r="D308" s="51"/>
      <c r="E308" s="51"/>
      <c r="F308" s="52" t="s">
        <v>2374</v>
      </c>
      <c r="G308" s="51"/>
      <c r="H308" s="52"/>
      <c r="I308" s="56">
        <v>135</v>
      </c>
    </row>
    <row r="309" spans="1:9" ht="32" x14ac:dyDescent="0.2">
      <c r="A309" s="53" t="s">
        <v>2745</v>
      </c>
      <c r="B309" s="50" t="s">
        <v>2746</v>
      </c>
      <c r="C309" s="54"/>
      <c r="D309" s="51"/>
      <c r="E309" s="51"/>
      <c r="F309" s="52" t="s">
        <v>2747</v>
      </c>
      <c r="G309" s="51"/>
      <c r="H309" s="52" t="s">
        <v>2748</v>
      </c>
      <c r="I309" s="56">
        <v>28</v>
      </c>
    </row>
    <row r="310" spans="1:9" ht="32" x14ac:dyDescent="0.2">
      <c r="A310" s="53" t="s">
        <v>2749</v>
      </c>
      <c r="B310" s="50" t="s">
        <v>2750</v>
      </c>
      <c r="C310" s="54"/>
      <c r="D310" s="51"/>
      <c r="E310" s="51"/>
      <c r="F310" s="52" t="s">
        <v>2522</v>
      </c>
      <c r="G310" s="51"/>
      <c r="H310" s="52" t="s">
        <v>2466</v>
      </c>
      <c r="I310" s="56">
        <v>33</v>
      </c>
    </row>
    <row r="311" spans="1:9" ht="32" x14ac:dyDescent="0.2">
      <c r="A311" s="53" t="s">
        <v>2751</v>
      </c>
      <c r="B311" s="50" t="s">
        <v>2752</v>
      </c>
      <c r="C311" s="54"/>
      <c r="D311" s="51"/>
      <c r="E311" s="51"/>
      <c r="F311" s="52" t="s">
        <v>2753</v>
      </c>
      <c r="G311" s="51"/>
      <c r="H311" s="52" t="s">
        <v>2739</v>
      </c>
      <c r="I311" s="56">
        <v>288.73</v>
      </c>
    </row>
    <row r="312" spans="1:9" ht="32" x14ac:dyDescent="0.2">
      <c r="A312" s="53" t="s">
        <v>2754</v>
      </c>
      <c r="B312" s="50" t="s">
        <v>2755</v>
      </c>
      <c r="C312" s="54"/>
      <c r="D312" s="51"/>
      <c r="E312" s="51"/>
      <c r="F312" s="52" t="s">
        <v>2756</v>
      </c>
      <c r="G312" s="51"/>
      <c r="H312" s="52"/>
      <c r="I312" s="56">
        <v>18.75</v>
      </c>
    </row>
    <row r="313" spans="1:9" ht="32" x14ac:dyDescent="0.2">
      <c r="A313" s="53" t="s">
        <v>2754</v>
      </c>
      <c r="B313" s="50" t="s">
        <v>2755</v>
      </c>
      <c r="C313" s="54"/>
      <c r="D313" s="51"/>
      <c r="E313" s="51"/>
      <c r="F313" s="52" t="s">
        <v>2757</v>
      </c>
      <c r="G313" s="51"/>
      <c r="H313" s="52" t="s">
        <v>2758</v>
      </c>
      <c r="I313" s="56">
        <v>17.649999999999999</v>
      </c>
    </row>
    <row r="314" spans="1:9" ht="32" x14ac:dyDescent="0.2">
      <c r="A314" s="53" t="s">
        <v>2759</v>
      </c>
      <c r="B314" s="50" t="s">
        <v>2760</v>
      </c>
      <c r="C314" s="54"/>
      <c r="D314" s="51"/>
      <c r="E314" s="51"/>
      <c r="F314" s="52" t="s">
        <v>2757</v>
      </c>
      <c r="G314" s="51"/>
      <c r="H314" s="52" t="s">
        <v>2381</v>
      </c>
      <c r="I314" s="56">
        <v>152</v>
      </c>
    </row>
    <row r="315" spans="1:9" ht="32" x14ac:dyDescent="0.2">
      <c r="A315" s="53" t="s">
        <v>2759</v>
      </c>
      <c r="B315" s="50" t="s">
        <v>2760</v>
      </c>
      <c r="C315" s="54"/>
      <c r="D315" s="51"/>
      <c r="E315" s="51"/>
      <c r="F315" s="52" t="s">
        <v>2756</v>
      </c>
      <c r="G315" s="51"/>
      <c r="H315" s="52" t="s">
        <v>2379</v>
      </c>
      <c r="I315" s="56">
        <v>166</v>
      </c>
    </row>
    <row r="316" spans="1:9" ht="32" x14ac:dyDescent="0.2">
      <c r="A316" s="53" t="s">
        <v>2761</v>
      </c>
      <c r="B316" s="50" t="s">
        <v>2762</v>
      </c>
      <c r="C316" s="54"/>
      <c r="D316" s="51"/>
      <c r="E316" s="51"/>
      <c r="F316" s="52" t="s">
        <v>2756</v>
      </c>
      <c r="G316" s="51"/>
      <c r="H316" s="52" t="s">
        <v>2426</v>
      </c>
      <c r="I316" s="56">
        <v>8.6</v>
      </c>
    </row>
    <row r="317" spans="1:9" ht="32" x14ac:dyDescent="0.2">
      <c r="A317" s="53" t="s">
        <v>2763</v>
      </c>
      <c r="B317" s="50" t="s">
        <v>2764</v>
      </c>
      <c r="C317" s="54"/>
      <c r="D317" s="51"/>
      <c r="E317" s="51"/>
      <c r="F317" s="52" t="s">
        <v>2747</v>
      </c>
      <c r="G317" s="51"/>
      <c r="H317" s="52"/>
      <c r="I317" s="56">
        <v>34.520000000000003</v>
      </c>
    </row>
    <row r="318" spans="1:9" ht="16" x14ac:dyDescent="0.2">
      <c r="A318" s="53" t="s">
        <v>2765</v>
      </c>
      <c r="B318" s="50" t="s">
        <v>2766</v>
      </c>
      <c r="C318" s="54"/>
      <c r="D318" s="51"/>
      <c r="E318" s="51"/>
      <c r="F318" s="52" t="s">
        <v>2660</v>
      </c>
      <c r="G318" s="51"/>
      <c r="H318" s="52" t="s">
        <v>2379</v>
      </c>
      <c r="I318" s="56">
        <v>87</v>
      </c>
    </row>
    <row r="319" spans="1:9" ht="32" x14ac:dyDescent="0.2">
      <c r="A319" s="53" t="s">
        <v>2767</v>
      </c>
      <c r="B319" s="50" t="s">
        <v>2768</v>
      </c>
      <c r="C319" s="54"/>
      <c r="D319" s="51"/>
      <c r="E319" s="51"/>
      <c r="F319" s="52" t="s">
        <v>2689</v>
      </c>
      <c r="G319" s="51"/>
      <c r="H319" s="52"/>
      <c r="I319" s="55"/>
    </row>
    <row r="320" spans="1:9" ht="32" x14ac:dyDescent="0.2">
      <c r="A320" s="53" t="s">
        <v>2769</v>
      </c>
      <c r="B320" s="50" t="s">
        <v>2770</v>
      </c>
      <c r="C320" s="54"/>
      <c r="D320" s="51"/>
      <c r="E320" s="51"/>
      <c r="F320" s="52" t="s">
        <v>2689</v>
      </c>
      <c r="G320" s="51"/>
      <c r="H320" s="52"/>
      <c r="I320" s="55"/>
    </row>
    <row r="321" spans="1:9" ht="32" x14ac:dyDescent="0.2">
      <c r="A321" s="53" t="s">
        <v>2771</v>
      </c>
      <c r="B321" s="50" t="s">
        <v>2772</v>
      </c>
      <c r="C321" s="54"/>
      <c r="D321" s="51"/>
      <c r="E321" s="51"/>
      <c r="F321" s="52" t="s">
        <v>2689</v>
      </c>
      <c r="G321" s="51"/>
      <c r="H321" s="52"/>
      <c r="I321" s="55"/>
    </row>
    <row r="322" spans="1:9" ht="32" x14ac:dyDescent="0.2">
      <c r="A322" s="53" t="s">
        <v>2773</v>
      </c>
      <c r="B322" s="50" t="s">
        <v>2774</v>
      </c>
      <c r="C322" s="54"/>
      <c r="D322" s="51"/>
      <c r="E322" s="51"/>
      <c r="F322" s="52" t="s">
        <v>2689</v>
      </c>
      <c r="G322" s="51"/>
      <c r="H322" s="52"/>
      <c r="I322" s="55"/>
    </row>
    <row r="323" spans="1:9" ht="32" x14ac:dyDescent="0.2">
      <c r="A323" s="53" t="s">
        <v>2775</v>
      </c>
      <c r="B323" s="50" t="s">
        <v>2776</v>
      </c>
      <c r="C323" s="54"/>
      <c r="D323" s="51"/>
      <c r="E323" s="51"/>
      <c r="F323" s="52" t="s">
        <v>2689</v>
      </c>
      <c r="G323" s="51"/>
      <c r="H323" s="52"/>
      <c r="I323" s="55"/>
    </row>
    <row r="324" spans="1:9" ht="32" x14ac:dyDescent="0.2">
      <c r="A324" s="53" t="s">
        <v>2777</v>
      </c>
      <c r="B324" s="50" t="s">
        <v>2778</v>
      </c>
      <c r="C324" s="54"/>
      <c r="D324" s="51"/>
      <c r="E324" s="51"/>
      <c r="F324" s="52" t="s">
        <v>2689</v>
      </c>
      <c r="G324" s="51"/>
      <c r="H324" s="52" t="s">
        <v>2779</v>
      </c>
      <c r="I324" s="56">
        <v>40.79</v>
      </c>
    </row>
    <row r="325" spans="1:9" ht="32" x14ac:dyDescent="0.2">
      <c r="A325" s="53" t="s">
        <v>2780</v>
      </c>
      <c r="B325" s="50" t="s">
        <v>2781</v>
      </c>
      <c r="C325" s="54"/>
      <c r="D325" s="51"/>
      <c r="E325" s="51"/>
      <c r="F325" s="52" t="s">
        <v>2689</v>
      </c>
      <c r="G325" s="51"/>
      <c r="H325" s="52"/>
      <c r="I325" s="55"/>
    </row>
    <row r="326" spans="1:9" ht="32" x14ac:dyDescent="0.2">
      <c r="A326" s="53" t="s">
        <v>2782</v>
      </c>
      <c r="B326" s="50" t="s">
        <v>2783</v>
      </c>
      <c r="C326" s="54"/>
      <c r="D326" s="51"/>
      <c r="E326" s="51"/>
      <c r="F326" s="52" t="s">
        <v>2689</v>
      </c>
      <c r="G326" s="51"/>
      <c r="H326" s="52"/>
      <c r="I326" s="55"/>
    </row>
    <row r="327" spans="1:9" ht="32" x14ac:dyDescent="0.2">
      <c r="A327" s="53" t="s">
        <v>2784</v>
      </c>
      <c r="B327" s="50" t="s">
        <v>2785</v>
      </c>
      <c r="C327" s="54"/>
      <c r="D327" s="51"/>
      <c r="E327" s="51"/>
      <c r="F327" s="52" t="s">
        <v>2689</v>
      </c>
      <c r="G327" s="51"/>
      <c r="H327" s="52"/>
      <c r="I327" s="55"/>
    </row>
    <row r="328" spans="1:9" ht="32" x14ac:dyDescent="0.2">
      <c r="A328" s="53" t="s">
        <v>2786</v>
      </c>
      <c r="B328" s="50" t="s">
        <v>2787</v>
      </c>
      <c r="C328" s="54"/>
      <c r="D328" s="51"/>
      <c r="E328" s="51"/>
      <c r="F328" s="52" t="s">
        <v>2689</v>
      </c>
      <c r="G328" s="51"/>
      <c r="H328" s="52" t="s">
        <v>2779</v>
      </c>
      <c r="I328" s="56">
        <v>38.03</v>
      </c>
    </row>
    <row r="329" spans="1:9" ht="32" x14ac:dyDescent="0.2">
      <c r="A329" s="53" t="s">
        <v>2788</v>
      </c>
      <c r="B329" s="50" t="s">
        <v>2789</v>
      </c>
      <c r="C329" s="54"/>
      <c r="D329" s="51"/>
      <c r="E329" s="51"/>
      <c r="F329" s="52" t="s">
        <v>2689</v>
      </c>
      <c r="G329" s="51"/>
      <c r="H329" s="52"/>
      <c r="I329" s="55"/>
    </row>
    <row r="330" spans="1:9" ht="32" x14ac:dyDescent="0.2">
      <c r="A330" s="53" t="s">
        <v>2790</v>
      </c>
      <c r="B330" s="50" t="s">
        <v>2791</v>
      </c>
      <c r="C330" s="54"/>
      <c r="D330" s="51"/>
      <c r="E330" s="51"/>
      <c r="F330" s="52" t="s">
        <v>2689</v>
      </c>
      <c r="G330" s="51"/>
      <c r="H330" s="52"/>
      <c r="I330" s="55"/>
    </row>
    <row r="331" spans="1:9" ht="16" x14ac:dyDescent="0.2">
      <c r="A331" s="53" t="s">
        <v>2792</v>
      </c>
      <c r="B331" s="50" t="s">
        <v>2793</v>
      </c>
      <c r="F331" s="52" t="s">
        <v>2794</v>
      </c>
      <c r="H331" s="52"/>
      <c r="I331" s="56">
        <v>10</v>
      </c>
    </row>
    <row r="332" spans="1:9" ht="32" x14ac:dyDescent="0.2">
      <c r="A332" s="53" t="s">
        <v>2795</v>
      </c>
      <c r="B332" s="50" t="s">
        <v>2796</v>
      </c>
      <c r="F332" s="52" t="s">
        <v>2376</v>
      </c>
      <c r="H332" s="52" t="s">
        <v>2379</v>
      </c>
      <c r="I332" s="56">
        <v>27</v>
      </c>
    </row>
    <row r="333" spans="1:9" ht="48" x14ac:dyDescent="0.2">
      <c r="A333" s="53" t="s">
        <v>2797</v>
      </c>
      <c r="B333" s="50" t="s">
        <v>2798</v>
      </c>
      <c r="F333" s="52" t="s">
        <v>2376</v>
      </c>
      <c r="H333" s="52" t="s">
        <v>2799</v>
      </c>
      <c r="I333" s="56">
        <v>41</v>
      </c>
    </row>
    <row r="334" spans="1:9" ht="32" x14ac:dyDescent="0.2">
      <c r="A334" s="53" t="s">
        <v>2800</v>
      </c>
      <c r="B334" s="50" t="s">
        <v>2801</v>
      </c>
      <c r="F334" s="52" t="s">
        <v>2802</v>
      </c>
      <c r="H334" s="52" t="s">
        <v>2803</v>
      </c>
      <c r="I334" s="56">
        <v>32.11</v>
      </c>
    </row>
    <row r="335" spans="1:9" ht="32" x14ac:dyDescent="0.2">
      <c r="A335" s="53" t="s">
        <v>2804</v>
      </c>
      <c r="B335" s="50" t="s">
        <v>2805</v>
      </c>
      <c r="F335" s="52" t="s">
        <v>2806</v>
      </c>
      <c r="H335" s="52" t="s">
        <v>2807</v>
      </c>
      <c r="I335" s="56">
        <v>550</v>
      </c>
    </row>
    <row r="336" spans="1:9" ht="32" x14ac:dyDescent="0.2">
      <c r="A336" s="53" t="s">
        <v>2808</v>
      </c>
      <c r="B336" s="50" t="s">
        <v>2809</v>
      </c>
      <c r="F336" s="52" t="s">
        <v>2575</v>
      </c>
      <c r="H336" s="52" t="s">
        <v>2810</v>
      </c>
      <c r="I336" s="56">
        <v>49.71</v>
      </c>
    </row>
    <row r="337" spans="1:9" ht="32" x14ac:dyDescent="0.2">
      <c r="A337" s="53" t="s">
        <v>2811</v>
      </c>
      <c r="B337" s="50" t="s">
        <v>2812</v>
      </c>
      <c r="F337" s="52" t="s">
        <v>2813</v>
      </c>
      <c r="H337" s="52" t="s">
        <v>2814</v>
      </c>
      <c r="I337" s="56">
        <v>350</v>
      </c>
    </row>
    <row r="338" spans="1:9" ht="32" x14ac:dyDescent="0.2">
      <c r="A338" s="53" t="s">
        <v>2815</v>
      </c>
      <c r="B338" s="50" t="s">
        <v>2816</v>
      </c>
      <c r="F338" s="52" t="s">
        <v>2817</v>
      </c>
      <c r="H338" s="52" t="s">
        <v>2818</v>
      </c>
      <c r="I338" s="55"/>
    </row>
    <row r="339" spans="1:9" ht="32" x14ac:dyDescent="0.2">
      <c r="A339" s="53" t="s">
        <v>2819</v>
      </c>
      <c r="B339" s="50" t="s">
        <v>2820</v>
      </c>
      <c r="F339" s="52" t="s">
        <v>2610</v>
      </c>
      <c r="H339" s="52" t="s">
        <v>2624</v>
      </c>
      <c r="I339" s="56">
        <v>51.62</v>
      </c>
    </row>
    <row r="340" spans="1:9" ht="32" x14ac:dyDescent="0.2">
      <c r="A340" s="53" t="s">
        <v>2821</v>
      </c>
      <c r="B340" s="50" t="s">
        <v>2822</v>
      </c>
      <c r="F340" s="52" t="s">
        <v>2610</v>
      </c>
      <c r="H340" s="52"/>
      <c r="I340" s="55"/>
    </row>
    <row r="341" spans="1:9" ht="32" x14ac:dyDescent="0.2">
      <c r="A341" s="53" t="s">
        <v>2823</v>
      </c>
      <c r="B341" s="50" t="s">
        <v>2824</v>
      </c>
      <c r="F341" s="52" t="s">
        <v>2666</v>
      </c>
      <c r="H341" s="52" t="s">
        <v>2682</v>
      </c>
      <c r="I341" s="56">
        <v>4.74</v>
      </c>
    </row>
    <row r="342" spans="1:9" ht="32" x14ac:dyDescent="0.2">
      <c r="A342" s="53" t="s">
        <v>2825</v>
      </c>
      <c r="B342" s="50" t="s">
        <v>2826</v>
      </c>
      <c r="F342" s="52" t="s">
        <v>2666</v>
      </c>
      <c r="H342" s="52" t="s">
        <v>2682</v>
      </c>
      <c r="I342" s="56">
        <v>1.65</v>
      </c>
    </row>
    <row r="343" spans="1:9" ht="32" x14ac:dyDescent="0.2">
      <c r="A343" s="53" t="s">
        <v>2827</v>
      </c>
      <c r="B343" s="50" t="s">
        <v>2828</v>
      </c>
      <c r="F343" s="52" t="s">
        <v>2829</v>
      </c>
      <c r="H343" s="52" t="s">
        <v>2830</v>
      </c>
      <c r="I343" s="56">
        <v>94</v>
      </c>
    </row>
    <row r="344" spans="1:9" ht="32" x14ac:dyDescent="0.2">
      <c r="A344" s="53" t="s">
        <v>2831</v>
      </c>
      <c r="B344" s="50" t="s">
        <v>2832</v>
      </c>
      <c r="F344" s="52" t="s">
        <v>2833</v>
      </c>
      <c r="H344" s="52"/>
      <c r="I344" s="56">
        <v>4.1399999999999997</v>
      </c>
    </row>
    <row r="345" spans="1:9" ht="32" x14ac:dyDescent="0.2">
      <c r="A345" s="53" t="s">
        <v>2834</v>
      </c>
      <c r="B345" s="50" t="s">
        <v>2835</v>
      </c>
      <c r="F345" s="52" t="s">
        <v>2833</v>
      </c>
      <c r="H345" s="52"/>
      <c r="I345" s="56">
        <v>5.2</v>
      </c>
    </row>
    <row r="346" spans="1:9" ht="32" x14ac:dyDescent="0.2">
      <c r="A346" s="53" t="s">
        <v>2836</v>
      </c>
      <c r="B346" s="50" t="s">
        <v>2837</v>
      </c>
      <c r="F346" s="52" t="s">
        <v>2501</v>
      </c>
      <c r="H346" s="52" t="s">
        <v>2379</v>
      </c>
      <c r="I346" s="56">
        <v>98</v>
      </c>
    </row>
    <row r="347" spans="1:9" ht="32" x14ac:dyDescent="0.2">
      <c r="A347" s="53" t="s">
        <v>2838</v>
      </c>
      <c r="B347" s="50" t="s">
        <v>2839</v>
      </c>
      <c r="F347" s="52" t="s">
        <v>2575</v>
      </c>
      <c r="H347" s="52"/>
      <c r="I347" s="56">
        <v>71.22</v>
      </c>
    </row>
    <row r="348" spans="1:9" ht="32" x14ac:dyDescent="0.2">
      <c r="A348" s="53" t="s">
        <v>2840</v>
      </c>
      <c r="B348" s="50" t="s">
        <v>2841</v>
      </c>
      <c r="F348" s="52" t="s">
        <v>2575</v>
      </c>
      <c r="H348" s="52"/>
      <c r="I348" s="56">
        <v>29.73</v>
      </c>
    </row>
    <row r="349" spans="1:9" ht="32" x14ac:dyDescent="0.2">
      <c r="A349" s="53" t="s">
        <v>2842</v>
      </c>
      <c r="B349" s="50" t="s">
        <v>2843</v>
      </c>
      <c r="F349" s="52" t="s">
        <v>2446</v>
      </c>
      <c r="H349" s="52"/>
      <c r="I349" s="56">
        <v>210</v>
      </c>
    </row>
    <row r="350" spans="1:9" ht="16" x14ac:dyDescent="0.2">
      <c r="A350" s="53" t="s">
        <v>2560</v>
      </c>
      <c r="B350" s="50" t="s">
        <v>2560</v>
      </c>
      <c r="F350" s="52" t="s">
        <v>2560</v>
      </c>
      <c r="H350" s="52"/>
      <c r="I350" s="56">
        <v>10.9</v>
      </c>
    </row>
    <row r="351" spans="1:9" ht="16" x14ac:dyDescent="0.2">
      <c r="A351" s="53" t="s">
        <v>2844</v>
      </c>
      <c r="B351" s="50" t="s">
        <v>2844</v>
      </c>
      <c r="F351" s="52" t="s">
        <v>2845</v>
      </c>
      <c r="H351" s="52"/>
      <c r="I351" s="56">
        <v>213.4</v>
      </c>
    </row>
    <row r="352" spans="1:9" ht="16" x14ac:dyDescent="0.2">
      <c r="A352" s="53" t="s">
        <v>2562</v>
      </c>
      <c r="B352" s="50" t="s">
        <v>2846</v>
      </c>
      <c r="F352" s="52" t="s">
        <v>2563</v>
      </c>
      <c r="H352" s="52" t="s">
        <v>2758</v>
      </c>
      <c r="I352" s="56">
        <v>250</v>
      </c>
    </row>
    <row r="353" spans="1:9" ht="32" x14ac:dyDescent="0.2">
      <c r="A353" s="53" t="s">
        <v>2847</v>
      </c>
      <c r="B353" s="50" t="s">
        <v>2848</v>
      </c>
      <c r="F353" s="52" t="s">
        <v>2439</v>
      </c>
      <c r="H353" s="52"/>
      <c r="I353" s="56">
        <v>57.76</v>
      </c>
    </row>
    <row r="354" spans="1:9" ht="16" x14ac:dyDescent="0.2">
      <c r="A354" s="53" t="s">
        <v>2849</v>
      </c>
      <c r="B354" s="50" t="s">
        <v>2849</v>
      </c>
      <c r="F354" s="52" t="s">
        <v>2303</v>
      </c>
      <c r="H354" s="52" t="s">
        <v>2703</v>
      </c>
      <c r="I354" s="56">
        <v>180</v>
      </c>
    </row>
    <row r="355" spans="1:9" ht="32" x14ac:dyDescent="0.2">
      <c r="A355" s="53" t="s">
        <v>2849</v>
      </c>
      <c r="B355" s="50" t="s">
        <v>2849</v>
      </c>
      <c r="F355" s="52" t="s">
        <v>2850</v>
      </c>
      <c r="H355" s="52" t="s">
        <v>2661</v>
      </c>
      <c r="I355" s="56">
        <v>195</v>
      </c>
    </row>
    <row r="356" spans="1:9" ht="32" x14ac:dyDescent="0.2">
      <c r="A356" s="53" t="s">
        <v>2849</v>
      </c>
      <c r="B356" s="50" t="s">
        <v>2849</v>
      </c>
      <c r="F356" s="52" t="s">
        <v>2376</v>
      </c>
      <c r="H356" s="52" t="s">
        <v>2466</v>
      </c>
      <c r="I356" s="56">
        <v>155</v>
      </c>
    </row>
    <row r="357" spans="1:9" ht="32" x14ac:dyDescent="0.2">
      <c r="A357" s="53" t="s">
        <v>2851</v>
      </c>
      <c r="B357" s="50" t="s">
        <v>2852</v>
      </c>
      <c r="F357" s="52" t="s">
        <v>2853</v>
      </c>
      <c r="H357" s="52"/>
      <c r="I357" s="55"/>
    </row>
    <row r="358" spans="1:9" ht="32" x14ac:dyDescent="0.2">
      <c r="A358" s="53" t="s">
        <v>2854</v>
      </c>
      <c r="B358" s="50" t="s">
        <v>2855</v>
      </c>
      <c r="F358" s="52" t="s">
        <v>2689</v>
      </c>
      <c r="H358" s="52"/>
      <c r="I358" s="55"/>
    </row>
    <row r="359" spans="1:9" ht="32" x14ac:dyDescent="0.2">
      <c r="A359" s="53" t="s">
        <v>2856</v>
      </c>
      <c r="B359" s="50" t="s">
        <v>2857</v>
      </c>
      <c r="F359" s="52" t="s">
        <v>2689</v>
      </c>
      <c r="H359" s="52"/>
      <c r="I359" s="55"/>
    </row>
    <row r="360" spans="1:9" ht="64" x14ac:dyDescent="0.2">
      <c r="A360" s="53" t="s">
        <v>2858</v>
      </c>
      <c r="B360" s="50" t="s">
        <v>2859</v>
      </c>
      <c r="F360" s="52" t="s">
        <v>2747</v>
      </c>
      <c r="H360" s="52" t="s">
        <v>2860</v>
      </c>
      <c r="I360" s="56">
        <v>14.88</v>
      </c>
    </row>
    <row r="361" spans="1:9" ht="32" x14ac:dyDescent="0.2">
      <c r="A361" s="53" t="s">
        <v>2861</v>
      </c>
      <c r="B361" s="50" t="s">
        <v>2862</v>
      </c>
      <c r="F361" s="52" t="s">
        <v>2666</v>
      </c>
      <c r="H361" s="52" t="s">
        <v>2863</v>
      </c>
      <c r="I361" s="56">
        <v>8.0500000000000007</v>
      </c>
    </row>
    <row r="362" spans="1:9" ht="32" x14ac:dyDescent="0.2">
      <c r="A362" s="53" t="s">
        <v>2861</v>
      </c>
      <c r="B362" s="50" t="s">
        <v>2862</v>
      </c>
      <c r="F362" s="52" t="s">
        <v>2378</v>
      </c>
      <c r="H362" s="52"/>
      <c r="I362" s="56">
        <v>9.48</v>
      </c>
    </row>
    <row r="363" spans="1:9" ht="16" x14ac:dyDescent="0.2">
      <c r="A363" s="53" t="s">
        <v>2864</v>
      </c>
      <c r="B363" s="50" t="s">
        <v>2865</v>
      </c>
      <c r="F363" s="52" t="s">
        <v>2554</v>
      </c>
      <c r="H363" s="52" t="s">
        <v>2466</v>
      </c>
      <c r="I363" s="56">
        <v>24</v>
      </c>
    </row>
    <row r="364" spans="1:9" ht="32" x14ac:dyDescent="0.2">
      <c r="A364" s="53" t="s">
        <v>2864</v>
      </c>
      <c r="B364" s="50" t="s">
        <v>2865</v>
      </c>
      <c r="F364" s="52" t="s">
        <v>2386</v>
      </c>
      <c r="H364" s="52" t="s">
        <v>2466</v>
      </c>
      <c r="I364" s="56">
        <v>14.5</v>
      </c>
    </row>
    <row r="365" spans="1:9" ht="32" x14ac:dyDescent="0.2">
      <c r="A365" s="53" t="s">
        <v>2864</v>
      </c>
      <c r="B365" s="50" t="s">
        <v>2865</v>
      </c>
      <c r="F365" s="52" t="s">
        <v>2376</v>
      </c>
      <c r="H365" s="52" t="s">
        <v>2466</v>
      </c>
      <c r="I365" s="56">
        <v>16.5</v>
      </c>
    </row>
    <row r="366" spans="1:9" ht="32" x14ac:dyDescent="0.2">
      <c r="A366" s="53" t="s">
        <v>2866</v>
      </c>
      <c r="B366" s="50" t="s">
        <v>2867</v>
      </c>
      <c r="F366" s="52" t="s">
        <v>2689</v>
      </c>
      <c r="H366" s="52" t="s">
        <v>2729</v>
      </c>
      <c r="I366" s="56">
        <v>52.69</v>
      </c>
    </row>
    <row r="367" spans="1:9" ht="48" x14ac:dyDescent="0.2">
      <c r="A367" s="53" t="s">
        <v>2868</v>
      </c>
      <c r="B367" s="50" t="s">
        <v>2273</v>
      </c>
      <c r="F367" s="52" t="s">
        <v>2724</v>
      </c>
      <c r="H367" s="52"/>
      <c r="I367" s="56">
        <v>33.950000000000003</v>
      </c>
    </row>
    <row r="368" spans="1:9" ht="48" x14ac:dyDescent="0.2">
      <c r="A368" s="53" t="s">
        <v>2869</v>
      </c>
      <c r="B368" s="50" t="s">
        <v>2870</v>
      </c>
      <c r="F368" s="52" t="s">
        <v>2724</v>
      </c>
      <c r="H368" s="52"/>
      <c r="I368" s="56">
        <v>16.25</v>
      </c>
    </row>
    <row r="369" spans="1:9" ht="48" x14ac:dyDescent="0.2">
      <c r="A369" s="53" t="s">
        <v>2871</v>
      </c>
      <c r="B369" s="50" t="s">
        <v>2872</v>
      </c>
      <c r="F369" s="52" t="s">
        <v>2724</v>
      </c>
      <c r="H369" s="52"/>
      <c r="I369" s="56">
        <v>490</v>
      </c>
    </row>
    <row r="370" spans="1:9" ht="16" x14ac:dyDescent="0.2">
      <c r="A370" s="53" t="s">
        <v>2873</v>
      </c>
      <c r="B370" s="50" t="s">
        <v>2874</v>
      </c>
      <c r="F370" s="52" t="s">
        <v>2582</v>
      </c>
      <c r="H370" s="52"/>
      <c r="I370" s="56">
        <v>175</v>
      </c>
    </row>
    <row r="371" spans="1:9" ht="16" x14ac:dyDescent="0.2">
      <c r="A371" s="53" t="s">
        <v>2875</v>
      </c>
      <c r="B371" s="50" t="s">
        <v>2876</v>
      </c>
      <c r="F371" s="52" t="s">
        <v>2554</v>
      </c>
      <c r="H371" s="52" t="s">
        <v>2466</v>
      </c>
      <c r="I371" s="56">
        <v>16</v>
      </c>
    </row>
    <row r="372" spans="1:9" ht="32" x14ac:dyDescent="0.2">
      <c r="A372" s="53" t="s">
        <v>2875</v>
      </c>
      <c r="B372" s="50" t="s">
        <v>2876</v>
      </c>
      <c r="F372" s="52" t="s">
        <v>2378</v>
      </c>
      <c r="H372" s="52" t="s">
        <v>2466</v>
      </c>
      <c r="I372" s="56">
        <v>21.25</v>
      </c>
    </row>
    <row r="373" spans="1:9" ht="32" x14ac:dyDescent="0.2">
      <c r="A373" s="53" t="s">
        <v>2877</v>
      </c>
      <c r="B373" s="50" t="s">
        <v>2878</v>
      </c>
      <c r="F373" s="52" t="s">
        <v>2879</v>
      </c>
      <c r="H373" s="52"/>
      <c r="I373" s="56">
        <v>5.6</v>
      </c>
    </row>
    <row r="374" spans="1:9" ht="32" x14ac:dyDescent="0.2">
      <c r="A374" s="53" t="s">
        <v>2880</v>
      </c>
      <c r="B374" s="50" t="s">
        <v>2881</v>
      </c>
      <c r="F374" s="52" t="s">
        <v>2879</v>
      </c>
      <c r="H374" s="52"/>
      <c r="I374" s="56">
        <v>5.56</v>
      </c>
    </row>
    <row r="375" spans="1:9" ht="32" x14ac:dyDescent="0.2">
      <c r="A375" s="53" t="s">
        <v>2882</v>
      </c>
      <c r="B375" s="50" t="s">
        <v>2883</v>
      </c>
      <c r="F375" s="52" t="s">
        <v>2879</v>
      </c>
      <c r="H375" s="52"/>
      <c r="I375" s="56">
        <v>9.7899999999999991</v>
      </c>
    </row>
    <row r="376" spans="1:9" ht="32" x14ac:dyDescent="0.2">
      <c r="A376" s="53" t="s">
        <v>2884</v>
      </c>
      <c r="B376" s="50" t="s">
        <v>2885</v>
      </c>
      <c r="F376" s="52" t="s">
        <v>2886</v>
      </c>
      <c r="H376" s="52"/>
      <c r="I376" s="56">
        <v>126</v>
      </c>
    </row>
    <row r="377" spans="1:9" ht="32" x14ac:dyDescent="0.2">
      <c r="A377" s="53" t="s">
        <v>2887</v>
      </c>
      <c r="B377" s="50" t="s">
        <v>2888</v>
      </c>
      <c r="F377" s="52" t="s">
        <v>2886</v>
      </c>
      <c r="H377" s="52"/>
      <c r="I377" s="56">
        <v>126</v>
      </c>
    </row>
    <row r="378" spans="1:9" ht="32" x14ac:dyDescent="0.2">
      <c r="A378" s="53" t="s">
        <v>2889</v>
      </c>
      <c r="B378" s="50" t="s">
        <v>2890</v>
      </c>
      <c r="F378" s="52" t="s">
        <v>2886</v>
      </c>
      <c r="H378" s="52"/>
      <c r="I378" s="56">
        <v>225</v>
      </c>
    </row>
    <row r="379" spans="1:9" ht="32" x14ac:dyDescent="0.2">
      <c r="A379" s="86" t="s">
        <v>2891</v>
      </c>
      <c r="B379" s="85" t="s">
        <v>2892</v>
      </c>
      <c r="F379" s="52" t="s">
        <v>2886</v>
      </c>
      <c r="H379" s="52"/>
      <c r="I379" s="56">
        <v>179.79</v>
      </c>
    </row>
    <row r="380" spans="1:9" ht="16" x14ac:dyDescent="0.2">
      <c r="A380" s="53" t="s">
        <v>2893</v>
      </c>
      <c r="B380" s="50" t="s">
        <v>2894</v>
      </c>
      <c r="F380" s="52" t="s">
        <v>2738</v>
      </c>
      <c r="H380" s="52"/>
      <c r="I380" s="56">
        <v>101.49</v>
      </c>
    </row>
    <row r="381" spans="1:9" ht="32" x14ac:dyDescent="0.2">
      <c r="A381" s="53" t="s">
        <v>2893</v>
      </c>
      <c r="B381" s="50" t="s">
        <v>2894</v>
      </c>
      <c r="F381" s="52" t="s">
        <v>2895</v>
      </c>
      <c r="H381" s="52"/>
      <c r="I381" s="56">
        <v>67</v>
      </c>
    </row>
    <row r="382" spans="1:9" ht="32" x14ac:dyDescent="0.2">
      <c r="A382" s="53" t="s">
        <v>2893</v>
      </c>
      <c r="B382" s="50" t="s">
        <v>2894</v>
      </c>
      <c r="F382" s="52" t="s">
        <v>2465</v>
      </c>
      <c r="H382" s="52"/>
      <c r="I382" s="56">
        <v>24</v>
      </c>
    </row>
    <row r="383" spans="1:9" ht="32" x14ac:dyDescent="0.2">
      <c r="A383" s="53" t="s">
        <v>2896</v>
      </c>
      <c r="B383" s="50" t="s">
        <v>2897</v>
      </c>
      <c r="F383" s="52" t="s">
        <v>2898</v>
      </c>
      <c r="H383" s="52" t="s">
        <v>2807</v>
      </c>
      <c r="I383" s="56">
        <v>490</v>
      </c>
    </row>
    <row r="384" spans="1:9" ht="32" x14ac:dyDescent="0.2">
      <c r="A384" s="53" t="s">
        <v>2899</v>
      </c>
      <c r="B384" s="50" t="s">
        <v>2900</v>
      </c>
      <c r="F384" s="52" t="s">
        <v>2465</v>
      </c>
      <c r="H384" s="52" t="s">
        <v>2466</v>
      </c>
      <c r="I384" s="56">
        <v>24.5</v>
      </c>
    </row>
    <row r="385" spans="1:9" ht="32" x14ac:dyDescent="0.2">
      <c r="A385" s="53" t="s">
        <v>2901</v>
      </c>
      <c r="B385" s="50" t="s">
        <v>2902</v>
      </c>
      <c r="F385" s="52" t="s">
        <v>2386</v>
      </c>
      <c r="H385" s="52" t="s">
        <v>2903</v>
      </c>
      <c r="I385" s="56">
        <v>17</v>
      </c>
    </row>
    <row r="386" spans="1:9" ht="32" x14ac:dyDescent="0.2">
      <c r="A386" s="53" t="s">
        <v>2904</v>
      </c>
      <c r="B386" s="50" t="s">
        <v>2905</v>
      </c>
      <c r="F386" s="52" t="s">
        <v>2465</v>
      </c>
      <c r="H386" s="52" t="s">
        <v>2906</v>
      </c>
      <c r="I386" s="56">
        <v>15</v>
      </c>
    </row>
    <row r="387" spans="1:9" ht="32" x14ac:dyDescent="0.2">
      <c r="A387" s="53" t="s">
        <v>2907</v>
      </c>
      <c r="B387" s="50" t="s">
        <v>2908</v>
      </c>
      <c r="F387" s="52" t="s">
        <v>2386</v>
      </c>
      <c r="H387" s="52" t="s">
        <v>2909</v>
      </c>
      <c r="I387" s="56">
        <v>27</v>
      </c>
    </row>
    <row r="388" spans="1:9" ht="32" x14ac:dyDescent="0.2">
      <c r="A388" s="53" t="s">
        <v>2910</v>
      </c>
      <c r="B388" s="50" t="s">
        <v>2911</v>
      </c>
      <c r="F388" s="52" t="s">
        <v>2376</v>
      </c>
      <c r="H388" s="52" t="s">
        <v>2912</v>
      </c>
      <c r="I388" s="56">
        <v>57</v>
      </c>
    </row>
    <row r="389" spans="1:9" ht="32" x14ac:dyDescent="0.2">
      <c r="A389" s="53" t="s">
        <v>2910</v>
      </c>
      <c r="B389" s="50" t="s">
        <v>2911</v>
      </c>
      <c r="F389" s="52" t="s">
        <v>2465</v>
      </c>
      <c r="H389" s="52" t="s">
        <v>2913</v>
      </c>
      <c r="I389" s="56">
        <v>37</v>
      </c>
    </row>
    <row r="390" spans="1:9" ht="32" x14ac:dyDescent="0.2">
      <c r="A390" s="53" t="s">
        <v>2914</v>
      </c>
      <c r="B390" s="50" t="s">
        <v>2915</v>
      </c>
      <c r="F390" s="52" t="s">
        <v>2303</v>
      </c>
      <c r="H390" s="52" t="s">
        <v>2909</v>
      </c>
      <c r="I390" s="56">
        <v>8.5</v>
      </c>
    </row>
    <row r="391" spans="1:9" ht="32" x14ac:dyDescent="0.2">
      <c r="A391" s="53" t="s">
        <v>2916</v>
      </c>
      <c r="B391" s="50" t="s">
        <v>2917</v>
      </c>
      <c r="F391" s="52" t="s">
        <v>2386</v>
      </c>
      <c r="H391" s="52" t="s">
        <v>2909</v>
      </c>
      <c r="I391" s="56">
        <v>12</v>
      </c>
    </row>
    <row r="392" spans="1:9" ht="32" x14ac:dyDescent="0.2">
      <c r="A392" s="53" t="s">
        <v>2918</v>
      </c>
      <c r="B392" s="50" t="s">
        <v>2919</v>
      </c>
      <c r="F392" s="52" t="s">
        <v>2376</v>
      </c>
      <c r="H392" s="52" t="s">
        <v>2920</v>
      </c>
      <c r="I392" s="56">
        <v>21</v>
      </c>
    </row>
    <row r="393" spans="1:9" ht="32" x14ac:dyDescent="0.2">
      <c r="A393" s="53" t="s">
        <v>2921</v>
      </c>
      <c r="B393" s="50" t="s">
        <v>2922</v>
      </c>
      <c r="F393" s="52" t="s">
        <v>2465</v>
      </c>
      <c r="H393" s="52" t="s">
        <v>2923</v>
      </c>
      <c r="I393" s="56">
        <v>24</v>
      </c>
    </row>
    <row r="394" spans="1:9" ht="32" x14ac:dyDescent="0.2">
      <c r="A394" s="53" t="s">
        <v>2924</v>
      </c>
      <c r="B394" s="50" t="s">
        <v>2925</v>
      </c>
      <c r="F394" s="52" t="s">
        <v>2386</v>
      </c>
      <c r="H394" s="52" t="s">
        <v>2923</v>
      </c>
      <c r="I394" s="56">
        <v>22</v>
      </c>
    </row>
    <row r="395" spans="1:9" ht="32" x14ac:dyDescent="0.2">
      <c r="A395" s="53" t="s">
        <v>2926</v>
      </c>
      <c r="B395" s="50" t="s">
        <v>2927</v>
      </c>
      <c r="F395" s="52" t="s">
        <v>2376</v>
      </c>
      <c r="H395" s="52" t="s">
        <v>2928</v>
      </c>
      <c r="I395" s="56">
        <v>36</v>
      </c>
    </row>
    <row r="396" spans="1:9" ht="32" x14ac:dyDescent="0.2">
      <c r="A396" s="53" t="s">
        <v>2929</v>
      </c>
      <c r="B396" s="50" t="s">
        <v>2930</v>
      </c>
      <c r="F396" s="52" t="s">
        <v>2465</v>
      </c>
      <c r="H396" s="52" t="s">
        <v>2923</v>
      </c>
      <c r="I396" s="56">
        <v>19</v>
      </c>
    </row>
    <row r="397" spans="1:9" ht="32" x14ac:dyDescent="0.2">
      <c r="A397" s="53" t="s">
        <v>2931</v>
      </c>
      <c r="B397" s="50" t="s">
        <v>2932</v>
      </c>
      <c r="F397" s="52" t="s">
        <v>2386</v>
      </c>
      <c r="H397" s="52" t="s">
        <v>2933</v>
      </c>
      <c r="I397" s="56">
        <v>19</v>
      </c>
    </row>
    <row r="398" spans="1:9" ht="32" x14ac:dyDescent="0.2">
      <c r="A398" s="53" t="s">
        <v>2934</v>
      </c>
      <c r="B398" s="50" t="s">
        <v>2935</v>
      </c>
      <c r="F398" s="52" t="s">
        <v>2376</v>
      </c>
      <c r="H398" s="52" t="s">
        <v>2909</v>
      </c>
      <c r="I398" s="56">
        <v>14.5</v>
      </c>
    </row>
    <row r="399" spans="1:9" ht="32" x14ac:dyDescent="0.2">
      <c r="A399" s="53" t="s">
        <v>2936</v>
      </c>
      <c r="B399" s="50" t="s">
        <v>2937</v>
      </c>
      <c r="F399" s="52" t="s">
        <v>2465</v>
      </c>
      <c r="H399" s="52" t="s">
        <v>2938</v>
      </c>
      <c r="I399" s="56">
        <v>23</v>
      </c>
    </row>
    <row r="400" spans="1:9" ht="32" x14ac:dyDescent="0.2">
      <c r="A400" s="53" t="s">
        <v>2939</v>
      </c>
      <c r="B400" s="50" t="s">
        <v>2940</v>
      </c>
      <c r="F400" s="52" t="s">
        <v>2501</v>
      </c>
      <c r="H400" s="52"/>
      <c r="I400" s="56">
        <v>27.75</v>
      </c>
    </row>
    <row r="401" spans="1:9" ht="48" x14ac:dyDescent="0.2">
      <c r="A401" s="53" t="s">
        <v>2941</v>
      </c>
      <c r="B401" s="50" t="s">
        <v>2942</v>
      </c>
      <c r="F401" s="52" t="s">
        <v>2943</v>
      </c>
      <c r="H401" s="52"/>
      <c r="I401" s="56">
        <v>28.5</v>
      </c>
    </row>
    <row r="402" spans="1:9" ht="32" x14ac:dyDescent="0.2">
      <c r="A402" s="53" t="s">
        <v>2751</v>
      </c>
      <c r="B402" s="50" t="s">
        <v>2752</v>
      </c>
      <c r="F402" s="52" t="s">
        <v>2386</v>
      </c>
      <c r="H402" s="52" t="s">
        <v>2933</v>
      </c>
      <c r="I402" s="56">
        <v>25</v>
      </c>
    </row>
    <row r="403" spans="1:9" ht="32" x14ac:dyDescent="0.2">
      <c r="A403" s="53" t="s">
        <v>2944</v>
      </c>
      <c r="B403" s="50" t="s">
        <v>2945</v>
      </c>
      <c r="F403" s="52" t="s">
        <v>2376</v>
      </c>
      <c r="H403" s="52" t="s">
        <v>2909</v>
      </c>
      <c r="I403" s="56">
        <v>22</v>
      </c>
    </row>
    <row r="404" spans="1:9" ht="32" x14ac:dyDescent="0.2">
      <c r="A404" s="53" t="s">
        <v>2946</v>
      </c>
      <c r="B404" s="50" t="s">
        <v>2947</v>
      </c>
      <c r="F404" s="52" t="s">
        <v>2465</v>
      </c>
      <c r="H404" s="52" t="s">
        <v>2909</v>
      </c>
      <c r="I404" s="56">
        <v>24</v>
      </c>
    </row>
    <row r="405" spans="1:9" ht="32" x14ac:dyDescent="0.2">
      <c r="A405" s="86" t="s">
        <v>2948</v>
      </c>
      <c r="B405" s="85" t="s">
        <v>2949</v>
      </c>
      <c r="F405" s="52" t="s">
        <v>2666</v>
      </c>
      <c r="H405" s="52" t="s">
        <v>2863</v>
      </c>
      <c r="I405" s="56">
        <v>1.52</v>
      </c>
    </row>
    <row r="406" spans="1:9" ht="32" x14ac:dyDescent="0.2">
      <c r="A406" s="53" t="s">
        <v>2761</v>
      </c>
      <c r="B406" s="50" t="s">
        <v>2762</v>
      </c>
      <c r="F406" s="52" t="s">
        <v>2950</v>
      </c>
      <c r="H406" s="52" t="s">
        <v>2863</v>
      </c>
      <c r="I406" s="56">
        <v>5.4</v>
      </c>
    </row>
    <row r="407" spans="1:9" ht="32" x14ac:dyDescent="0.2">
      <c r="A407" s="53" t="s">
        <v>2951</v>
      </c>
      <c r="B407" s="50" t="s">
        <v>2952</v>
      </c>
      <c r="F407" s="52" t="s">
        <v>2953</v>
      </c>
      <c r="H407" s="52" t="s">
        <v>2758</v>
      </c>
      <c r="I407" s="56">
        <v>357</v>
      </c>
    </row>
    <row r="408" spans="1:9" ht="32" x14ac:dyDescent="0.2">
      <c r="A408" s="53" t="s">
        <v>2954</v>
      </c>
      <c r="B408" s="50" t="s">
        <v>2955</v>
      </c>
      <c r="F408" s="52" t="s">
        <v>2953</v>
      </c>
      <c r="H408" s="52" t="s">
        <v>2758</v>
      </c>
      <c r="I408" s="56">
        <v>573</v>
      </c>
    </row>
    <row r="409" spans="1:9" ht="32" x14ac:dyDescent="0.2">
      <c r="A409" s="53" t="s">
        <v>2951</v>
      </c>
      <c r="B409" s="50" t="s">
        <v>2956</v>
      </c>
      <c r="F409" s="52" t="s">
        <v>2957</v>
      </c>
      <c r="H409" s="52" t="s">
        <v>2958</v>
      </c>
      <c r="I409" s="56">
        <v>360</v>
      </c>
    </row>
    <row r="410" spans="1:9" ht="32" x14ac:dyDescent="0.2">
      <c r="A410" s="53" t="s">
        <v>2951</v>
      </c>
      <c r="B410" s="50" t="s">
        <v>2959</v>
      </c>
      <c r="F410" s="52" t="s">
        <v>2960</v>
      </c>
      <c r="H410" s="52" t="s">
        <v>2961</v>
      </c>
      <c r="I410" s="56">
        <v>295</v>
      </c>
    </row>
    <row r="411" spans="1:9" ht="32" x14ac:dyDescent="0.2">
      <c r="A411" s="53" t="s">
        <v>2962</v>
      </c>
      <c r="B411" s="50" t="s">
        <v>2963</v>
      </c>
      <c r="F411" s="52" t="s">
        <v>2378</v>
      </c>
      <c r="H411" s="52" t="s">
        <v>2964</v>
      </c>
      <c r="I411" s="56">
        <v>3.42</v>
      </c>
    </row>
    <row r="412" spans="1:9" ht="32" x14ac:dyDescent="0.2">
      <c r="A412" s="53" t="s">
        <v>2965</v>
      </c>
      <c r="B412" s="50" t="s">
        <v>2966</v>
      </c>
      <c r="F412" s="52" t="s">
        <v>2378</v>
      </c>
      <c r="H412" s="52"/>
      <c r="I412" s="56">
        <v>4.8499999999999996</v>
      </c>
    </row>
    <row r="413" spans="1:9" ht="32" x14ac:dyDescent="0.2">
      <c r="A413" s="53" t="s">
        <v>2967</v>
      </c>
      <c r="B413" s="50" t="s">
        <v>2968</v>
      </c>
      <c r="F413" s="52" t="s">
        <v>2969</v>
      </c>
      <c r="H413" s="52" t="s">
        <v>2426</v>
      </c>
      <c r="I413" s="56">
        <v>110</v>
      </c>
    </row>
    <row r="414" spans="1:9" ht="32" x14ac:dyDescent="0.2">
      <c r="A414" s="53" t="s">
        <v>2970</v>
      </c>
      <c r="B414" s="50" t="s">
        <v>2971</v>
      </c>
      <c r="F414" s="52" t="s">
        <v>2592</v>
      </c>
      <c r="H414" s="52" t="s">
        <v>2972</v>
      </c>
      <c r="I414" s="56">
        <v>280</v>
      </c>
    </row>
    <row r="415" spans="1:9" ht="32" x14ac:dyDescent="0.2">
      <c r="A415" s="53" t="s">
        <v>2973</v>
      </c>
      <c r="B415" s="50" t="s">
        <v>2974</v>
      </c>
      <c r="F415" s="52" t="s">
        <v>2975</v>
      </c>
      <c r="H415" s="52"/>
      <c r="I415" s="56">
        <v>110</v>
      </c>
    </row>
    <row r="416" spans="1:9" ht="32" x14ac:dyDescent="0.2">
      <c r="A416" s="53" t="s">
        <v>2976</v>
      </c>
      <c r="B416" s="50" t="s">
        <v>2977</v>
      </c>
      <c r="F416" s="52" t="s">
        <v>2978</v>
      </c>
      <c r="H416" s="52" t="s">
        <v>2807</v>
      </c>
      <c r="I416" s="56">
        <v>325</v>
      </c>
    </row>
    <row r="417" spans="1:9" ht="32" x14ac:dyDescent="0.2">
      <c r="A417" s="53" t="s">
        <v>2979</v>
      </c>
      <c r="B417" s="50" t="s">
        <v>2980</v>
      </c>
      <c r="F417" s="52" t="s">
        <v>2981</v>
      </c>
      <c r="H417" s="52" t="s">
        <v>2982</v>
      </c>
      <c r="I417" s="56">
        <v>495</v>
      </c>
    </row>
    <row r="418" spans="1:9" ht="32" x14ac:dyDescent="0.2">
      <c r="A418" s="53" t="s">
        <v>2983</v>
      </c>
      <c r="B418" s="50" t="s">
        <v>2984</v>
      </c>
      <c r="F418" s="52" t="s">
        <v>2985</v>
      </c>
      <c r="H418" s="52"/>
      <c r="I418" s="56">
        <v>29.76</v>
      </c>
    </row>
    <row r="419" spans="1:9" ht="16" x14ac:dyDescent="0.2">
      <c r="A419" s="53" t="s">
        <v>2986</v>
      </c>
      <c r="B419" s="50" t="s">
        <v>2987</v>
      </c>
      <c r="F419" s="52" t="s">
        <v>2557</v>
      </c>
      <c r="H419" s="52" t="s">
        <v>2988</v>
      </c>
      <c r="I419" s="55" t="s">
        <v>2989</v>
      </c>
    </row>
    <row r="420" spans="1:9" ht="32" x14ac:dyDescent="0.2">
      <c r="A420" s="53" t="s">
        <v>2990</v>
      </c>
      <c r="B420" s="50" t="s">
        <v>2991</v>
      </c>
      <c r="F420" s="52" t="s">
        <v>2992</v>
      </c>
      <c r="H420" s="52" t="s">
        <v>2466</v>
      </c>
      <c r="I420" s="56">
        <v>173</v>
      </c>
    </row>
    <row r="421" spans="1:9" ht="32" x14ac:dyDescent="0.2">
      <c r="A421" s="53" t="s">
        <v>2993</v>
      </c>
      <c r="B421" s="50" t="s">
        <v>2993</v>
      </c>
      <c r="F421" s="52" t="s">
        <v>2975</v>
      </c>
      <c r="H421" s="52" t="s">
        <v>2994</v>
      </c>
      <c r="I421" s="56">
        <v>250</v>
      </c>
    </row>
    <row r="422" spans="1:9" ht="32" x14ac:dyDescent="0.2">
      <c r="A422" s="53" t="s">
        <v>2995</v>
      </c>
      <c r="B422" s="50" t="s">
        <v>2996</v>
      </c>
      <c r="F422" s="52" t="s">
        <v>2376</v>
      </c>
      <c r="H422" s="52" t="s">
        <v>2379</v>
      </c>
      <c r="I422" s="56">
        <v>19.5</v>
      </c>
    </row>
    <row r="423" spans="1:9" ht="32" x14ac:dyDescent="0.2">
      <c r="A423" s="53" t="s">
        <v>2997</v>
      </c>
      <c r="B423" s="50" t="s">
        <v>2998</v>
      </c>
      <c r="F423" s="52" t="s">
        <v>2386</v>
      </c>
      <c r="H423" s="52" t="s">
        <v>2466</v>
      </c>
      <c r="I423" s="56">
        <v>14</v>
      </c>
    </row>
    <row r="424" spans="1:9" ht="32" x14ac:dyDescent="0.2">
      <c r="A424" s="53" t="s">
        <v>2999</v>
      </c>
      <c r="B424" s="50" t="s">
        <v>3000</v>
      </c>
      <c r="F424" s="52" t="s">
        <v>2386</v>
      </c>
      <c r="H424" s="52" t="s">
        <v>2466</v>
      </c>
      <c r="I424" s="56">
        <v>19</v>
      </c>
    </row>
    <row r="425" spans="1:9" ht="16" x14ac:dyDescent="0.2">
      <c r="A425" s="53" t="s">
        <v>3001</v>
      </c>
      <c r="B425" s="50" t="s">
        <v>3002</v>
      </c>
      <c r="F425" s="52" t="s">
        <v>2554</v>
      </c>
      <c r="H425" s="52" t="s">
        <v>2466</v>
      </c>
      <c r="I425" s="56">
        <v>44</v>
      </c>
    </row>
    <row r="426" spans="1:9" ht="16" x14ac:dyDescent="0.2">
      <c r="A426" s="53" t="s">
        <v>3003</v>
      </c>
      <c r="B426" s="50" t="s">
        <v>3004</v>
      </c>
      <c r="F426" s="52" t="s">
        <v>2554</v>
      </c>
      <c r="H426" s="52" t="s">
        <v>2466</v>
      </c>
      <c r="I426" s="56">
        <v>46</v>
      </c>
    </row>
    <row r="427" spans="1:9" ht="16" x14ac:dyDescent="0.2">
      <c r="A427" s="53" t="s">
        <v>3005</v>
      </c>
      <c r="B427" s="50" t="s">
        <v>3006</v>
      </c>
      <c r="F427" s="52" t="s">
        <v>2685</v>
      </c>
      <c r="H427" s="52"/>
      <c r="I427" s="55"/>
    </row>
    <row r="428" spans="1:9" ht="32" x14ac:dyDescent="0.2">
      <c r="A428" s="53" t="s">
        <v>3007</v>
      </c>
      <c r="B428" s="50" t="s">
        <v>3008</v>
      </c>
      <c r="F428" s="52" t="s">
        <v>3009</v>
      </c>
      <c r="H428" s="52"/>
      <c r="I428" s="55"/>
    </row>
    <row r="429" spans="1:9" ht="32" x14ac:dyDescent="0.2">
      <c r="A429" s="53" t="s">
        <v>3010</v>
      </c>
      <c r="B429" s="50" t="s">
        <v>3011</v>
      </c>
      <c r="F429" s="52" t="s">
        <v>2386</v>
      </c>
      <c r="H429" s="52" t="s">
        <v>2466</v>
      </c>
      <c r="I429" s="56">
        <v>14</v>
      </c>
    </row>
    <row r="430" spans="1:9" ht="32" x14ac:dyDescent="0.2">
      <c r="A430" s="53" t="s">
        <v>3010</v>
      </c>
      <c r="B430" s="50" t="s">
        <v>3011</v>
      </c>
      <c r="F430" s="52" t="s">
        <v>2465</v>
      </c>
      <c r="H430" s="52" t="s">
        <v>2379</v>
      </c>
      <c r="I430" s="56">
        <v>11</v>
      </c>
    </row>
    <row r="431" spans="1:9" ht="32" x14ac:dyDescent="0.2">
      <c r="A431" s="53" t="s">
        <v>3012</v>
      </c>
      <c r="B431" s="50" t="s">
        <v>3013</v>
      </c>
      <c r="F431" s="52" t="s">
        <v>3014</v>
      </c>
      <c r="H431" s="52" t="s">
        <v>3015</v>
      </c>
      <c r="I431" s="55" t="s">
        <v>3016</v>
      </c>
    </row>
    <row r="432" spans="1:9" ht="32" x14ac:dyDescent="0.2">
      <c r="A432" s="53" t="s">
        <v>3017</v>
      </c>
      <c r="B432" s="50" t="s">
        <v>3017</v>
      </c>
      <c r="F432" s="52" t="s">
        <v>3018</v>
      </c>
      <c r="H432" s="52" t="s">
        <v>3019</v>
      </c>
      <c r="I432" s="56">
        <v>800</v>
      </c>
    </row>
    <row r="433" spans="1:9" ht="32" x14ac:dyDescent="0.2">
      <c r="A433" s="53" t="s">
        <v>3020</v>
      </c>
      <c r="B433" s="50" t="s">
        <v>3021</v>
      </c>
      <c r="F433" s="52" t="s">
        <v>3022</v>
      </c>
      <c r="H433" s="52" t="s">
        <v>3023</v>
      </c>
      <c r="I433" s="56">
        <v>16.87</v>
      </c>
    </row>
    <row r="434" spans="1:9" ht="32" x14ac:dyDescent="0.2">
      <c r="A434" s="53" t="s">
        <v>3024</v>
      </c>
      <c r="B434" s="50" t="s">
        <v>3025</v>
      </c>
      <c r="F434" s="52" t="s">
        <v>2465</v>
      </c>
      <c r="H434" s="52" t="s">
        <v>3026</v>
      </c>
      <c r="I434" s="56">
        <v>16.5</v>
      </c>
    </row>
    <row r="435" spans="1:9" ht="32" x14ac:dyDescent="0.2">
      <c r="A435" s="53" t="s">
        <v>3027</v>
      </c>
      <c r="B435" s="50" t="s">
        <v>3028</v>
      </c>
      <c r="F435" s="52" t="s">
        <v>3022</v>
      </c>
      <c r="H435" s="52"/>
      <c r="I435" s="55"/>
    </row>
    <row r="436" spans="1:9" ht="32" x14ac:dyDescent="0.2">
      <c r="A436" s="53" t="s">
        <v>3029</v>
      </c>
      <c r="B436" s="50" t="s">
        <v>3029</v>
      </c>
      <c r="F436" s="52" t="s">
        <v>3022</v>
      </c>
      <c r="H436" s="52"/>
      <c r="I436" s="55"/>
    </row>
    <row r="437" spans="1:9" ht="32" x14ac:dyDescent="0.2">
      <c r="A437" s="53" t="s">
        <v>3030</v>
      </c>
      <c r="B437" s="50" t="s">
        <v>3030</v>
      </c>
      <c r="F437" s="52" t="s">
        <v>3022</v>
      </c>
      <c r="H437" s="52"/>
      <c r="I437" s="55"/>
    </row>
    <row r="438" spans="1:9" ht="32" x14ac:dyDescent="0.2">
      <c r="A438" s="53" t="s">
        <v>3031</v>
      </c>
      <c r="B438" s="50" t="s">
        <v>3032</v>
      </c>
      <c r="F438" s="52" t="s">
        <v>2554</v>
      </c>
      <c r="H438" s="52" t="s">
        <v>3033</v>
      </c>
      <c r="I438" s="56">
        <v>275</v>
      </c>
    </row>
    <row r="439" spans="1:9" ht="32" x14ac:dyDescent="0.2">
      <c r="A439" s="53" t="s">
        <v>3034</v>
      </c>
      <c r="B439" s="50" t="s">
        <v>3035</v>
      </c>
      <c r="F439" s="52" t="s">
        <v>3036</v>
      </c>
      <c r="H439" s="52" t="s">
        <v>2807</v>
      </c>
      <c r="I439" s="56">
        <v>339</v>
      </c>
    </row>
    <row r="440" spans="1:9" ht="32" x14ac:dyDescent="0.2">
      <c r="A440" s="53" t="s">
        <v>3037</v>
      </c>
      <c r="B440" s="50" t="s">
        <v>3038</v>
      </c>
      <c r="F440" s="52" t="s">
        <v>3039</v>
      </c>
      <c r="H440" s="52" t="s">
        <v>2549</v>
      </c>
      <c r="I440" s="56">
        <v>300</v>
      </c>
    </row>
    <row r="441" spans="1:9" ht="32" x14ac:dyDescent="0.2">
      <c r="A441" s="53" t="s">
        <v>3040</v>
      </c>
      <c r="B441" s="50" t="s">
        <v>3041</v>
      </c>
      <c r="F441" s="52" t="s">
        <v>2522</v>
      </c>
      <c r="H441" s="52"/>
      <c r="I441" s="56">
        <v>17</v>
      </c>
    </row>
    <row r="442" spans="1:9" ht="16" x14ac:dyDescent="0.2">
      <c r="A442" s="53" t="s">
        <v>3042</v>
      </c>
      <c r="B442" s="50" t="s">
        <v>3043</v>
      </c>
      <c r="F442" s="52" t="s">
        <v>2554</v>
      </c>
      <c r="H442" s="52"/>
      <c r="I442" s="56">
        <v>11</v>
      </c>
    </row>
    <row r="443" spans="1:9" ht="32" x14ac:dyDescent="0.2">
      <c r="A443" s="53" t="s">
        <v>3044</v>
      </c>
      <c r="B443" s="50" t="s">
        <v>3045</v>
      </c>
      <c r="F443" s="52" t="s">
        <v>2386</v>
      </c>
      <c r="H443" s="52" t="s">
        <v>2466</v>
      </c>
      <c r="I443" s="56">
        <v>11</v>
      </c>
    </row>
    <row r="444" spans="1:9" ht="32" x14ac:dyDescent="0.2">
      <c r="A444" s="53" t="s">
        <v>3046</v>
      </c>
      <c r="B444" s="50" t="s">
        <v>3047</v>
      </c>
      <c r="F444" s="52" t="s">
        <v>2522</v>
      </c>
      <c r="H444" s="52" t="s">
        <v>2597</v>
      </c>
      <c r="I444" s="56">
        <v>18</v>
      </c>
    </row>
    <row r="445" spans="1:9" ht="32" x14ac:dyDescent="0.2">
      <c r="A445" s="53" t="s">
        <v>3044</v>
      </c>
      <c r="B445" s="50" t="s">
        <v>3045</v>
      </c>
      <c r="F445" s="52" t="s">
        <v>2376</v>
      </c>
      <c r="H445" s="52" t="s">
        <v>2466</v>
      </c>
      <c r="I445" s="56">
        <v>16</v>
      </c>
    </row>
    <row r="446" spans="1:9" ht="32" x14ac:dyDescent="0.2">
      <c r="A446" s="53" t="s">
        <v>3048</v>
      </c>
      <c r="B446" s="50" t="s">
        <v>3049</v>
      </c>
      <c r="F446" s="52" t="s">
        <v>2376</v>
      </c>
      <c r="H446" s="52" t="s">
        <v>3050</v>
      </c>
      <c r="I446" s="56">
        <v>26</v>
      </c>
    </row>
    <row r="447" spans="1:9" ht="32" x14ac:dyDescent="0.2">
      <c r="A447" s="53" t="s">
        <v>3051</v>
      </c>
      <c r="B447" s="50" t="s">
        <v>3052</v>
      </c>
      <c r="F447" s="52" t="s">
        <v>2376</v>
      </c>
      <c r="H447" s="52" t="s">
        <v>3053</v>
      </c>
      <c r="I447" s="56">
        <v>16</v>
      </c>
    </row>
    <row r="448" spans="1:9" ht="16" x14ac:dyDescent="0.2">
      <c r="A448" s="53" t="s">
        <v>3054</v>
      </c>
      <c r="B448" s="50" t="s">
        <v>3055</v>
      </c>
      <c r="F448" s="52" t="s">
        <v>2582</v>
      </c>
      <c r="H448" s="52" t="s">
        <v>2379</v>
      </c>
      <c r="I448" s="56">
        <v>325</v>
      </c>
    </row>
    <row r="449" spans="1:9" ht="32" x14ac:dyDescent="0.2">
      <c r="A449" s="53" t="s">
        <v>3056</v>
      </c>
      <c r="B449" s="50" t="s">
        <v>3057</v>
      </c>
      <c r="F449" s="52" t="s">
        <v>2386</v>
      </c>
      <c r="H449" s="52" t="s">
        <v>2466</v>
      </c>
      <c r="I449" s="56">
        <v>13.5</v>
      </c>
    </row>
    <row r="450" spans="1:9" ht="32" x14ac:dyDescent="0.2">
      <c r="A450" s="53" t="s">
        <v>3046</v>
      </c>
      <c r="B450" s="50" t="s">
        <v>3047</v>
      </c>
      <c r="F450" s="52" t="s">
        <v>2386</v>
      </c>
      <c r="H450" s="52" t="s">
        <v>2379</v>
      </c>
      <c r="I450" s="56">
        <v>18</v>
      </c>
    </row>
    <row r="451" spans="1:9" ht="32" x14ac:dyDescent="0.2">
      <c r="A451" s="53" t="s">
        <v>3031</v>
      </c>
      <c r="B451" s="50" t="s">
        <v>3032</v>
      </c>
      <c r="F451" s="52" t="s">
        <v>2376</v>
      </c>
      <c r="H451" s="52" t="s">
        <v>2466</v>
      </c>
      <c r="I451" s="56">
        <v>245</v>
      </c>
    </row>
    <row r="452" spans="1:9" ht="32" x14ac:dyDescent="0.2">
      <c r="A452" s="53" t="s">
        <v>3058</v>
      </c>
      <c r="B452" s="50" t="s">
        <v>3059</v>
      </c>
      <c r="F452" s="52" t="s">
        <v>3060</v>
      </c>
      <c r="H452" s="52" t="s">
        <v>3061</v>
      </c>
      <c r="I452" s="55" t="s">
        <v>2634</v>
      </c>
    </row>
    <row r="453" spans="1:9" ht="32" x14ac:dyDescent="0.2">
      <c r="A453" s="53" t="s">
        <v>3062</v>
      </c>
      <c r="B453" s="50" t="s">
        <v>3063</v>
      </c>
      <c r="F453" s="52" t="s">
        <v>2501</v>
      </c>
      <c r="H453" s="52" t="s">
        <v>2466</v>
      </c>
      <c r="I453" s="56">
        <v>26</v>
      </c>
    </row>
    <row r="454" spans="1:9" ht="16" x14ac:dyDescent="0.2">
      <c r="A454" s="53" t="s">
        <v>3064</v>
      </c>
      <c r="B454" s="50" t="s">
        <v>3065</v>
      </c>
      <c r="F454" s="52" t="s">
        <v>2421</v>
      </c>
      <c r="H454" s="52" t="s">
        <v>2466</v>
      </c>
      <c r="I454" s="56">
        <v>34</v>
      </c>
    </row>
    <row r="455" spans="1:9" ht="32" x14ac:dyDescent="0.2">
      <c r="A455" s="100" t="s">
        <v>3066</v>
      </c>
      <c r="B455" s="101" t="s">
        <v>3067</v>
      </c>
      <c r="F455" s="52" t="s">
        <v>2465</v>
      </c>
      <c r="H455" s="52" t="s">
        <v>2466</v>
      </c>
      <c r="I455" s="56">
        <v>19.5</v>
      </c>
    </row>
    <row r="456" spans="1:9" ht="16" x14ac:dyDescent="0.2">
      <c r="A456" s="53" t="s">
        <v>3068</v>
      </c>
      <c r="B456" s="50" t="s">
        <v>3069</v>
      </c>
      <c r="F456" s="52" t="s">
        <v>2421</v>
      </c>
      <c r="H456" s="52" t="s">
        <v>2994</v>
      </c>
      <c r="I456" s="55" t="s">
        <v>3070</v>
      </c>
    </row>
    <row r="457" spans="1:9" ht="32" x14ac:dyDescent="0.2">
      <c r="A457" s="53" t="s">
        <v>3071</v>
      </c>
      <c r="B457" s="50" t="s">
        <v>3072</v>
      </c>
      <c r="F457" s="52" t="s">
        <v>3073</v>
      </c>
      <c r="H457" s="52" t="s">
        <v>2428</v>
      </c>
      <c r="I457" s="56">
        <v>550</v>
      </c>
    </row>
    <row r="458" spans="1:9" ht="32" x14ac:dyDescent="0.2">
      <c r="A458" s="53" t="s">
        <v>3074</v>
      </c>
      <c r="B458" s="50" t="s">
        <v>3075</v>
      </c>
      <c r="F458" s="52" t="s">
        <v>3073</v>
      </c>
      <c r="H458" s="52" t="s">
        <v>2428</v>
      </c>
      <c r="I458" s="55" t="s">
        <v>3076</v>
      </c>
    </row>
    <row r="459" spans="1:9" ht="32" x14ac:dyDescent="0.2">
      <c r="A459" s="53" t="s">
        <v>3077</v>
      </c>
      <c r="B459" s="50" t="s">
        <v>3078</v>
      </c>
      <c r="F459" s="52" t="s">
        <v>3073</v>
      </c>
      <c r="H459" s="52" t="s">
        <v>3079</v>
      </c>
      <c r="I459" s="56">
        <v>735</v>
      </c>
    </row>
    <row r="460" spans="1:9" ht="16" x14ac:dyDescent="0.2">
      <c r="A460" s="53" t="s">
        <v>3080</v>
      </c>
      <c r="B460" s="50" t="s">
        <v>3081</v>
      </c>
      <c r="F460" s="52" t="s">
        <v>2554</v>
      </c>
      <c r="H460" s="52" t="s">
        <v>2466</v>
      </c>
      <c r="I460" s="56">
        <v>10</v>
      </c>
    </row>
    <row r="461" spans="1:9" ht="32" x14ac:dyDescent="0.2">
      <c r="A461" s="53" t="s">
        <v>3080</v>
      </c>
      <c r="B461" s="50" t="s">
        <v>3081</v>
      </c>
      <c r="F461" s="52" t="s">
        <v>2501</v>
      </c>
      <c r="H461" s="52" t="s">
        <v>2466</v>
      </c>
      <c r="I461" s="56">
        <v>23</v>
      </c>
    </row>
    <row r="462" spans="1:9" ht="16" x14ac:dyDescent="0.2">
      <c r="A462" s="53" t="s">
        <v>3082</v>
      </c>
      <c r="B462" s="50" t="s">
        <v>3083</v>
      </c>
      <c r="F462" s="52" t="s">
        <v>2303</v>
      </c>
      <c r="H462" s="52"/>
      <c r="I462" s="55"/>
    </row>
    <row r="463" spans="1:9" ht="32" x14ac:dyDescent="0.2">
      <c r="A463" s="53" t="s">
        <v>3084</v>
      </c>
      <c r="B463" s="50" t="s">
        <v>3085</v>
      </c>
      <c r="F463" s="52" t="s">
        <v>3018</v>
      </c>
      <c r="H463" s="52"/>
      <c r="I463" s="55"/>
    </row>
    <row r="464" spans="1:9" ht="32" x14ac:dyDescent="0.2">
      <c r="A464" s="53" t="s">
        <v>3086</v>
      </c>
      <c r="B464" s="50" t="s">
        <v>3087</v>
      </c>
      <c r="F464" s="52" t="s">
        <v>2829</v>
      </c>
      <c r="H464" s="52"/>
      <c r="I464" s="55"/>
    </row>
    <row r="465" spans="1:9" ht="32" x14ac:dyDescent="0.2">
      <c r="A465" s="53" t="s">
        <v>3088</v>
      </c>
      <c r="B465" s="50" t="s">
        <v>3089</v>
      </c>
      <c r="F465" s="52" t="s">
        <v>2829</v>
      </c>
      <c r="H465" s="52"/>
      <c r="I465" s="55"/>
    </row>
    <row r="466" spans="1:9" ht="32" x14ac:dyDescent="0.2">
      <c r="A466" s="53" t="s">
        <v>3090</v>
      </c>
      <c r="B466" s="50" t="s">
        <v>3091</v>
      </c>
      <c r="F466" s="52" t="s">
        <v>2829</v>
      </c>
      <c r="H466" s="52"/>
      <c r="I466" s="55"/>
    </row>
    <row r="467" spans="1:9" ht="32" x14ac:dyDescent="0.2">
      <c r="A467" s="53" t="s">
        <v>3092</v>
      </c>
      <c r="B467" s="50" t="s">
        <v>3093</v>
      </c>
      <c r="F467" s="52" t="s">
        <v>2829</v>
      </c>
      <c r="H467" s="52"/>
      <c r="I467" s="55"/>
    </row>
    <row r="468" spans="1:9" ht="32" x14ac:dyDescent="0.2">
      <c r="A468" s="100" t="s">
        <v>3094</v>
      </c>
      <c r="B468" s="101" t="s">
        <v>3095</v>
      </c>
      <c r="F468" s="52" t="s">
        <v>2829</v>
      </c>
      <c r="H468" s="52"/>
      <c r="I468" s="55"/>
    </row>
    <row r="469" spans="1:9" ht="32" x14ac:dyDescent="0.2">
      <c r="A469" s="53" t="s">
        <v>3096</v>
      </c>
      <c r="B469" s="50" t="s">
        <v>3097</v>
      </c>
      <c r="F469" s="52" t="s">
        <v>2829</v>
      </c>
      <c r="H469" s="52"/>
      <c r="I469" s="55"/>
    </row>
    <row r="470" spans="1:9" ht="32" x14ac:dyDescent="0.2">
      <c r="A470" s="53" t="s">
        <v>3098</v>
      </c>
      <c r="B470" s="50" t="s">
        <v>3099</v>
      </c>
      <c r="F470" s="52" t="s">
        <v>2829</v>
      </c>
      <c r="H470" s="52"/>
      <c r="I470" s="55"/>
    </row>
    <row r="471" spans="1:9" ht="32" x14ac:dyDescent="0.2">
      <c r="A471" s="53" t="s">
        <v>3100</v>
      </c>
      <c r="B471" s="50" t="s">
        <v>3101</v>
      </c>
      <c r="F471" s="52" t="s">
        <v>2829</v>
      </c>
      <c r="H471" s="52"/>
      <c r="I471" s="55"/>
    </row>
    <row r="472" spans="1:9" ht="32" x14ac:dyDescent="0.2">
      <c r="A472" s="53" t="s">
        <v>3102</v>
      </c>
      <c r="B472" s="50" t="s">
        <v>3103</v>
      </c>
      <c r="F472" s="52" t="s">
        <v>3104</v>
      </c>
      <c r="H472" s="52" t="s">
        <v>3105</v>
      </c>
      <c r="I472" s="56">
        <v>15.74</v>
      </c>
    </row>
    <row r="473" spans="1:9" ht="32" x14ac:dyDescent="0.2">
      <c r="A473" s="53" t="s">
        <v>3106</v>
      </c>
      <c r="B473" s="50" t="s">
        <v>3107</v>
      </c>
      <c r="F473" s="52" t="s">
        <v>2378</v>
      </c>
      <c r="H473" s="52"/>
      <c r="I473" s="55"/>
    </row>
    <row r="474" spans="1:9" ht="32" x14ac:dyDescent="0.2">
      <c r="A474" s="53" t="s">
        <v>3108</v>
      </c>
      <c r="B474" s="50" t="s">
        <v>3109</v>
      </c>
      <c r="F474" s="52" t="s">
        <v>3110</v>
      </c>
      <c r="H474" s="52" t="s">
        <v>3111</v>
      </c>
      <c r="I474" s="56">
        <v>17.53</v>
      </c>
    </row>
    <row r="475" spans="1:9" ht="16" x14ac:dyDescent="0.2">
      <c r="A475" s="53" t="s">
        <v>3112</v>
      </c>
      <c r="B475" s="50" t="s">
        <v>3113</v>
      </c>
      <c r="F475" s="52" t="s">
        <v>3114</v>
      </c>
      <c r="H475" s="52" t="s">
        <v>3115</v>
      </c>
      <c r="I475" s="56">
        <v>12</v>
      </c>
    </row>
    <row r="476" spans="1:9" ht="32" x14ac:dyDescent="0.2">
      <c r="A476" s="100" t="s">
        <v>3116</v>
      </c>
      <c r="B476" s="116" t="s">
        <v>3117</v>
      </c>
      <c r="F476" s="52" t="s">
        <v>3118</v>
      </c>
      <c r="H476" s="52"/>
      <c r="I476" s="55"/>
    </row>
    <row r="477" spans="1:9" ht="32" x14ac:dyDescent="0.2">
      <c r="A477" s="100" t="s">
        <v>3119</v>
      </c>
      <c r="B477" s="101" t="s">
        <v>3120</v>
      </c>
      <c r="F477" s="52" t="s">
        <v>3118</v>
      </c>
      <c r="H477" s="52"/>
      <c r="I477" s="55"/>
    </row>
    <row r="478" spans="1:9" ht="32" x14ac:dyDescent="0.2">
      <c r="A478" s="53" t="s">
        <v>3121</v>
      </c>
      <c r="B478" s="50" t="s">
        <v>3122</v>
      </c>
      <c r="F478" s="52" t="s">
        <v>3118</v>
      </c>
      <c r="H478" s="52"/>
      <c r="I478" s="55"/>
    </row>
    <row r="479" spans="1:9" ht="16" x14ac:dyDescent="0.2">
      <c r="A479" s="53" t="s">
        <v>3123</v>
      </c>
      <c r="B479" s="50" t="s">
        <v>3123</v>
      </c>
      <c r="F479" s="52" t="s">
        <v>3124</v>
      </c>
      <c r="H479" s="52"/>
      <c r="I479" s="55"/>
    </row>
    <row r="480" spans="1:9" ht="16" x14ac:dyDescent="0.2">
      <c r="A480" s="53" t="s">
        <v>3125</v>
      </c>
      <c r="B480" s="50" t="s">
        <v>3126</v>
      </c>
      <c r="F480" s="52" t="s">
        <v>2639</v>
      </c>
      <c r="H480" s="52"/>
      <c r="I480" s="55"/>
    </row>
    <row r="481" spans="1:9" ht="16" x14ac:dyDescent="0.2">
      <c r="A481" s="53" t="s">
        <v>3127</v>
      </c>
      <c r="B481" s="50" t="s">
        <v>3128</v>
      </c>
      <c r="F481" s="52" t="s">
        <v>3114</v>
      </c>
      <c r="H481" s="52" t="s">
        <v>3115</v>
      </c>
      <c r="I481" s="56">
        <v>25</v>
      </c>
    </row>
    <row r="482" spans="1:9" ht="32" x14ac:dyDescent="0.2">
      <c r="A482" s="53" t="s">
        <v>3129</v>
      </c>
      <c r="B482" s="50" t="s">
        <v>3130</v>
      </c>
      <c r="F482" s="52" t="s">
        <v>3131</v>
      </c>
      <c r="H482" s="52" t="s">
        <v>3132</v>
      </c>
      <c r="I482" s="55"/>
    </row>
    <row r="483" spans="1:9" ht="48" x14ac:dyDescent="0.2">
      <c r="A483" s="53" t="s">
        <v>3133</v>
      </c>
      <c r="B483" s="50" t="s">
        <v>3134</v>
      </c>
      <c r="F483" s="52" t="s">
        <v>3135</v>
      </c>
      <c r="H483" s="52"/>
      <c r="I483" s="55"/>
    </row>
    <row r="484" spans="1:9" ht="32" x14ac:dyDescent="0.2">
      <c r="A484" s="53" t="s">
        <v>3136</v>
      </c>
      <c r="B484" s="50" t="s">
        <v>3137</v>
      </c>
      <c r="F484" s="52" t="s">
        <v>3138</v>
      </c>
      <c r="H484" s="52"/>
      <c r="I484" s="56">
        <v>19.2</v>
      </c>
    </row>
    <row r="485" spans="1:9" ht="32" x14ac:dyDescent="0.2">
      <c r="A485" s="53" t="s">
        <v>3139</v>
      </c>
      <c r="B485" s="50" t="s">
        <v>3140</v>
      </c>
      <c r="F485" s="52" t="s">
        <v>3138</v>
      </c>
      <c r="H485" s="52"/>
      <c r="I485" s="56">
        <v>9.9499999999999993</v>
      </c>
    </row>
    <row r="486" spans="1:9" ht="16" x14ac:dyDescent="0.2">
      <c r="A486" s="53" t="s">
        <v>3141</v>
      </c>
      <c r="B486" s="50" t="s">
        <v>3141</v>
      </c>
      <c r="F486" s="52" t="s">
        <v>2566</v>
      </c>
      <c r="H486" s="52"/>
      <c r="I486" s="55"/>
    </row>
    <row r="487" spans="1:9" ht="32" x14ac:dyDescent="0.2">
      <c r="A487" s="53" t="s">
        <v>3142</v>
      </c>
      <c r="B487" s="50" t="s">
        <v>3142</v>
      </c>
      <c r="F487" s="52" t="s">
        <v>2853</v>
      </c>
      <c r="H487" s="52"/>
      <c r="I487" s="55"/>
    </row>
    <row r="488" spans="1:9" ht="32" x14ac:dyDescent="0.2">
      <c r="A488" s="53" t="s">
        <v>3143</v>
      </c>
      <c r="B488" s="50" t="s">
        <v>3144</v>
      </c>
      <c r="F488" s="52" t="s">
        <v>3145</v>
      </c>
      <c r="H488" s="52"/>
      <c r="I488" s="55"/>
    </row>
    <row r="489" spans="1:9" ht="32" x14ac:dyDescent="0.2">
      <c r="A489" s="53" t="s">
        <v>3146</v>
      </c>
      <c r="B489" s="50" t="s">
        <v>3147</v>
      </c>
      <c r="F489" s="52" t="s">
        <v>3148</v>
      </c>
      <c r="H489" s="52" t="s">
        <v>3149</v>
      </c>
      <c r="I489" s="55"/>
    </row>
    <row r="490" spans="1:9" ht="32" x14ac:dyDescent="0.2">
      <c r="A490" s="53" t="s">
        <v>3150</v>
      </c>
      <c r="B490" s="50" t="s">
        <v>3151</v>
      </c>
      <c r="F490" s="52" t="s">
        <v>3148</v>
      </c>
      <c r="H490" s="52" t="s">
        <v>3152</v>
      </c>
      <c r="I490" s="55"/>
    </row>
    <row r="491" spans="1:9" ht="32" x14ac:dyDescent="0.2">
      <c r="A491" s="53" t="s">
        <v>3153</v>
      </c>
      <c r="B491" s="50" t="s">
        <v>3154</v>
      </c>
      <c r="F491" s="52" t="s">
        <v>3148</v>
      </c>
      <c r="H491" s="113">
        <v>862.01499999999999</v>
      </c>
      <c r="I491" s="55"/>
    </row>
    <row r="492" spans="1:9" ht="32" x14ac:dyDescent="0.2">
      <c r="A492" s="53" t="s">
        <v>3155</v>
      </c>
      <c r="B492" s="50" t="s">
        <v>3156</v>
      </c>
      <c r="F492" s="52" t="s">
        <v>3148</v>
      </c>
      <c r="H492" s="52" t="s">
        <v>3157</v>
      </c>
      <c r="I492" s="55"/>
    </row>
    <row r="493" spans="1:9" ht="32" x14ac:dyDescent="0.2">
      <c r="A493" s="53" t="s">
        <v>3158</v>
      </c>
      <c r="B493" s="50" t="s">
        <v>3159</v>
      </c>
      <c r="F493" s="52" t="s">
        <v>3148</v>
      </c>
      <c r="H493" s="52" t="s">
        <v>3160</v>
      </c>
      <c r="I493" s="55"/>
    </row>
    <row r="494" spans="1:9" ht="32" x14ac:dyDescent="0.2">
      <c r="A494" s="53" t="s">
        <v>3161</v>
      </c>
      <c r="B494" s="50" t="s">
        <v>3162</v>
      </c>
      <c r="F494" s="52" t="s">
        <v>3148</v>
      </c>
      <c r="H494" s="52" t="s">
        <v>3163</v>
      </c>
      <c r="I494" s="55"/>
    </row>
    <row r="495" spans="1:9" ht="32" x14ac:dyDescent="0.2">
      <c r="A495" s="53" t="s">
        <v>3164</v>
      </c>
      <c r="B495" s="50" t="s">
        <v>3165</v>
      </c>
      <c r="F495" s="52" t="s">
        <v>3166</v>
      </c>
      <c r="H495" s="52"/>
      <c r="I495" s="55"/>
    </row>
    <row r="496" spans="1:9" ht="32" x14ac:dyDescent="0.2">
      <c r="A496" s="53" t="s">
        <v>3167</v>
      </c>
      <c r="B496" s="50" t="s">
        <v>3168</v>
      </c>
      <c r="F496" s="52" t="s">
        <v>3166</v>
      </c>
      <c r="H496" s="52"/>
      <c r="I496" s="55"/>
    </row>
    <row r="497" spans="1:9" ht="32" x14ac:dyDescent="0.2">
      <c r="A497" s="53" t="s">
        <v>3169</v>
      </c>
      <c r="B497" s="50" t="s">
        <v>3170</v>
      </c>
      <c r="F497" s="52" t="s">
        <v>3171</v>
      </c>
      <c r="H497" s="52"/>
      <c r="I497" s="55"/>
    </row>
    <row r="498" spans="1:9" ht="32" x14ac:dyDescent="0.2">
      <c r="A498" s="53" t="s">
        <v>3172</v>
      </c>
      <c r="B498" s="50" t="s">
        <v>3173</v>
      </c>
      <c r="F498" s="52" t="s">
        <v>3174</v>
      </c>
      <c r="H498" s="52"/>
      <c r="I498" s="55"/>
    </row>
    <row r="499" spans="1:9" ht="32" x14ac:dyDescent="0.2">
      <c r="A499" s="53" t="s">
        <v>3175</v>
      </c>
      <c r="B499" s="50" t="s">
        <v>3176</v>
      </c>
      <c r="F499" s="52" t="s">
        <v>2689</v>
      </c>
      <c r="H499" s="52" t="s">
        <v>3177</v>
      </c>
      <c r="I499" s="55"/>
    </row>
    <row r="500" spans="1:9" ht="32" x14ac:dyDescent="0.2">
      <c r="A500" s="53" t="s">
        <v>3178</v>
      </c>
      <c r="B500" s="50" t="s">
        <v>3179</v>
      </c>
      <c r="F500" s="52" t="s">
        <v>2689</v>
      </c>
      <c r="H500" s="52" t="s">
        <v>3180</v>
      </c>
      <c r="I500" s="55"/>
    </row>
    <row r="501" spans="1:9" ht="32" x14ac:dyDescent="0.2">
      <c r="A501" s="53" t="s">
        <v>3181</v>
      </c>
      <c r="B501" s="50" t="s">
        <v>3182</v>
      </c>
      <c r="F501" s="52" t="s">
        <v>2689</v>
      </c>
      <c r="H501" s="52" t="s">
        <v>3183</v>
      </c>
      <c r="I501" s="55"/>
    </row>
    <row r="502" spans="1:9" ht="32" x14ac:dyDescent="0.2">
      <c r="A502" s="53" t="s">
        <v>3184</v>
      </c>
      <c r="B502" s="50" t="s">
        <v>3185</v>
      </c>
      <c r="F502" s="52" t="s">
        <v>2689</v>
      </c>
      <c r="H502" s="52" t="s">
        <v>3186</v>
      </c>
      <c r="I502" s="55"/>
    </row>
    <row r="503" spans="1:9" ht="32" x14ac:dyDescent="0.2">
      <c r="A503" s="53" t="s">
        <v>3187</v>
      </c>
      <c r="B503" s="50" t="s">
        <v>3188</v>
      </c>
      <c r="F503" s="52" t="s">
        <v>2689</v>
      </c>
      <c r="H503" s="52" t="s">
        <v>3189</v>
      </c>
      <c r="I503" s="55"/>
    </row>
    <row r="504" spans="1:9" ht="32" x14ac:dyDescent="0.2">
      <c r="A504" s="53" t="s">
        <v>3190</v>
      </c>
      <c r="B504" s="50" t="s">
        <v>3191</v>
      </c>
      <c r="F504" s="52" t="s">
        <v>2689</v>
      </c>
      <c r="H504" s="52" t="s">
        <v>3192</v>
      </c>
      <c r="I504" s="55"/>
    </row>
    <row r="505" spans="1:9" ht="32" x14ac:dyDescent="0.2">
      <c r="A505" s="53" t="s">
        <v>3193</v>
      </c>
      <c r="B505" s="50" t="s">
        <v>3194</v>
      </c>
      <c r="F505" s="52" t="s">
        <v>2689</v>
      </c>
      <c r="H505" s="52" t="s">
        <v>3195</v>
      </c>
      <c r="I505" s="55"/>
    </row>
    <row r="506" spans="1:9" ht="16" x14ac:dyDescent="0.2">
      <c r="A506" s="53" t="s">
        <v>3196</v>
      </c>
      <c r="B506" s="50" t="s">
        <v>3197</v>
      </c>
      <c r="F506" s="52"/>
      <c r="H506" s="52" t="s">
        <v>3198</v>
      </c>
      <c r="I506" s="55"/>
    </row>
    <row r="507" spans="1:9" ht="16" x14ac:dyDescent="0.2">
      <c r="A507" s="53" t="s">
        <v>3199</v>
      </c>
      <c r="B507" s="50" t="s">
        <v>3200</v>
      </c>
      <c r="F507" s="52"/>
      <c r="H507" s="52" t="s">
        <v>3201</v>
      </c>
      <c r="I507" s="55"/>
    </row>
    <row r="508" spans="1:9" ht="16" x14ac:dyDescent="0.2">
      <c r="A508" s="53" t="s">
        <v>3202</v>
      </c>
      <c r="B508" s="50" t="s">
        <v>3203</v>
      </c>
      <c r="F508" s="52"/>
      <c r="H508" s="52" t="s">
        <v>3204</v>
      </c>
      <c r="I508" s="55"/>
    </row>
    <row r="509" spans="1:9" ht="16" x14ac:dyDescent="0.2">
      <c r="A509" s="53" t="s">
        <v>3205</v>
      </c>
      <c r="B509" s="50" t="s">
        <v>3206</v>
      </c>
      <c r="F509" s="52"/>
      <c r="H509" s="52" t="s">
        <v>3207</v>
      </c>
      <c r="I509" s="55"/>
    </row>
    <row r="510" spans="1:9" ht="16" x14ac:dyDescent="0.2">
      <c r="A510" s="53" t="s">
        <v>3208</v>
      </c>
      <c r="B510" s="50" t="s">
        <v>3209</v>
      </c>
      <c r="F510" s="52"/>
      <c r="H510" s="52" t="s">
        <v>3210</v>
      </c>
      <c r="I510" s="55"/>
    </row>
    <row r="511" spans="1:9" ht="16" x14ac:dyDescent="0.2">
      <c r="A511" s="53" t="s">
        <v>3208</v>
      </c>
      <c r="B511" s="50" t="s">
        <v>3209</v>
      </c>
      <c r="F511" s="52"/>
      <c r="H511" s="52" t="s">
        <v>3211</v>
      </c>
      <c r="I511" s="55"/>
    </row>
    <row r="512" spans="1:9" ht="16" x14ac:dyDescent="0.2">
      <c r="A512" s="53" t="s">
        <v>3212</v>
      </c>
      <c r="B512" s="50" t="s">
        <v>3213</v>
      </c>
      <c r="F512" s="52"/>
      <c r="H512" s="52" t="s">
        <v>3214</v>
      </c>
      <c r="I512" s="55"/>
    </row>
    <row r="513" spans="1:9" ht="48" x14ac:dyDescent="0.2">
      <c r="A513" s="53" t="s">
        <v>3215</v>
      </c>
      <c r="B513" s="50" t="s">
        <v>3216</v>
      </c>
      <c r="F513" s="52"/>
      <c r="H513" s="52" t="s">
        <v>3217</v>
      </c>
      <c r="I513" s="55"/>
    </row>
    <row r="514" spans="1:9" ht="16" x14ac:dyDescent="0.2">
      <c r="A514" s="53" t="s">
        <v>3218</v>
      </c>
      <c r="B514" s="50" t="s">
        <v>3219</v>
      </c>
      <c r="F514" s="52"/>
      <c r="H514" s="52" t="s">
        <v>3220</v>
      </c>
      <c r="I514" s="55"/>
    </row>
    <row r="515" spans="1:9" ht="16" x14ac:dyDescent="0.2">
      <c r="A515" s="53" t="s">
        <v>3221</v>
      </c>
      <c r="B515" s="50" t="s">
        <v>3222</v>
      </c>
      <c r="F515" s="52"/>
      <c r="H515" s="52" t="s">
        <v>3223</v>
      </c>
      <c r="I515" s="55"/>
    </row>
    <row r="516" spans="1:9" ht="16" x14ac:dyDescent="0.2">
      <c r="A516" s="53" t="s">
        <v>3224</v>
      </c>
      <c r="B516" s="50" t="s">
        <v>3225</v>
      </c>
      <c r="F516" s="52"/>
      <c r="H516" s="52" t="s">
        <v>3226</v>
      </c>
      <c r="I516" s="55"/>
    </row>
    <row r="517" spans="1:9" ht="16" x14ac:dyDescent="0.2">
      <c r="A517" s="53" t="s">
        <v>3224</v>
      </c>
      <c r="B517" s="50" t="s">
        <v>3225</v>
      </c>
      <c r="F517" s="52"/>
      <c r="H517" s="52" t="s">
        <v>3227</v>
      </c>
      <c r="I517" s="55"/>
    </row>
    <row r="518" spans="1:9" ht="16" x14ac:dyDescent="0.2">
      <c r="A518" s="53" t="s">
        <v>3228</v>
      </c>
      <c r="B518" s="50" t="s">
        <v>3229</v>
      </c>
      <c r="F518" s="52"/>
      <c r="H518" s="52" t="s">
        <v>3230</v>
      </c>
      <c r="I518" s="55"/>
    </row>
    <row r="519" spans="1:9" ht="16" x14ac:dyDescent="0.2">
      <c r="A519" s="53" t="s">
        <v>3231</v>
      </c>
      <c r="B519" s="50" t="s">
        <v>3232</v>
      </c>
      <c r="F519" s="52"/>
      <c r="H519" s="52" t="s">
        <v>3233</v>
      </c>
      <c r="I519" s="55"/>
    </row>
    <row r="520" spans="1:9" ht="16" x14ac:dyDescent="0.2">
      <c r="A520" s="53" t="s">
        <v>3234</v>
      </c>
      <c r="B520" s="50" t="s">
        <v>3235</v>
      </c>
      <c r="F520" s="52"/>
      <c r="H520" s="52" t="s">
        <v>3236</v>
      </c>
      <c r="I520" s="55"/>
    </row>
    <row r="521" spans="1:9" ht="16" x14ac:dyDescent="0.2">
      <c r="A521" s="53" t="s">
        <v>3237</v>
      </c>
      <c r="B521" s="50" t="s">
        <v>3238</v>
      </c>
      <c r="F521" s="52"/>
      <c r="H521" s="52" t="s">
        <v>3239</v>
      </c>
      <c r="I521" s="55"/>
    </row>
    <row r="522" spans="1:9" ht="32" x14ac:dyDescent="0.2">
      <c r="A522" s="53" t="s">
        <v>3240</v>
      </c>
      <c r="B522" s="50" t="s">
        <v>3241</v>
      </c>
      <c r="F522" s="52" t="s">
        <v>2522</v>
      </c>
      <c r="H522" s="52" t="s">
        <v>3242</v>
      </c>
      <c r="I522" s="55" t="s">
        <v>3243</v>
      </c>
    </row>
    <row r="523" spans="1:9" ht="16" x14ac:dyDescent="0.2">
      <c r="A523" s="53" t="s">
        <v>3244</v>
      </c>
      <c r="B523" s="50" t="s">
        <v>3245</v>
      </c>
      <c r="F523" s="52" t="s">
        <v>2554</v>
      </c>
      <c r="H523" s="52" t="s">
        <v>3246</v>
      </c>
      <c r="I523" s="55" t="s">
        <v>3247</v>
      </c>
    </row>
    <row r="524" spans="1:9" ht="16" x14ac:dyDescent="0.2">
      <c r="A524" s="53" t="s">
        <v>3248</v>
      </c>
      <c r="B524" s="50" t="s">
        <v>3249</v>
      </c>
      <c r="F524" s="52" t="s">
        <v>2554</v>
      </c>
      <c r="H524" s="52" t="s">
        <v>3250</v>
      </c>
      <c r="I524" s="55" t="s">
        <v>3251</v>
      </c>
    </row>
    <row r="525" spans="1:9" ht="32" x14ac:dyDescent="0.2">
      <c r="A525" s="53" t="s">
        <v>3252</v>
      </c>
      <c r="B525" s="50" t="s">
        <v>3253</v>
      </c>
      <c r="F525" s="52" t="s">
        <v>3254</v>
      </c>
      <c r="H525" s="52" t="s">
        <v>3250</v>
      </c>
      <c r="I525" s="55" t="s">
        <v>3255</v>
      </c>
    </row>
    <row r="526" spans="1:9" ht="32" x14ac:dyDescent="0.2">
      <c r="A526" s="53" t="s">
        <v>3256</v>
      </c>
      <c r="B526" s="50" t="s">
        <v>3257</v>
      </c>
      <c r="F526" s="52" t="s">
        <v>3166</v>
      </c>
      <c r="H526" s="52" t="s">
        <v>3258</v>
      </c>
      <c r="I526" s="55" t="s">
        <v>3259</v>
      </c>
    </row>
    <row r="527" spans="1:9" ht="16" x14ac:dyDescent="0.2">
      <c r="A527" s="53" t="s">
        <v>3260</v>
      </c>
      <c r="B527" s="50" t="s">
        <v>3261</v>
      </c>
      <c r="F527" s="52" t="s">
        <v>3262</v>
      </c>
      <c r="H527" s="52"/>
      <c r="I527" s="55"/>
    </row>
    <row r="528" spans="1:9" ht="32" x14ac:dyDescent="0.2">
      <c r="A528" s="53" t="s">
        <v>3263</v>
      </c>
      <c r="B528" s="50" t="s">
        <v>3264</v>
      </c>
      <c r="F528" s="52" t="s">
        <v>2376</v>
      </c>
      <c r="H528" s="52"/>
      <c r="I528" s="55"/>
    </row>
    <row r="529" spans="1:9" ht="16" x14ac:dyDescent="0.2">
      <c r="A529" s="53" t="s">
        <v>3265</v>
      </c>
      <c r="B529" s="50" t="s">
        <v>3266</v>
      </c>
      <c r="F529" s="52" t="s">
        <v>3114</v>
      </c>
      <c r="H529" s="52" t="s">
        <v>3267</v>
      </c>
      <c r="I529" s="56">
        <v>22</v>
      </c>
    </row>
    <row r="530" spans="1:9" ht="16" x14ac:dyDescent="0.2">
      <c r="A530" s="53" t="s">
        <v>3268</v>
      </c>
      <c r="B530" s="50" t="s">
        <v>3269</v>
      </c>
      <c r="F530" s="52" t="s">
        <v>3114</v>
      </c>
      <c r="H530" s="52"/>
      <c r="I530" s="56">
        <v>18.25</v>
      </c>
    </row>
    <row r="531" spans="1:9" ht="32" x14ac:dyDescent="0.2">
      <c r="A531" s="53" t="s">
        <v>3270</v>
      </c>
      <c r="B531" s="50" t="s">
        <v>3271</v>
      </c>
      <c r="F531" s="52" t="s">
        <v>3166</v>
      </c>
      <c r="H531" s="52" t="s">
        <v>3272</v>
      </c>
      <c r="I531" s="56">
        <v>50</v>
      </c>
    </row>
    <row r="532" spans="1:9" ht="32" x14ac:dyDescent="0.2">
      <c r="A532" s="53" t="s">
        <v>3273</v>
      </c>
      <c r="B532" s="50" t="s">
        <v>3274</v>
      </c>
      <c r="F532" s="52" t="s">
        <v>3148</v>
      </c>
      <c r="H532" s="52" t="s">
        <v>3275</v>
      </c>
      <c r="I532" s="55"/>
    </row>
    <row r="533" spans="1:9" ht="32" x14ac:dyDescent="0.2">
      <c r="A533" s="53" t="s">
        <v>3273</v>
      </c>
      <c r="B533" s="50" t="s">
        <v>3274</v>
      </c>
      <c r="F533" s="52" t="s">
        <v>3148</v>
      </c>
      <c r="H533" s="52" t="s">
        <v>3276</v>
      </c>
      <c r="I533" s="55"/>
    </row>
    <row r="534" spans="1:9" ht="32" x14ac:dyDescent="0.2">
      <c r="A534" s="53" t="s">
        <v>3277</v>
      </c>
      <c r="B534" s="50" t="s">
        <v>3278</v>
      </c>
      <c r="F534" s="52" t="s">
        <v>3148</v>
      </c>
      <c r="H534" s="52" t="s">
        <v>3279</v>
      </c>
      <c r="I534" s="55"/>
    </row>
    <row r="535" spans="1:9" ht="32" x14ac:dyDescent="0.2">
      <c r="A535" s="53" t="s">
        <v>3280</v>
      </c>
      <c r="B535" s="50" t="s">
        <v>3281</v>
      </c>
      <c r="F535" s="52" t="s">
        <v>3148</v>
      </c>
      <c r="H535" s="52" t="s">
        <v>3282</v>
      </c>
      <c r="I535" s="55"/>
    </row>
    <row r="536" spans="1:9" ht="32" x14ac:dyDescent="0.2">
      <c r="A536" s="53" t="s">
        <v>3283</v>
      </c>
      <c r="B536" s="50" t="s">
        <v>3284</v>
      </c>
      <c r="F536" s="52" t="s">
        <v>2465</v>
      </c>
      <c r="H536" s="52" t="s">
        <v>3285</v>
      </c>
      <c r="I536" s="56">
        <v>23</v>
      </c>
    </row>
    <row r="537" spans="1:9" ht="32" x14ac:dyDescent="0.2">
      <c r="A537" s="53" t="s">
        <v>3286</v>
      </c>
      <c r="B537" s="50" t="s">
        <v>3287</v>
      </c>
      <c r="F537" s="52" t="s">
        <v>3288</v>
      </c>
      <c r="H537" s="52" t="s">
        <v>3289</v>
      </c>
      <c r="I537" s="56">
        <v>109</v>
      </c>
    </row>
    <row r="538" spans="1:9" ht="32" x14ac:dyDescent="0.2">
      <c r="A538" s="53" t="s">
        <v>3286</v>
      </c>
      <c r="B538" s="50" t="s">
        <v>3287</v>
      </c>
      <c r="F538" s="52" t="s">
        <v>2376</v>
      </c>
      <c r="H538" s="52"/>
      <c r="I538" s="56">
        <v>37</v>
      </c>
    </row>
    <row r="539" spans="1:9" ht="16" x14ac:dyDescent="0.2">
      <c r="A539" s="53" t="s">
        <v>3290</v>
      </c>
      <c r="B539" s="50" t="s">
        <v>3291</v>
      </c>
      <c r="F539" s="52" t="s">
        <v>3114</v>
      </c>
      <c r="H539" s="52" t="s">
        <v>3285</v>
      </c>
      <c r="I539" s="56">
        <v>135</v>
      </c>
    </row>
    <row r="540" spans="1:9" ht="16" x14ac:dyDescent="0.2">
      <c r="A540" s="53" t="s">
        <v>3292</v>
      </c>
      <c r="B540" s="50" t="s">
        <v>3293</v>
      </c>
      <c r="F540" s="52" t="s">
        <v>2554</v>
      </c>
      <c r="H540" s="52" t="s">
        <v>3285</v>
      </c>
      <c r="I540" s="56">
        <v>156</v>
      </c>
    </row>
    <row r="541" spans="1:9" ht="32" x14ac:dyDescent="0.2">
      <c r="A541" s="53" t="s">
        <v>3294</v>
      </c>
      <c r="B541" s="50" t="s">
        <v>3295</v>
      </c>
      <c r="F541" s="52" t="s">
        <v>3296</v>
      </c>
      <c r="H541" s="52"/>
      <c r="I541" s="55"/>
    </row>
    <row r="542" spans="1:9" ht="48" x14ac:dyDescent="0.2">
      <c r="A542" s="53" t="s">
        <v>3297</v>
      </c>
      <c r="B542" s="50" t="s">
        <v>3298</v>
      </c>
      <c r="F542" s="52" t="s">
        <v>3299</v>
      </c>
      <c r="H542" s="52"/>
      <c r="I542" s="55"/>
    </row>
    <row r="543" spans="1:9" ht="48" x14ac:dyDescent="0.2">
      <c r="A543" s="53" t="s">
        <v>3300</v>
      </c>
      <c r="B543" s="50" t="s">
        <v>3301</v>
      </c>
      <c r="F543" s="52" t="s">
        <v>3299</v>
      </c>
      <c r="H543" s="52"/>
      <c r="I543" s="55"/>
    </row>
    <row r="544" spans="1:9" ht="48" x14ac:dyDescent="0.2">
      <c r="A544" s="53" t="s">
        <v>3302</v>
      </c>
      <c r="B544" s="50" t="s">
        <v>3303</v>
      </c>
      <c r="F544" s="52" t="s">
        <v>3299</v>
      </c>
      <c r="H544" s="52"/>
      <c r="I544" s="55"/>
    </row>
    <row r="545" spans="1:20" ht="48" customHeight="1" x14ac:dyDescent="0.2">
      <c r="A545" s="93" t="s">
        <v>3304</v>
      </c>
      <c r="B545" s="85" t="s">
        <v>2152</v>
      </c>
      <c r="C545" s="2" t="s">
        <v>3305</v>
      </c>
      <c r="D545" s="94" t="s">
        <v>2132</v>
      </c>
      <c r="F545" s="76" t="s">
        <v>3306</v>
      </c>
      <c r="G545" s="94" t="s">
        <v>3307</v>
      </c>
      <c r="H545" s="76" t="s">
        <v>3308</v>
      </c>
      <c r="I545" s="95">
        <v>73</v>
      </c>
    </row>
    <row r="546" spans="1:20" ht="48" customHeight="1" x14ac:dyDescent="0.2">
      <c r="A546" s="86" t="s">
        <v>3309</v>
      </c>
      <c r="B546" s="85" t="s">
        <v>3310</v>
      </c>
      <c r="F546" s="168" t="s">
        <v>3311</v>
      </c>
      <c r="G546" s="168"/>
      <c r="H546" s="52" t="s">
        <v>2466</v>
      </c>
      <c r="I546" s="95">
        <v>12.8</v>
      </c>
      <c r="J546" s="169"/>
    </row>
    <row r="547" spans="1:20" ht="48" customHeight="1" x14ac:dyDescent="0.2">
      <c r="A547" s="53" t="s">
        <v>3312</v>
      </c>
      <c r="B547" s="50" t="s">
        <v>3313</v>
      </c>
      <c r="F547" s="168"/>
      <c r="G547" s="169"/>
      <c r="H547" s="52" t="s">
        <v>2466</v>
      </c>
      <c r="I547" s="95">
        <v>13</v>
      </c>
      <c r="J547" s="169"/>
    </row>
    <row r="548" spans="1:20" ht="48" customHeight="1" x14ac:dyDescent="0.2">
      <c r="A548" s="53" t="s">
        <v>3314</v>
      </c>
      <c r="B548" s="50" t="s">
        <v>3315</v>
      </c>
      <c r="F548" s="168"/>
      <c r="G548" s="169"/>
      <c r="H548" s="52" t="s">
        <v>2466</v>
      </c>
      <c r="I548" s="56">
        <v>19.399999999999999</v>
      </c>
      <c r="J548" s="169"/>
    </row>
    <row r="549" spans="1:20" ht="48" customHeight="1" x14ac:dyDescent="0.2">
      <c r="A549" s="88" t="s">
        <v>3316</v>
      </c>
      <c r="B549" s="84" t="s">
        <v>3317</v>
      </c>
      <c r="F549" s="171" t="s">
        <v>3318</v>
      </c>
      <c r="H549" s="83">
        <v>257</v>
      </c>
      <c r="I549" s="87"/>
    </row>
    <row r="550" spans="1:20" ht="48" customHeight="1" x14ac:dyDescent="0.2">
      <c r="A550" s="88" t="s">
        <v>2309</v>
      </c>
      <c r="B550" s="84" t="s">
        <v>3319</v>
      </c>
      <c r="F550" s="171"/>
      <c r="H550" s="83">
        <v>171</v>
      </c>
      <c r="I550" s="87"/>
    </row>
    <row r="551" spans="1:20" ht="48" customHeight="1" x14ac:dyDescent="0.2">
      <c r="A551" s="88" t="s">
        <v>3320</v>
      </c>
      <c r="B551" s="84" t="s">
        <v>3321</v>
      </c>
      <c r="F551" s="171"/>
      <c r="H551" s="83">
        <v>86</v>
      </c>
      <c r="I551" s="87" t="s">
        <v>3322</v>
      </c>
    </row>
    <row r="552" spans="1:20" ht="48" customHeight="1" x14ac:dyDescent="0.2">
      <c r="A552" s="88" t="s">
        <v>3323</v>
      </c>
      <c r="B552" s="84" t="s">
        <v>3324</v>
      </c>
      <c r="F552" s="171"/>
      <c r="H552" s="83" t="s">
        <v>3325</v>
      </c>
      <c r="I552" s="80">
        <v>485</v>
      </c>
    </row>
    <row r="553" spans="1:20" ht="48" customHeight="1" x14ac:dyDescent="0.2">
      <c r="A553" s="88" t="s">
        <v>2427</v>
      </c>
      <c r="B553" s="84" t="s">
        <v>3326</v>
      </c>
      <c r="F553" s="171"/>
      <c r="H553" s="83">
        <v>9</v>
      </c>
      <c r="I553" s="87"/>
    </row>
    <row r="554" spans="1:20" ht="48" customHeight="1" x14ac:dyDescent="0.2">
      <c r="A554" s="88" t="s">
        <v>3327</v>
      </c>
      <c r="B554" s="84" t="s">
        <v>3328</v>
      </c>
      <c r="F554" s="171"/>
      <c r="H554" s="83">
        <v>21</v>
      </c>
      <c r="I554" s="80">
        <v>152</v>
      </c>
      <c r="K554" s="89" t="s">
        <v>3329</v>
      </c>
    </row>
    <row r="555" spans="1:20" ht="34" x14ac:dyDescent="0.2">
      <c r="A555" s="88" t="s">
        <v>3327</v>
      </c>
      <c r="B555" s="84" t="s">
        <v>3330</v>
      </c>
      <c r="F555" s="171"/>
      <c r="H555" s="83">
        <v>21</v>
      </c>
      <c r="I555" s="80">
        <v>220</v>
      </c>
      <c r="K555" s="89" t="s">
        <v>3331</v>
      </c>
    </row>
    <row r="556" spans="1:20" ht="17" x14ac:dyDescent="0.2">
      <c r="A556" s="88" t="s">
        <v>3332</v>
      </c>
      <c r="B556" s="84" t="s">
        <v>3333</v>
      </c>
      <c r="F556" s="171"/>
      <c r="H556" s="83">
        <v>43</v>
      </c>
      <c r="I556" s="87"/>
      <c r="K556" s="89"/>
    </row>
    <row r="557" spans="1:20" ht="34" x14ac:dyDescent="0.2">
      <c r="A557" s="88" t="s">
        <v>3334</v>
      </c>
      <c r="B557" s="84" t="s">
        <v>3335</v>
      </c>
      <c r="F557" s="171"/>
      <c r="H557" s="83">
        <v>86</v>
      </c>
      <c r="I557" s="80">
        <v>94</v>
      </c>
      <c r="K557" s="89" t="s">
        <v>3336</v>
      </c>
    </row>
    <row r="558" spans="1:20" ht="68" x14ac:dyDescent="0.2">
      <c r="A558" s="81" t="s">
        <v>3337</v>
      </c>
      <c r="B558" s="90" t="s">
        <v>3338</v>
      </c>
      <c r="F558" s="171"/>
      <c r="H558" s="83">
        <v>21</v>
      </c>
      <c r="I558" s="80">
        <v>123</v>
      </c>
    </row>
    <row r="559" spans="1:20" ht="17" x14ac:dyDescent="0.2">
      <c r="A559" s="92" t="s">
        <v>3339</v>
      </c>
      <c r="B559" s="91" t="s">
        <v>3340</v>
      </c>
      <c r="C559" s="63"/>
      <c r="D559" s="63"/>
      <c r="E559" s="63"/>
      <c r="F559" s="170"/>
      <c r="G559" s="63"/>
      <c r="H559" s="91">
        <v>214</v>
      </c>
      <c r="I559" s="89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</row>
    <row r="560" spans="1:20" ht="16" x14ac:dyDescent="0.2">
      <c r="A560" s="81" t="s">
        <v>3341</v>
      </c>
      <c r="B560" s="83" t="s">
        <v>3342</v>
      </c>
      <c r="F560" s="171"/>
      <c r="H560" s="83">
        <v>21</v>
      </c>
      <c r="I560" s="80">
        <v>18</v>
      </c>
    </row>
    <row r="561" spans="1:11" ht="16" x14ac:dyDescent="0.2">
      <c r="A561" s="81" t="s">
        <v>3343</v>
      </c>
      <c r="B561" s="82" t="s">
        <v>3344</v>
      </c>
      <c r="F561" s="171"/>
      <c r="H561" s="83">
        <v>21</v>
      </c>
      <c r="I561" s="80">
        <v>42</v>
      </c>
    </row>
    <row r="562" spans="1:11" ht="34" x14ac:dyDescent="0.2">
      <c r="A562" s="81" t="s">
        <v>3345</v>
      </c>
      <c r="B562" s="84" t="s">
        <v>3346</v>
      </c>
      <c r="F562" s="171"/>
      <c r="H562" s="83">
        <v>137</v>
      </c>
      <c r="I562" s="80">
        <v>195</v>
      </c>
    </row>
    <row r="563" spans="1:11" ht="16" x14ac:dyDescent="0.2">
      <c r="A563" s="53" t="s">
        <v>3347</v>
      </c>
      <c r="B563" s="50" t="s">
        <v>2991</v>
      </c>
      <c r="F563" s="52" t="s">
        <v>3348</v>
      </c>
      <c r="H563" s="52"/>
      <c r="I563" s="80">
        <v>10</v>
      </c>
    </row>
    <row r="564" spans="1:11" ht="16" x14ac:dyDescent="0.2">
      <c r="A564" s="53" t="s">
        <v>3349</v>
      </c>
      <c r="B564" s="50" t="s">
        <v>3349</v>
      </c>
      <c r="F564" s="52" t="s">
        <v>3350</v>
      </c>
      <c r="H564" s="52"/>
      <c r="I564" s="80">
        <v>20</v>
      </c>
    </row>
    <row r="565" spans="1:11" ht="16" x14ac:dyDescent="0.2">
      <c r="A565" s="53" t="s">
        <v>3351</v>
      </c>
      <c r="B565" s="50" t="s">
        <v>3352</v>
      </c>
      <c r="F565" s="52"/>
      <c r="H565" s="52"/>
      <c r="I565" s="59">
        <v>162</v>
      </c>
    </row>
    <row r="566" spans="1:11" ht="16" x14ac:dyDescent="0.2">
      <c r="A566" s="53" t="s">
        <v>3353</v>
      </c>
      <c r="B566" s="50" t="s">
        <v>3354</v>
      </c>
      <c r="F566" s="52"/>
      <c r="H566" s="52"/>
      <c r="I566" s="59">
        <v>529</v>
      </c>
    </row>
    <row r="567" spans="1:11" ht="16" x14ac:dyDescent="0.2">
      <c r="A567" s="53" t="s">
        <v>3355</v>
      </c>
      <c r="B567" s="50" t="s">
        <v>3356</v>
      </c>
      <c r="F567" s="52" t="s">
        <v>3357</v>
      </c>
      <c r="H567" s="52"/>
      <c r="I567" s="59">
        <v>10</v>
      </c>
    </row>
    <row r="568" spans="1:11" ht="16" x14ac:dyDescent="0.2">
      <c r="A568" s="53" t="s">
        <v>3358</v>
      </c>
      <c r="B568" s="50" t="s">
        <v>3359</v>
      </c>
      <c r="F568" s="173" t="s">
        <v>3360</v>
      </c>
      <c r="H568" s="52"/>
      <c r="I568" s="59">
        <v>95</v>
      </c>
    </row>
    <row r="569" spans="1:11" ht="16" x14ac:dyDescent="0.2">
      <c r="A569" s="53" t="s">
        <v>3361</v>
      </c>
      <c r="B569" s="50" t="s">
        <v>3362</v>
      </c>
      <c r="F569" s="173"/>
      <c r="H569" s="52"/>
      <c r="I569" s="59">
        <v>510</v>
      </c>
    </row>
    <row r="570" spans="1:11" ht="30" x14ac:dyDescent="0.2">
      <c r="A570" s="53" t="s">
        <v>3363</v>
      </c>
      <c r="B570" s="50" t="s">
        <v>3364</v>
      </c>
      <c r="F570" s="76" t="s">
        <v>3365</v>
      </c>
      <c r="G570" s="63" t="s">
        <v>3366</v>
      </c>
      <c r="H570" s="52"/>
      <c r="I570" s="57">
        <v>14</v>
      </c>
      <c r="J570" s="2" t="s">
        <v>0</v>
      </c>
      <c r="K570" s="65" t="s">
        <v>3367</v>
      </c>
    </row>
    <row r="571" spans="1:11" ht="16" x14ac:dyDescent="0.2">
      <c r="A571" s="53" t="s">
        <v>3368</v>
      </c>
      <c r="B571" s="50" t="s">
        <v>3369</v>
      </c>
      <c r="F571" s="171" t="s">
        <v>3370</v>
      </c>
      <c r="H571" s="52"/>
      <c r="I571" s="59">
        <v>134</v>
      </c>
    </row>
    <row r="572" spans="1:11" ht="16" x14ac:dyDescent="0.2">
      <c r="A572" s="53" t="s">
        <v>3371</v>
      </c>
      <c r="B572" s="50" t="s">
        <v>3372</v>
      </c>
      <c r="C572" s="77" t="s">
        <v>3373</v>
      </c>
      <c r="F572" s="171"/>
      <c r="H572" s="52"/>
      <c r="I572" s="59"/>
    </row>
    <row r="573" spans="1:11" ht="16" x14ac:dyDescent="0.2">
      <c r="A573" s="53" t="s">
        <v>3374</v>
      </c>
      <c r="B573" s="50" t="s">
        <v>3375</v>
      </c>
      <c r="C573" s="77" t="s">
        <v>3376</v>
      </c>
      <c r="F573" s="171"/>
      <c r="H573" s="52"/>
      <c r="I573" s="59"/>
    </row>
    <row r="574" spans="1:11" ht="16" x14ac:dyDescent="0.2">
      <c r="A574" s="53" t="s">
        <v>3377</v>
      </c>
      <c r="B574" s="50" t="s">
        <v>3378</v>
      </c>
      <c r="C574" s="78">
        <v>0.05</v>
      </c>
      <c r="F574" s="171"/>
      <c r="H574" s="52"/>
      <c r="I574" s="59"/>
    </row>
    <row r="575" spans="1:11" ht="16" x14ac:dyDescent="0.2">
      <c r="A575" s="53" t="s">
        <v>3379</v>
      </c>
      <c r="B575" s="50" t="s">
        <v>3380</v>
      </c>
      <c r="C575" s="77" t="s">
        <v>3381</v>
      </c>
      <c r="F575" s="171"/>
      <c r="H575" s="52"/>
      <c r="I575" s="59">
        <v>4.5</v>
      </c>
    </row>
    <row r="576" spans="1:11" ht="16" x14ac:dyDescent="0.2">
      <c r="A576" s="53" t="s">
        <v>2152</v>
      </c>
      <c r="B576" s="50" t="s">
        <v>2152</v>
      </c>
      <c r="C576" s="79">
        <v>0.995</v>
      </c>
      <c r="F576" s="171"/>
      <c r="H576" s="52"/>
      <c r="I576" s="59">
        <v>75</v>
      </c>
    </row>
    <row r="577" spans="1:10" ht="16" x14ac:dyDescent="0.2">
      <c r="A577" s="53" t="s">
        <v>3382</v>
      </c>
      <c r="B577" s="50" t="s">
        <v>3383</v>
      </c>
      <c r="C577" s="58">
        <v>0.99</v>
      </c>
      <c r="F577" s="170" t="s">
        <v>3384</v>
      </c>
      <c r="G577" s="167" t="s">
        <v>3385</v>
      </c>
      <c r="H577" s="52" t="s">
        <v>3386</v>
      </c>
      <c r="I577" s="59">
        <v>128</v>
      </c>
    </row>
    <row r="578" spans="1:10" ht="16" x14ac:dyDescent="0.2">
      <c r="A578" s="53" t="s">
        <v>2427</v>
      </c>
      <c r="B578" s="50" t="s">
        <v>2427</v>
      </c>
      <c r="C578" s="58">
        <v>0.98</v>
      </c>
      <c r="F578" s="170"/>
      <c r="G578" s="167"/>
      <c r="H578" s="52" t="s">
        <v>3387</v>
      </c>
      <c r="I578" s="59">
        <v>730</v>
      </c>
    </row>
    <row r="579" spans="1:10" ht="16" x14ac:dyDescent="0.2">
      <c r="A579" s="53" t="s">
        <v>2152</v>
      </c>
      <c r="B579" s="50" t="s">
        <v>2152</v>
      </c>
      <c r="C579" s="58">
        <v>0.99</v>
      </c>
      <c r="F579" s="170"/>
      <c r="G579" s="167"/>
      <c r="H579" s="52" t="s">
        <v>3388</v>
      </c>
      <c r="I579" s="59">
        <v>65</v>
      </c>
    </row>
    <row r="580" spans="1:10" ht="16" x14ac:dyDescent="0.2">
      <c r="A580" s="53" t="s">
        <v>3389</v>
      </c>
      <c r="B580" s="50" t="s">
        <v>3389</v>
      </c>
      <c r="C580" s="58">
        <v>0.99</v>
      </c>
      <c r="F580" s="170"/>
      <c r="G580" s="167"/>
      <c r="H580" s="52" t="s">
        <v>3388</v>
      </c>
      <c r="I580" s="59">
        <v>80</v>
      </c>
    </row>
    <row r="581" spans="1:10" ht="16" x14ac:dyDescent="0.2">
      <c r="A581" s="53" t="s">
        <v>3390</v>
      </c>
      <c r="B581" s="50" t="s">
        <v>3391</v>
      </c>
      <c r="C581" s="58">
        <v>0.99</v>
      </c>
      <c r="F581" s="170"/>
      <c r="G581" s="167"/>
      <c r="H581" s="52" t="s">
        <v>3387</v>
      </c>
      <c r="I581" s="59">
        <v>650</v>
      </c>
    </row>
    <row r="582" spans="1:10" ht="15" x14ac:dyDescent="0.2">
      <c r="A582" s="53"/>
      <c r="B582" s="50"/>
      <c r="F582" s="52"/>
      <c r="H582" s="52"/>
      <c r="I582" s="59"/>
    </row>
    <row r="583" spans="1:10" ht="67" customHeight="1" x14ac:dyDescent="0.2">
      <c r="A583" s="53"/>
      <c r="B583" s="50"/>
      <c r="F583" s="52"/>
      <c r="H583" s="52"/>
      <c r="I583" s="59"/>
    </row>
    <row r="584" spans="1:10" ht="16" x14ac:dyDescent="0.2">
      <c r="A584" s="53" t="s">
        <v>3392</v>
      </c>
      <c r="B584" s="50" t="s">
        <v>3393</v>
      </c>
      <c r="F584" s="170" t="s">
        <v>3394</v>
      </c>
      <c r="H584" s="52"/>
      <c r="I584" s="57"/>
      <c r="J584" s="168" t="s">
        <v>3395</v>
      </c>
    </row>
    <row r="585" spans="1:10" ht="16" x14ac:dyDescent="0.2">
      <c r="A585" s="53" t="s">
        <v>3396</v>
      </c>
      <c r="B585" s="50" t="s">
        <v>3397</v>
      </c>
      <c r="F585" s="170"/>
      <c r="H585" s="52"/>
      <c r="I585" s="57"/>
      <c r="J585" s="169"/>
    </row>
    <row r="586" spans="1:10" ht="16" x14ac:dyDescent="0.2">
      <c r="A586" s="53" t="s">
        <v>3398</v>
      </c>
      <c r="B586" s="50" t="s">
        <v>3399</v>
      </c>
      <c r="C586" s="58">
        <v>0.95</v>
      </c>
      <c r="F586" s="170"/>
      <c r="H586" s="52"/>
      <c r="I586" s="57"/>
      <c r="J586" s="169"/>
    </row>
    <row r="587" spans="1:10" ht="16" x14ac:dyDescent="0.2">
      <c r="A587" s="53" t="s">
        <v>3400</v>
      </c>
      <c r="B587" s="50" t="s">
        <v>3401</v>
      </c>
      <c r="C587" s="58">
        <v>0.95</v>
      </c>
      <c r="F587" s="170"/>
      <c r="H587" s="52"/>
      <c r="I587" s="57"/>
      <c r="J587" s="169"/>
    </row>
    <row r="588" spans="1:10" ht="16" x14ac:dyDescent="0.2">
      <c r="A588" s="53" t="s">
        <v>3402</v>
      </c>
      <c r="B588" s="50" t="s">
        <v>3403</v>
      </c>
      <c r="C588" s="58">
        <v>0.95</v>
      </c>
      <c r="F588" s="170"/>
      <c r="H588" s="52"/>
      <c r="I588" s="57">
        <v>49</v>
      </c>
      <c r="J588" s="169"/>
    </row>
    <row r="589" spans="1:10" ht="16" x14ac:dyDescent="0.2">
      <c r="A589" s="53" t="s">
        <v>3404</v>
      </c>
      <c r="B589" s="50" t="s">
        <v>3405</v>
      </c>
      <c r="C589" s="58">
        <v>0.95</v>
      </c>
      <c r="F589" s="170"/>
      <c r="H589" s="52"/>
      <c r="I589" s="57"/>
      <c r="J589" s="169"/>
    </row>
    <row r="590" spans="1:10" ht="16" x14ac:dyDescent="0.2">
      <c r="A590" s="53" t="s">
        <v>3406</v>
      </c>
      <c r="B590" s="50" t="s">
        <v>3407</v>
      </c>
      <c r="F590" s="170"/>
      <c r="H590" s="52"/>
      <c r="I590" s="57"/>
      <c r="J590" s="169"/>
    </row>
    <row r="591" spans="1:10" ht="16" x14ac:dyDescent="0.2">
      <c r="A591" s="53" t="s">
        <v>3408</v>
      </c>
      <c r="B591" s="50" t="s">
        <v>3409</v>
      </c>
      <c r="C591" s="58">
        <v>0.98</v>
      </c>
      <c r="F591" s="170"/>
      <c r="H591" s="52"/>
      <c r="I591" s="57"/>
      <c r="J591" s="169"/>
    </row>
    <row r="592" spans="1:10" ht="16" x14ac:dyDescent="0.2">
      <c r="A592" s="53" t="s">
        <v>3410</v>
      </c>
      <c r="B592" s="50" t="s">
        <v>3411</v>
      </c>
      <c r="C592" s="48" t="s">
        <v>3412</v>
      </c>
      <c r="F592" s="170"/>
      <c r="H592" s="52"/>
      <c r="I592" s="57"/>
      <c r="J592" s="169"/>
    </row>
    <row r="593" spans="1:10" ht="16" x14ac:dyDescent="0.2">
      <c r="A593" s="53" t="s">
        <v>3413</v>
      </c>
      <c r="B593" s="50" t="s">
        <v>3414</v>
      </c>
      <c r="F593" s="170"/>
      <c r="H593" s="52"/>
      <c r="I593" s="57"/>
      <c r="J593" s="169"/>
    </row>
    <row r="594" spans="1:10" ht="17" x14ac:dyDescent="0.2">
      <c r="A594" s="103" t="s">
        <v>3415</v>
      </c>
      <c r="B594" s="104" t="s">
        <v>3416</v>
      </c>
      <c r="F594" s="167" t="s">
        <v>3311</v>
      </c>
      <c r="H594" s="52"/>
      <c r="I594" s="112">
        <v>17.63</v>
      </c>
    </row>
    <row r="595" spans="1:10" ht="17" x14ac:dyDescent="0.2">
      <c r="A595" s="103" t="s">
        <v>3417</v>
      </c>
      <c r="B595" s="104" t="s">
        <v>3418</v>
      </c>
      <c r="F595" s="167"/>
      <c r="H595" s="52"/>
      <c r="I595" s="112">
        <v>12.43</v>
      </c>
    </row>
    <row r="596" spans="1:10" ht="17" x14ac:dyDescent="0.2">
      <c r="A596" s="103" t="s">
        <v>3419</v>
      </c>
      <c r="B596" s="104" t="s">
        <v>3420</v>
      </c>
      <c r="F596" s="167"/>
      <c r="H596" s="52"/>
      <c r="I596" s="112">
        <v>51.63</v>
      </c>
    </row>
    <row r="597" spans="1:10" ht="17" x14ac:dyDescent="0.2">
      <c r="A597" s="103" t="s">
        <v>3421</v>
      </c>
      <c r="B597" s="104" t="s">
        <v>3422</v>
      </c>
      <c r="F597" s="167"/>
      <c r="H597" s="52"/>
      <c r="I597" s="112">
        <v>13.13</v>
      </c>
    </row>
    <row r="598" spans="1:10" ht="17" x14ac:dyDescent="0.2">
      <c r="A598" s="103" t="s">
        <v>3423</v>
      </c>
      <c r="B598" s="104" t="s">
        <v>3424</v>
      </c>
      <c r="F598" s="167"/>
      <c r="H598" s="52"/>
      <c r="I598" s="112">
        <v>28.63</v>
      </c>
    </row>
    <row r="599" spans="1:10" ht="17" x14ac:dyDescent="0.2">
      <c r="A599" s="103" t="s">
        <v>3425</v>
      </c>
      <c r="B599" s="104" t="s">
        <v>3426</v>
      </c>
      <c r="F599" s="167"/>
      <c r="H599" s="52"/>
      <c r="I599" s="112">
        <v>12.43</v>
      </c>
    </row>
    <row r="600" spans="1:10" ht="17" x14ac:dyDescent="0.2">
      <c r="A600" s="103" t="s">
        <v>3427</v>
      </c>
      <c r="B600" s="104" t="s">
        <v>3428</v>
      </c>
      <c r="F600" s="167"/>
      <c r="H600" s="52"/>
      <c r="I600" s="112">
        <v>12.93</v>
      </c>
    </row>
    <row r="601" spans="1:10" ht="17" x14ac:dyDescent="0.2">
      <c r="A601" s="103" t="s">
        <v>3429</v>
      </c>
      <c r="B601" s="104" t="s">
        <v>3430</v>
      </c>
      <c r="F601" s="167"/>
      <c r="H601" s="52"/>
      <c r="I601" s="112">
        <v>13.13</v>
      </c>
    </row>
    <row r="602" spans="1:10" ht="17" x14ac:dyDescent="0.2">
      <c r="A602" s="118" t="s">
        <v>3431</v>
      </c>
      <c r="B602" s="119" t="s">
        <v>3432</v>
      </c>
      <c r="F602" s="167"/>
      <c r="H602" s="52"/>
      <c r="I602" s="112">
        <v>110.63</v>
      </c>
    </row>
    <row r="603" spans="1:10" ht="17" x14ac:dyDescent="0.2">
      <c r="A603" s="103" t="s">
        <v>3433</v>
      </c>
      <c r="B603" s="104" t="s">
        <v>3434</v>
      </c>
      <c r="F603" s="167"/>
      <c r="H603" s="52"/>
      <c r="I603" s="112">
        <v>41.63</v>
      </c>
    </row>
    <row r="604" spans="1:10" ht="17" x14ac:dyDescent="0.2">
      <c r="A604" s="103" t="s">
        <v>3435</v>
      </c>
      <c r="B604" s="104" t="s">
        <v>3436</v>
      </c>
      <c r="F604" s="167"/>
      <c r="H604" s="52"/>
      <c r="I604" s="112">
        <v>12.13</v>
      </c>
    </row>
    <row r="605" spans="1:10" ht="17" x14ac:dyDescent="0.2">
      <c r="A605" s="88" t="s">
        <v>3437</v>
      </c>
      <c r="B605" s="90" t="s">
        <v>3438</v>
      </c>
      <c r="F605" s="167"/>
      <c r="H605" s="52"/>
      <c r="I605" s="112">
        <v>18.63</v>
      </c>
    </row>
    <row r="606" spans="1:10" ht="34" x14ac:dyDescent="0.2">
      <c r="A606" s="88" t="s">
        <v>3439</v>
      </c>
      <c r="B606" s="90" t="s">
        <v>3440</v>
      </c>
      <c r="F606" s="167"/>
      <c r="H606" s="52"/>
      <c r="I606" s="112">
        <v>11.13</v>
      </c>
    </row>
    <row r="607" spans="1:10" ht="17" x14ac:dyDescent="0.2">
      <c r="A607" s="88" t="s">
        <v>3441</v>
      </c>
      <c r="B607" s="90" t="s">
        <v>3442</v>
      </c>
      <c r="F607" s="167"/>
      <c r="H607" s="52"/>
      <c r="I607" s="112">
        <v>12.63</v>
      </c>
    </row>
    <row r="608" spans="1:10" ht="17" x14ac:dyDescent="0.2">
      <c r="A608" s="88" t="s">
        <v>3443</v>
      </c>
      <c r="B608" s="90" t="s">
        <v>3444</v>
      </c>
      <c r="F608" s="167"/>
      <c r="H608" s="52"/>
      <c r="I608" s="112">
        <v>12.63</v>
      </c>
    </row>
    <row r="609" spans="1:9" ht="66" customHeight="1" x14ac:dyDescent="0.2">
      <c r="A609" s="53"/>
      <c r="B609" s="117"/>
      <c r="F609" s="52"/>
      <c r="H609" s="52"/>
      <c r="I609" s="59"/>
    </row>
    <row r="610" spans="1:9" ht="16" x14ac:dyDescent="0.2">
      <c r="A610" s="53" t="s">
        <v>3445</v>
      </c>
      <c r="B610" s="50" t="s">
        <v>3446</v>
      </c>
      <c r="F610" s="170" t="s">
        <v>3384</v>
      </c>
      <c r="H610" s="52"/>
      <c r="I610" s="59">
        <v>27.92</v>
      </c>
    </row>
    <row r="611" spans="1:9" ht="16" x14ac:dyDescent="0.2">
      <c r="A611" s="53" t="s">
        <v>3447</v>
      </c>
      <c r="B611" s="50" t="s">
        <v>3448</v>
      </c>
      <c r="F611" s="170"/>
      <c r="H611" s="52"/>
      <c r="I611" s="59">
        <v>236.32</v>
      </c>
    </row>
    <row r="612" spans="1:9" ht="16" x14ac:dyDescent="0.2">
      <c r="A612" s="53" t="s">
        <v>3449</v>
      </c>
      <c r="B612" s="50" t="s">
        <v>3450</v>
      </c>
      <c r="F612" s="170"/>
      <c r="H612" s="52"/>
      <c r="I612" s="59">
        <v>191.32</v>
      </c>
    </row>
    <row r="613" spans="1:9" ht="15" x14ac:dyDescent="0.2">
      <c r="A613" s="53"/>
      <c r="B613" s="50"/>
      <c r="F613" s="52"/>
      <c r="H613" s="52"/>
      <c r="I613" s="59"/>
    </row>
    <row r="614" spans="1:9" ht="16" x14ac:dyDescent="0.2">
      <c r="A614" s="53" t="s">
        <v>3445</v>
      </c>
      <c r="B614" s="50" t="s">
        <v>3446</v>
      </c>
      <c r="C614" s="58">
        <v>0.05</v>
      </c>
      <c r="F614" s="170" t="s">
        <v>3311</v>
      </c>
      <c r="H614" s="52"/>
      <c r="I614" s="59">
        <v>14.6</v>
      </c>
    </row>
    <row r="615" spans="1:9" ht="16" x14ac:dyDescent="0.2">
      <c r="A615" s="53" t="s">
        <v>3447</v>
      </c>
      <c r="B615" s="50" t="s">
        <v>3448</v>
      </c>
      <c r="C615" s="58">
        <v>0.9</v>
      </c>
      <c r="F615" s="170"/>
      <c r="H615" s="52"/>
      <c r="I615" s="59">
        <v>17</v>
      </c>
    </row>
    <row r="616" spans="1:9" ht="16" x14ac:dyDescent="0.2">
      <c r="A616" s="53" t="s">
        <v>3449</v>
      </c>
      <c r="B616" s="50" t="s">
        <v>3450</v>
      </c>
      <c r="C616" s="58">
        <v>0.05</v>
      </c>
      <c r="F616" s="170"/>
      <c r="H616" s="52"/>
      <c r="I616" s="59">
        <v>19.239999999999998</v>
      </c>
    </row>
    <row r="617" spans="1:9" ht="16" x14ac:dyDescent="0.2">
      <c r="A617" s="53" t="s">
        <v>3451</v>
      </c>
      <c r="B617" s="50" t="s">
        <v>3452</v>
      </c>
      <c r="F617" s="170"/>
      <c r="H617" s="52"/>
      <c r="I617" s="59">
        <v>7.8</v>
      </c>
    </row>
    <row r="618" spans="1:9" ht="16" x14ac:dyDescent="0.2">
      <c r="A618" s="53" t="s">
        <v>3453</v>
      </c>
      <c r="B618" s="50" t="s">
        <v>3454</v>
      </c>
      <c r="F618" s="52" t="s">
        <v>3455</v>
      </c>
      <c r="H618" s="52"/>
      <c r="I618" s="59">
        <v>96</v>
      </c>
    </row>
    <row r="619" spans="1:9" ht="15" x14ac:dyDescent="0.2">
      <c r="A619" s="53"/>
      <c r="B619" s="96"/>
      <c r="F619" s="52"/>
      <c r="H619" s="52"/>
      <c r="I619" s="59"/>
    </row>
    <row r="620" spans="1:9" ht="16" x14ac:dyDescent="0.2">
      <c r="A620" s="74" t="s">
        <v>3456</v>
      </c>
      <c r="B620" s="75" t="s">
        <v>3457</v>
      </c>
      <c r="F620" s="170" t="s">
        <v>3458</v>
      </c>
      <c r="G620" s="168" t="s">
        <v>3459</v>
      </c>
      <c r="H620" s="52"/>
      <c r="I620" s="99"/>
    </row>
    <row r="621" spans="1:9" ht="16" x14ac:dyDescent="0.2">
      <c r="A621" s="74" t="s">
        <v>3460</v>
      </c>
      <c r="B621" s="75" t="s">
        <v>3461</v>
      </c>
      <c r="F621" s="170"/>
      <c r="G621" s="169"/>
      <c r="H621" s="52"/>
      <c r="I621" s="99">
        <v>12</v>
      </c>
    </row>
    <row r="622" spans="1:9" ht="16" x14ac:dyDescent="0.2">
      <c r="A622" s="74" t="s">
        <v>3462</v>
      </c>
      <c r="B622" s="75" t="s">
        <v>3463</v>
      </c>
      <c r="F622" s="170"/>
      <c r="G622" s="169"/>
      <c r="H622" s="52"/>
      <c r="I622" s="99"/>
    </row>
    <row r="623" spans="1:9" ht="16" x14ac:dyDescent="0.2">
      <c r="A623" s="74" t="s">
        <v>3464</v>
      </c>
      <c r="B623" s="75" t="s">
        <v>3465</v>
      </c>
      <c r="F623" s="170"/>
      <c r="G623" s="169"/>
      <c r="H623" s="52"/>
      <c r="I623" s="99"/>
    </row>
    <row r="624" spans="1:9" ht="16" x14ac:dyDescent="0.2">
      <c r="A624" s="74" t="s">
        <v>3466</v>
      </c>
      <c r="B624" s="75" t="s">
        <v>3467</v>
      </c>
      <c r="F624" s="170"/>
      <c r="G624" s="169"/>
      <c r="H624" s="52"/>
      <c r="I624" s="99">
        <v>29</v>
      </c>
    </row>
    <row r="625" spans="1:9" ht="16" x14ac:dyDescent="0.2">
      <c r="A625" s="74" t="s">
        <v>3468</v>
      </c>
      <c r="B625" s="75" t="s">
        <v>3469</v>
      </c>
      <c r="F625" s="170"/>
      <c r="G625" s="169"/>
      <c r="H625" s="52"/>
      <c r="I625" s="99">
        <v>12</v>
      </c>
    </row>
    <row r="626" spans="1:9" ht="16" x14ac:dyDescent="0.2">
      <c r="A626" s="74" t="s">
        <v>3470</v>
      </c>
      <c r="B626" s="75" t="s">
        <v>3471</v>
      </c>
      <c r="F626" s="170"/>
      <c r="G626" s="169"/>
      <c r="H626" s="52"/>
      <c r="I626" s="99">
        <v>12</v>
      </c>
    </row>
    <row r="627" spans="1:9" ht="16" x14ac:dyDescent="0.2">
      <c r="A627" s="74" t="s">
        <v>3472</v>
      </c>
      <c r="B627" s="75" t="s">
        <v>3473</v>
      </c>
      <c r="F627" s="170"/>
      <c r="G627" s="169"/>
      <c r="H627" s="52"/>
      <c r="I627" s="99"/>
    </row>
    <row r="628" spans="1:9" ht="16" x14ac:dyDescent="0.2">
      <c r="A628" s="74" t="s">
        <v>3474</v>
      </c>
      <c r="B628" s="75" t="s">
        <v>3475</v>
      </c>
      <c r="F628" s="170"/>
      <c r="G628" s="169"/>
      <c r="H628" s="52"/>
      <c r="I628" s="99"/>
    </row>
    <row r="629" spans="1:9" ht="16" x14ac:dyDescent="0.2">
      <c r="A629" s="74" t="s">
        <v>3476</v>
      </c>
      <c r="B629" s="75" t="s">
        <v>3477</v>
      </c>
      <c r="F629" s="170"/>
      <c r="G629" s="169"/>
      <c r="H629" s="52"/>
      <c r="I629" s="99"/>
    </row>
    <row r="630" spans="1:9" ht="16" x14ac:dyDescent="0.2">
      <c r="A630" s="74" t="s">
        <v>3478</v>
      </c>
      <c r="B630" s="75" t="s">
        <v>3479</v>
      </c>
      <c r="F630" s="170"/>
      <c r="G630" s="169"/>
      <c r="H630" s="52"/>
      <c r="I630" s="99">
        <v>11</v>
      </c>
    </row>
    <row r="631" spans="1:9" ht="16" x14ac:dyDescent="0.2">
      <c r="A631" s="74" t="s">
        <v>3480</v>
      </c>
      <c r="B631" s="75" t="s">
        <v>3481</v>
      </c>
      <c r="F631" s="170"/>
      <c r="G631" s="169"/>
      <c r="H631" s="52"/>
      <c r="I631" s="99">
        <v>12</v>
      </c>
    </row>
    <row r="632" spans="1:9" ht="16" x14ac:dyDescent="0.2">
      <c r="A632" s="74" t="s">
        <v>3482</v>
      </c>
      <c r="B632" s="75" t="s">
        <v>3483</v>
      </c>
      <c r="F632" s="170"/>
      <c r="G632" s="169"/>
      <c r="H632" s="52"/>
      <c r="I632" s="99">
        <v>12</v>
      </c>
    </row>
    <row r="633" spans="1:9" ht="16" x14ac:dyDescent="0.2">
      <c r="A633" s="74" t="s">
        <v>3347</v>
      </c>
      <c r="B633" s="75" t="s">
        <v>2991</v>
      </c>
      <c r="F633" s="170"/>
      <c r="G633" s="169"/>
      <c r="H633" s="52"/>
      <c r="I633" s="99"/>
    </row>
    <row r="634" spans="1:9" ht="16" x14ac:dyDescent="0.2">
      <c r="A634" s="74" t="s">
        <v>3484</v>
      </c>
      <c r="B634" s="75" t="s">
        <v>2358</v>
      </c>
      <c r="F634" s="170"/>
      <c r="G634" s="169"/>
      <c r="H634" s="52"/>
      <c r="I634" s="99"/>
    </row>
    <row r="635" spans="1:9" ht="16" x14ac:dyDescent="0.2">
      <c r="A635" s="74" t="s">
        <v>3485</v>
      </c>
      <c r="B635" s="75" t="s">
        <v>3486</v>
      </c>
      <c r="F635" s="170"/>
      <c r="G635" s="169"/>
      <c r="H635" s="52"/>
      <c r="I635" s="99"/>
    </row>
    <row r="636" spans="1:9" ht="16" x14ac:dyDescent="0.2">
      <c r="A636" s="74" t="s">
        <v>3487</v>
      </c>
      <c r="B636" s="75" t="s">
        <v>3488</v>
      </c>
      <c r="F636" s="170"/>
      <c r="G636" s="169"/>
      <c r="H636" s="52"/>
      <c r="I636" s="99"/>
    </row>
    <row r="637" spans="1:9" ht="16" x14ac:dyDescent="0.2">
      <c r="A637" s="74" t="s">
        <v>3489</v>
      </c>
      <c r="B637" s="75" t="s">
        <v>3490</v>
      </c>
      <c r="F637" s="170"/>
      <c r="G637" s="169"/>
      <c r="H637" s="52"/>
      <c r="I637" s="99"/>
    </row>
    <row r="638" spans="1:9" ht="16" x14ac:dyDescent="0.2">
      <c r="A638" s="74" t="s">
        <v>3082</v>
      </c>
      <c r="B638" s="75" t="s">
        <v>3083</v>
      </c>
      <c r="F638" s="170"/>
      <c r="G638" s="169"/>
      <c r="H638" s="52"/>
      <c r="I638" s="99">
        <v>8.8000000000000007</v>
      </c>
    </row>
    <row r="639" spans="1:9" ht="16" x14ac:dyDescent="0.2">
      <c r="A639" s="74" t="s">
        <v>3491</v>
      </c>
      <c r="B639" s="75" t="s">
        <v>3492</v>
      </c>
      <c r="F639" s="170"/>
      <c r="G639" s="169"/>
      <c r="H639" s="52"/>
      <c r="I639" s="99">
        <v>12</v>
      </c>
    </row>
    <row r="640" spans="1:9" ht="16" x14ac:dyDescent="0.2">
      <c r="A640" s="74" t="s">
        <v>3493</v>
      </c>
      <c r="B640" s="75" t="s">
        <v>3494</v>
      </c>
      <c r="F640" s="170"/>
      <c r="G640" s="169"/>
      <c r="H640" s="52"/>
      <c r="I640" s="99">
        <v>12</v>
      </c>
    </row>
    <row r="641" spans="1:9" ht="16" x14ac:dyDescent="0.2">
      <c r="A641" s="74" t="s">
        <v>3495</v>
      </c>
      <c r="B641" s="75" t="s">
        <v>3496</v>
      </c>
      <c r="F641" s="170"/>
      <c r="G641" s="169"/>
      <c r="H641" s="52"/>
      <c r="I641" s="99"/>
    </row>
    <row r="642" spans="1:9" ht="16" x14ac:dyDescent="0.2">
      <c r="A642" s="74" t="s">
        <v>3497</v>
      </c>
      <c r="B642" s="75" t="s">
        <v>3498</v>
      </c>
      <c r="F642" s="170"/>
      <c r="G642" s="169"/>
      <c r="H642" s="52"/>
      <c r="I642" s="99">
        <v>20</v>
      </c>
    </row>
    <row r="643" spans="1:9" ht="16" x14ac:dyDescent="0.2">
      <c r="A643" s="74" t="s">
        <v>3499</v>
      </c>
      <c r="B643" s="75" t="s">
        <v>3500</v>
      </c>
      <c r="F643" s="170"/>
      <c r="G643" s="169"/>
      <c r="H643" s="52"/>
      <c r="I643" s="99"/>
    </row>
    <row r="644" spans="1:9" ht="16" x14ac:dyDescent="0.2">
      <c r="A644" s="74" t="s">
        <v>3501</v>
      </c>
      <c r="B644" s="75" t="s">
        <v>3502</v>
      </c>
      <c r="F644" s="170"/>
      <c r="G644" s="169"/>
      <c r="H644" s="52"/>
      <c r="I644" s="99">
        <v>9</v>
      </c>
    </row>
    <row r="645" spans="1:9" ht="16" x14ac:dyDescent="0.2">
      <c r="A645" s="74" t="s">
        <v>3503</v>
      </c>
      <c r="B645" s="75" t="s">
        <v>3504</v>
      </c>
      <c r="F645" s="170"/>
      <c r="G645" s="169"/>
      <c r="H645" s="52"/>
      <c r="I645" s="99"/>
    </row>
    <row r="646" spans="1:9" ht="16" x14ac:dyDescent="0.2">
      <c r="A646" s="74" t="s">
        <v>3332</v>
      </c>
      <c r="B646" s="75" t="s">
        <v>3505</v>
      </c>
      <c r="F646" s="170"/>
      <c r="G646" s="169"/>
      <c r="H646" s="52"/>
      <c r="I646" s="99">
        <v>6</v>
      </c>
    </row>
    <row r="647" spans="1:9" ht="16" x14ac:dyDescent="0.2">
      <c r="A647" s="74" t="s">
        <v>3506</v>
      </c>
      <c r="B647" s="75" t="s">
        <v>3507</v>
      </c>
      <c r="F647" s="170"/>
      <c r="G647" s="169"/>
      <c r="H647" s="52"/>
      <c r="I647" s="99"/>
    </row>
    <row r="648" spans="1:9" ht="16" x14ac:dyDescent="0.2">
      <c r="A648" s="74" t="s">
        <v>3508</v>
      </c>
      <c r="B648" s="75" t="s">
        <v>3509</v>
      </c>
      <c r="F648" s="170"/>
      <c r="G648" s="169"/>
      <c r="H648" s="52"/>
      <c r="I648" s="99"/>
    </row>
    <row r="649" spans="1:9" ht="16" x14ac:dyDescent="0.2">
      <c r="A649" s="74" t="s">
        <v>3510</v>
      </c>
      <c r="B649" s="75" t="s">
        <v>2251</v>
      </c>
      <c r="F649" s="170"/>
      <c r="G649" s="169"/>
      <c r="H649" s="52"/>
      <c r="I649" s="99">
        <v>12</v>
      </c>
    </row>
    <row r="650" spans="1:9" ht="16" x14ac:dyDescent="0.2">
      <c r="A650" s="74" t="s">
        <v>3511</v>
      </c>
      <c r="B650" s="75" t="s">
        <v>3512</v>
      </c>
      <c r="F650" s="170"/>
      <c r="G650" s="169"/>
      <c r="H650" s="52"/>
      <c r="I650" s="99">
        <v>7.5</v>
      </c>
    </row>
    <row r="651" spans="1:9" ht="16" x14ac:dyDescent="0.2">
      <c r="A651" s="74" t="s">
        <v>3513</v>
      </c>
      <c r="B651" s="75" t="s">
        <v>3514</v>
      </c>
      <c r="F651" s="170"/>
      <c r="G651" s="169"/>
      <c r="H651" s="52"/>
      <c r="I651" s="99"/>
    </row>
    <row r="652" spans="1:9" ht="15" x14ac:dyDescent="0.2">
      <c r="A652" s="53"/>
      <c r="B652" s="50"/>
      <c r="F652" s="52"/>
      <c r="H652" s="52"/>
      <c r="I652" s="59"/>
    </row>
    <row r="653" spans="1:9" ht="17" x14ac:dyDescent="0.2">
      <c r="A653" s="103" t="s">
        <v>3480</v>
      </c>
      <c r="B653" s="101" t="s">
        <v>3481</v>
      </c>
      <c r="F653" s="170" t="s">
        <v>3515</v>
      </c>
      <c r="G653" s="167" t="s">
        <v>3516</v>
      </c>
      <c r="H653" s="52"/>
      <c r="I653" s="112">
        <v>13.5</v>
      </c>
    </row>
    <row r="654" spans="1:9" ht="17" x14ac:dyDescent="0.2">
      <c r="A654" s="103" t="s">
        <v>3482</v>
      </c>
      <c r="B654" s="101" t="s">
        <v>3483</v>
      </c>
      <c r="F654" s="170"/>
      <c r="G654" s="167"/>
      <c r="H654" s="52"/>
      <c r="I654" s="112">
        <v>13</v>
      </c>
    </row>
    <row r="655" spans="1:9" ht="17" x14ac:dyDescent="0.2">
      <c r="A655" s="100" t="s">
        <v>3082</v>
      </c>
      <c r="B655" s="101" t="s">
        <v>3083</v>
      </c>
      <c r="F655" s="170"/>
      <c r="G655" s="167"/>
      <c r="H655" s="52"/>
      <c r="I655" s="99">
        <v>10</v>
      </c>
    </row>
    <row r="656" spans="1:9" ht="17" x14ac:dyDescent="0.2">
      <c r="A656" s="100" t="s">
        <v>3491</v>
      </c>
      <c r="B656" s="101" t="s">
        <v>3492</v>
      </c>
      <c r="F656" s="170"/>
      <c r="G656" s="167"/>
      <c r="H656" s="52"/>
      <c r="I656" s="99">
        <v>13</v>
      </c>
    </row>
    <row r="657" spans="1:9" ht="17" x14ac:dyDescent="0.2">
      <c r="A657" s="100" t="s">
        <v>3493</v>
      </c>
      <c r="B657" s="101" t="s">
        <v>3494</v>
      </c>
      <c r="F657" s="170"/>
      <c r="G657" s="167"/>
      <c r="H657" s="52"/>
      <c r="I657" s="99">
        <v>13</v>
      </c>
    </row>
    <row r="658" spans="1:9" ht="17" x14ac:dyDescent="0.2">
      <c r="A658" s="100" t="s">
        <v>3495</v>
      </c>
      <c r="B658" s="101" t="s">
        <v>3496</v>
      </c>
      <c r="F658" s="170"/>
      <c r="G658" s="167"/>
      <c r="H658" s="52"/>
      <c r="I658" s="99">
        <v>260</v>
      </c>
    </row>
    <row r="659" spans="1:9" ht="17" x14ac:dyDescent="0.2">
      <c r="A659" s="100" t="s">
        <v>3332</v>
      </c>
      <c r="B659" s="101" t="s">
        <v>3517</v>
      </c>
      <c r="F659" s="170"/>
      <c r="G659" s="167"/>
      <c r="H659" s="52"/>
      <c r="I659" s="59">
        <v>8</v>
      </c>
    </row>
    <row r="660" spans="1:9" ht="15" x14ac:dyDescent="0.2">
      <c r="A660" s="53"/>
      <c r="B660" s="96"/>
      <c r="F660" s="52"/>
      <c r="H660" s="52"/>
      <c r="I660" s="59"/>
    </row>
    <row r="661" spans="1:9" ht="16" x14ac:dyDescent="0.2">
      <c r="A661" s="74" t="s">
        <v>3460</v>
      </c>
      <c r="B661" s="75" t="s">
        <v>3461</v>
      </c>
      <c r="F661" s="170" t="s">
        <v>3518</v>
      </c>
      <c r="G661" s="174" t="s">
        <v>3516</v>
      </c>
      <c r="H661" s="52"/>
      <c r="I661" s="59">
        <v>9.5</v>
      </c>
    </row>
    <row r="662" spans="1:9" ht="16" x14ac:dyDescent="0.2">
      <c r="A662" s="74" t="s">
        <v>3468</v>
      </c>
      <c r="B662" s="75" t="s">
        <v>3469</v>
      </c>
      <c r="F662" s="170"/>
      <c r="G662" s="174"/>
      <c r="H662" s="52"/>
      <c r="I662" s="59">
        <v>9</v>
      </c>
    </row>
    <row r="663" spans="1:9" ht="16" x14ac:dyDescent="0.2">
      <c r="A663" s="74" t="s">
        <v>3480</v>
      </c>
      <c r="B663" s="75" t="s">
        <v>3481</v>
      </c>
      <c r="F663" s="170"/>
      <c r="G663" s="174"/>
      <c r="H663" s="52"/>
      <c r="I663" s="59">
        <v>9.5</v>
      </c>
    </row>
    <row r="664" spans="1:9" ht="16" x14ac:dyDescent="0.2">
      <c r="A664" s="74" t="s">
        <v>3482</v>
      </c>
      <c r="B664" s="75" t="s">
        <v>3483</v>
      </c>
      <c r="F664" s="170"/>
      <c r="G664" s="174"/>
      <c r="H664" s="52"/>
      <c r="I664" s="59">
        <v>9.5</v>
      </c>
    </row>
    <row r="665" spans="1:9" ht="16" x14ac:dyDescent="0.2">
      <c r="A665" s="74" t="s">
        <v>3491</v>
      </c>
      <c r="B665" s="75" t="s">
        <v>3492</v>
      </c>
      <c r="F665" s="170"/>
      <c r="G665" s="174"/>
      <c r="H665" s="52"/>
      <c r="I665" s="59">
        <v>11.5</v>
      </c>
    </row>
    <row r="666" spans="1:9" ht="16" x14ac:dyDescent="0.2">
      <c r="A666" s="74" t="s">
        <v>3493</v>
      </c>
      <c r="B666" s="75" t="s">
        <v>3494</v>
      </c>
      <c r="F666" s="170"/>
      <c r="G666" s="174"/>
      <c r="H666" s="52"/>
      <c r="I666" s="59">
        <v>9.5</v>
      </c>
    </row>
    <row r="667" spans="1:9" ht="16" x14ac:dyDescent="0.2">
      <c r="A667" s="74" t="s">
        <v>3497</v>
      </c>
      <c r="B667" s="75" t="s">
        <v>3498</v>
      </c>
      <c r="F667" s="170"/>
      <c r="G667" s="174"/>
      <c r="H667" s="52"/>
      <c r="I667" s="59">
        <v>17</v>
      </c>
    </row>
    <row r="668" spans="1:9" ht="16" x14ac:dyDescent="0.2">
      <c r="A668" s="74" t="s">
        <v>3501</v>
      </c>
      <c r="B668" s="75" t="s">
        <v>3502</v>
      </c>
      <c r="F668" s="170"/>
      <c r="G668" s="174"/>
      <c r="H668" s="52"/>
      <c r="I668" s="59">
        <v>9</v>
      </c>
    </row>
    <row r="669" spans="1:9" ht="16" x14ac:dyDescent="0.2">
      <c r="A669" s="74" t="s">
        <v>3510</v>
      </c>
      <c r="B669" s="75" t="s">
        <v>2251</v>
      </c>
      <c r="F669" s="170"/>
      <c r="G669" s="174"/>
      <c r="H669" s="52"/>
      <c r="I669" s="59">
        <v>9.5</v>
      </c>
    </row>
    <row r="670" spans="1:9" ht="15" x14ac:dyDescent="0.2">
      <c r="A670" s="53"/>
      <c r="B670" s="96"/>
      <c r="F670" s="52"/>
      <c r="H670" s="52"/>
      <c r="I670" s="59"/>
    </row>
    <row r="671" spans="1:9" ht="16" x14ac:dyDescent="0.2">
      <c r="A671" s="74" t="s">
        <v>3456</v>
      </c>
      <c r="B671" s="75" t="s">
        <v>3457</v>
      </c>
      <c r="F671" s="170" t="s">
        <v>3519</v>
      </c>
      <c r="H671" s="52"/>
      <c r="I671" s="73">
        <v>8.0299999999999994</v>
      </c>
    </row>
    <row r="672" spans="1:9" ht="16" x14ac:dyDescent="0.2">
      <c r="A672" s="74" t="s">
        <v>3460</v>
      </c>
      <c r="B672" s="75" t="s">
        <v>3461</v>
      </c>
      <c r="F672" s="170"/>
      <c r="H672" s="52"/>
      <c r="I672" s="73">
        <v>7.3</v>
      </c>
    </row>
    <row r="673" spans="1:9" ht="16" x14ac:dyDescent="0.2">
      <c r="A673" s="74" t="s">
        <v>3462</v>
      </c>
      <c r="B673" s="75" t="s">
        <v>3463</v>
      </c>
      <c r="F673" s="170"/>
      <c r="H673" s="52"/>
      <c r="I673" s="73">
        <v>12.82</v>
      </c>
    </row>
    <row r="674" spans="1:9" ht="16" x14ac:dyDescent="0.2">
      <c r="A674" s="74" t="s">
        <v>3464</v>
      </c>
      <c r="B674" s="75" t="s">
        <v>3465</v>
      </c>
      <c r="F674" s="170"/>
      <c r="H674" s="52"/>
      <c r="I674" s="73">
        <v>7.39</v>
      </c>
    </row>
    <row r="675" spans="1:9" ht="16" x14ac:dyDescent="0.2">
      <c r="A675" s="74" t="s">
        <v>3466</v>
      </c>
      <c r="B675" s="75" t="s">
        <v>3467</v>
      </c>
      <c r="F675" s="170"/>
      <c r="H675" s="52"/>
      <c r="I675" s="73">
        <v>9.58</v>
      </c>
    </row>
    <row r="676" spans="1:9" ht="16" x14ac:dyDescent="0.2">
      <c r="A676" s="74" t="s">
        <v>3468</v>
      </c>
      <c r="B676" s="75" t="s">
        <v>3469</v>
      </c>
      <c r="F676" s="170"/>
      <c r="H676" s="52"/>
      <c r="I676" s="73">
        <v>7.3</v>
      </c>
    </row>
    <row r="677" spans="1:9" ht="16" x14ac:dyDescent="0.2">
      <c r="A677" s="74" t="s">
        <v>3470</v>
      </c>
      <c r="B677" s="75" t="s">
        <v>3471</v>
      </c>
      <c r="F677" s="170"/>
      <c r="H677" s="52"/>
      <c r="I677" s="73">
        <v>7.37</v>
      </c>
    </row>
    <row r="678" spans="1:9" ht="16" x14ac:dyDescent="0.2">
      <c r="A678" s="74" t="s">
        <v>3472</v>
      </c>
      <c r="B678" s="75" t="s">
        <v>3473</v>
      </c>
      <c r="F678" s="170"/>
      <c r="H678" s="52"/>
      <c r="I678" s="73">
        <v>7.39</v>
      </c>
    </row>
    <row r="679" spans="1:9" ht="16" x14ac:dyDescent="0.2">
      <c r="A679" s="74" t="s">
        <v>3474</v>
      </c>
      <c r="B679" s="75" t="s">
        <v>3475</v>
      </c>
      <c r="F679" s="170"/>
      <c r="H679" s="52"/>
      <c r="I679" s="73">
        <v>21.13</v>
      </c>
    </row>
    <row r="680" spans="1:9" ht="16" x14ac:dyDescent="0.2">
      <c r="A680" s="74" t="s">
        <v>3476</v>
      </c>
      <c r="B680" s="75" t="s">
        <v>3477</v>
      </c>
      <c r="F680" s="170"/>
      <c r="H680" s="52"/>
      <c r="I680" s="73">
        <v>11.41</v>
      </c>
    </row>
    <row r="681" spans="1:9" ht="16" x14ac:dyDescent="0.2">
      <c r="A681" s="74" t="s">
        <v>3478</v>
      </c>
      <c r="B681" s="75" t="s">
        <v>3479</v>
      </c>
      <c r="F681" s="170"/>
      <c r="H681" s="52"/>
      <c r="I681" s="73">
        <v>7.25</v>
      </c>
    </row>
    <row r="682" spans="1:9" ht="16" x14ac:dyDescent="0.2">
      <c r="A682" s="74" t="s">
        <v>3480</v>
      </c>
      <c r="B682" s="75" t="s">
        <v>3481</v>
      </c>
      <c r="F682" s="170"/>
      <c r="H682" s="52"/>
      <c r="I682" s="73">
        <v>7.35</v>
      </c>
    </row>
    <row r="683" spans="1:9" ht="16" x14ac:dyDescent="0.2">
      <c r="A683" s="74" t="s">
        <v>3482</v>
      </c>
      <c r="B683" s="75" t="s">
        <v>3483</v>
      </c>
      <c r="F683" s="170"/>
      <c r="H683" s="52"/>
      <c r="I683" s="73">
        <v>7.31</v>
      </c>
    </row>
    <row r="684" spans="1:9" ht="16" x14ac:dyDescent="0.2">
      <c r="A684" s="74" t="s">
        <v>3347</v>
      </c>
      <c r="B684" s="75" t="s">
        <v>2991</v>
      </c>
      <c r="F684" s="170"/>
      <c r="H684" s="52"/>
      <c r="I684" s="73">
        <v>21.13</v>
      </c>
    </row>
    <row r="685" spans="1:9" ht="16" x14ac:dyDescent="0.2">
      <c r="A685" s="74" t="s">
        <v>3484</v>
      </c>
      <c r="B685" s="75" t="s">
        <v>2358</v>
      </c>
      <c r="F685" s="170"/>
      <c r="H685" s="52"/>
      <c r="I685" s="73">
        <v>7.82</v>
      </c>
    </row>
    <row r="686" spans="1:9" ht="16" x14ac:dyDescent="0.2">
      <c r="A686" s="74" t="s">
        <v>3485</v>
      </c>
      <c r="B686" s="75" t="s">
        <v>3486</v>
      </c>
      <c r="F686" s="170"/>
      <c r="H686" s="52"/>
      <c r="I686" s="73">
        <v>7.89</v>
      </c>
    </row>
    <row r="687" spans="1:9" ht="16" x14ac:dyDescent="0.2">
      <c r="A687" s="74" t="s">
        <v>3487</v>
      </c>
      <c r="B687" s="75" t="s">
        <v>3488</v>
      </c>
      <c r="F687" s="170"/>
      <c r="H687" s="52"/>
      <c r="I687" s="73">
        <v>8.17</v>
      </c>
    </row>
    <row r="688" spans="1:9" ht="16" x14ac:dyDescent="0.2">
      <c r="A688" s="74" t="s">
        <v>3489</v>
      </c>
      <c r="B688" s="75" t="s">
        <v>3490</v>
      </c>
      <c r="F688" s="170"/>
      <c r="H688" s="52"/>
      <c r="I688" s="73">
        <v>7.11</v>
      </c>
    </row>
    <row r="689" spans="1:9" ht="16" x14ac:dyDescent="0.2">
      <c r="A689" s="74" t="s">
        <v>3082</v>
      </c>
      <c r="B689" s="75" t="s">
        <v>3083</v>
      </c>
      <c r="F689" s="170"/>
      <c r="H689" s="52"/>
      <c r="I689" s="73">
        <v>7.68</v>
      </c>
    </row>
    <row r="690" spans="1:9" ht="16" x14ac:dyDescent="0.2">
      <c r="A690" s="74" t="s">
        <v>3491</v>
      </c>
      <c r="B690" s="75" t="s">
        <v>3492</v>
      </c>
      <c r="F690" s="170"/>
      <c r="H690" s="52"/>
      <c r="I690" s="73">
        <v>7.32</v>
      </c>
    </row>
    <row r="691" spans="1:9" ht="16" x14ac:dyDescent="0.2">
      <c r="A691" s="74" t="s">
        <v>3493</v>
      </c>
      <c r="B691" s="75" t="s">
        <v>3494</v>
      </c>
      <c r="F691" s="170"/>
      <c r="H691" s="52"/>
      <c r="I691" s="73">
        <v>7.32</v>
      </c>
    </row>
    <row r="692" spans="1:9" ht="16" x14ac:dyDescent="0.2">
      <c r="A692" s="74" t="s">
        <v>3495</v>
      </c>
      <c r="B692" s="75" t="s">
        <v>3496</v>
      </c>
      <c r="F692" s="170"/>
      <c r="H692" s="52"/>
      <c r="I692" s="73">
        <v>8.07</v>
      </c>
    </row>
    <row r="693" spans="1:9" ht="16" x14ac:dyDescent="0.2">
      <c r="A693" s="74" t="s">
        <v>3497</v>
      </c>
      <c r="B693" s="75" t="s">
        <v>3498</v>
      </c>
      <c r="F693" s="170"/>
      <c r="H693" s="52"/>
      <c r="I693" s="73">
        <v>10.42</v>
      </c>
    </row>
    <row r="694" spans="1:9" ht="16" x14ac:dyDescent="0.2">
      <c r="A694" s="74" t="s">
        <v>3499</v>
      </c>
      <c r="B694" s="75" t="s">
        <v>3500</v>
      </c>
      <c r="F694" s="170"/>
      <c r="H694" s="52"/>
      <c r="I694" s="73">
        <v>7.25</v>
      </c>
    </row>
    <row r="695" spans="1:9" ht="16" x14ac:dyDescent="0.2">
      <c r="A695" s="74" t="s">
        <v>3501</v>
      </c>
      <c r="B695" s="75" t="s">
        <v>3502</v>
      </c>
      <c r="F695" s="170"/>
      <c r="H695" s="52"/>
      <c r="I695" s="73">
        <v>7.15</v>
      </c>
    </row>
    <row r="696" spans="1:9" ht="16" x14ac:dyDescent="0.2">
      <c r="A696" s="74" t="s">
        <v>3503</v>
      </c>
      <c r="B696" s="75" t="s">
        <v>3504</v>
      </c>
      <c r="F696" s="170"/>
      <c r="H696" s="52"/>
      <c r="I696" s="73">
        <v>7.07</v>
      </c>
    </row>
    <row r="697" spans="1:9" ht="16" x14ac:dyDescent="0.2">
      <c r="A697" s="74" t="s">
        <v>3332</v>
      </c>
      <c r="B697" s="75" t="s">
        <v>3505</v>
      </c>
      <c r="F697" s="170"/>
      <c r="H697" s="52"/>
      <c r="I697" s="73">
        <v>7.24</v>
      </c>
    </row>
    <row r="698" spans="1:9" ht="16" x14ac:dyDescent="0.2">
      <c r="A698" s="74" t="s">
        <v>3506</v>
      </c>
      <c r="B698" s="75" t="s">
        <v>3507</v>
      </c>
      <c r="F698" s="170"/>
      <c r="H698" s="52"/>
      <c r="I698" s="73">
        <v>7.04</v>
      </c>
    </row>
    <row r="699" spans="1:9" ht="16" x14ac:dyDescent="0.2">
      <c r="A699" s="74" t="s">
        <v>3508</v>
      </c>
      <c r="B699" s="75" t="s">
        <v>3509</v>
      </c>
      <c r="F699" s="170"/>
      <c r="H699" s="52"/>
      <c r="I699" s="73">
        <v>7.32</v>
      </c>
    </row>
    <row r="700" spans="1:9" ht="16" x14ac:dyDescent="0.2">
      <c r="A700" s="74" t="s">
        <v>3510</v>
      </c>
      <c r="B700" s="75" t="s">
        <v>2251</v>
      </c>
      <c r="F700" s="170"/>
      <c r="H700" s="52"/>
      <c r="I700" s="73">
        <v>7.37</v>
      </c>
    </row>
    <row r="701" spans="1:9" ht="16" x14ac:dyDescent="0.2">
      <c r="A701" s="74" t="s">
        <v>3511</v>
      </c>
      <c r="B701" s="75" t="s">
        <v>3512</v>
      </c>
      <c r="F701" s="170"/>
      <c r="H701" s="52"/>
      <c r="I701" s="73">
        <v>7.5</v>
      </c>
    </row>
    <row r="702" spans="1:9" ht="16" x14ac:dyDescent="0.2">
      <c r="A702" s="74" t="s">
        <v>3513</v>
      </c>
      <c r="B702" s="75" t="s">
        <v>3514</v>
      </c>
      <c r="F702" s="170"/>
      <c r="H702" s="52"/>
      <c r="I702" s="73">
        <v>8.4499999999999993</v>
      </c>
    </row>
    <row r="703" spans="1:9" ht="15" x14ac:dyDescent="0.2">
      <c r="A703" s="53"/>
      <c r="B703" s="50"/>
      <c r="F703" s="52"/>
      <c r="H703" s="52"/>
      <c r="I703" s="59"/>
    </row>
    <row r="704" spans="1:9" ht="15" x14ac:dyDescent="0.2">
      <c r="A704" s="53"/>
      <c r="B704" s="50"/>
      <c r="F704" s="52"/>
      <c r="H704" s="52"/>
      <c r="I704" s="59"/>
    </row>
    <row r="705" spans="1:9" ht="15" x14ac:dyDescent="0.2">
      <c r="A705" s="53"/>
      <c r="B705" s="50"/>
      <c r="F705" s="52"/>
      <c r="H705" s="52"/>
      <c r="I705" s="59"/>
    </row>
    <row r="706" spans="1:9" ht="15" x14ac:dyDescent="0.2">
      <c r="A706" s="53"/>
      <c r="B706" s="50"/>
      <c r="F706" s="52"/>
      <c r="H706" s="52"/>
      <c r="I706" s="59"/>
    </row>
    <row r="707" spans="1:9" ht="15" x14ac:dyDescent="0.2">
      <c r="A707" s="53"/>
      <c r="B707" s="50"/>
      <c r="F707" s="52"/>
      <c r="H707" s="52"/>
      <c r="I707" s="59"/>
    </row>
    <row r="708" spans="1:9" ht="15" x14ac:dyDescent="0.2">
      <c r="A708" s="53"/>
      <c r="B708" s="50"/>
      <c r="F708" s="52"/>
      <c r="H708" s="52"/>
      <c r="I708" s="59"/>
    </row>
    <row r="709" spans="1:9" ht="15" x14ac:dyDescent="0.2">
      <c r="A709" s="53"/>
      <c r="B709" s="50"/>
      <c r="F709" s="52"/>
      <c r="H709" s="52"/>
      <c r="I709" s="59"/>
    </row>
    <row r="710" spans="1:9" ht="15" x14ac:dyDescent="0.2">
      <c r="A710" s="53"/>
      <c r="B710" s="50"/>
      <c r="F710" s="52"/>
      <c r="H710" s="52"/>
      <c r="I710" s="59"/>
    </row>
    <row r="711" spans="1:9" ht="15" x14ac:dyDescent="0.2">
      <c r="A711" s="53"/>
      <c r="B711" s="50"/>
      <c r="F711" s="52"/>
      <c r="H711" s="52"/>
      <c r="I711" s="59"/>
    </row>
    <row r="712" spans="1:9" ht="15" x14ac:dyDescent="0.2">
      <c r="A712" s="53"/>
      <c r="B712" s="50"/>
      <c r="F712" s="52"/>
      <c r="H712" s="52"/>
      <c r="I712" s="59"/>
    </row>
    <row r="713" spans="1:9" ht="15" x14ac:dyDescent="0.2">
      <c r="A713" s="53"/>
      <c r="B713" s="50"/>
      <c r="F713" s="52"/>
      <c r="H713" s="52"/>
      <c r="I713" s="59"/>
    </row>
    <row r="714" spans="1:9" ht="15" x14ac:dyDescent="0.2">
      <c r="A714" s="53"/>
      <c r="B714" s="50"/>
      <c r="F714" s="52"/>
      <c r="H714" s="52"/>
      <c r="I714" s="59"/>
    </row>
    <row r="715" spans="1:9" ht="15" x14ac:dyDescent="0.2">
      <c r="A715" s="53"/>
      <c r="B715" s="50"/>
      <c r="F715" s="52"/>
      <c r="H715" s="52"/>
      <c r="I715" s="59"/>
    </row>
    <row r="716" spans="1:9" ht="15" x14ac:dyDescent="0.2">
      <c r="A716" s="53"/>
      <c r="B716" s="50"/>
      <c r="F716" s="52"/>
      <c r="H716" s="52"/>
      <c r="I716" s="59"/>
    </row>
    <row r="717" spans="1:9" ht="15" x14ac:dyDescent="0.2">
      <c r="A717" s="53"/>
      <c r="B717" s="50"/>
      <c r="F717" s="52"/>
      <c r="H717" s="52"/>
      <c r="I717" s="59"/>
    </row>
    <row r="718" spans="1:9" ht="15" x14ac:dyDescent="0.2">
      <c r="A718" s="53"/>
      <c r="B718" s="50"/>
      <c r="F718" s="52"/>
      <c r="H718" s="52"/>
      <c r="I718" s="59"/>
    </row>
    <row r="719" spans="1:9" ht="15" x14ac:dyDescent="0.2">
      <c r="A719" s="53"/>
      <c r="B719" s="50"/>
      <c r="F719" s="52"/>
      <c r="H719" s="52"/>
      <c r="I719" s="59"/>
    </row>
    <row r="720" spans="1:9" ht="15" x14ac:dyDescent="0.2">
      <c r="A720" s="53"/>
      <c r="B720" s="50"/>
      <c r="F720" s="52"/>
      <c r="H720" s="52"/>
      <c r="I720" s="59"/>
    </row>
    <row r="721" spans="1:9" ht="15" x14ac:dyDescent="0.2">
      <c r="A721" s="53"/>
      <c r="B721" s="50"/>
      <c r="F721" s="52"/>
      <c r="H721" s="52"/>
      <c r="I721" s="59"/>
    </row>
    <row r="722" spans="1:9" ht="15" x14ac:dyDescent="0.2">
      <c r="A722" s="53"/>
      <c r="B722" s="50"/>
      <c r="F722" s="52"/>
      <c r="H722" s="52"/>
      <c r="I722" s="59"/>
    </row>
    <row r="723" spans="1:9" ht="15" x14ac:dyDescent="0.2">
      <c r="A723" s="53"/>
      <c r="B723" s="50"/>
      <c r="F723" s="52"/>
      <c r="H723" s="52"/>
      <c r="I723" s="59"/>
    </row>
    <row r="724" spans="1:9" ht="15" x14ac:dyDescent="0.2">
      <c r="A724" s="53"/>
      <c r="B724" s="50"/>
      <c r="F724" s="52"/>
      <c r="H724" s="52"/>
      <c r="I724" s="59"/>
    </row>
    <row r="725" spans="1:9" ht="15" x14ac:dyDescent="0.2">
      <c r="A725" s="53"/>
      <c r="B725" s="50"/>
      <c r="F725" s="52"/>
      <c r="H725" s="52"/>
      <c r="I725" s="59"/>
    </row>
    <row r="726" spans="1:9" ht="15" x14ac:dyDescent="0.2">
      <c r="A726" s="53"/>
      <c r="B726" s="50"/>
      <c r="F726" s="52"/>
      <c r="H726" s="52"/>
      <c r="I726" s="59"/>
    </row>
    <row r="727" spans="1:9" ht="15" x14ac:dyDescent="0.2">
      <c r="A727" s="53"/>
      <c r="B727" s="50"/>
      <c r="F727" s="52"/>
      <c r="H727" s="52"/>
      <c r="I727" s="59"/>
    </row>
    <row r="728" spans="1:9" ht="15" x14ac:dyDescent="0.2">
      <c r="A728" s="53"/>
      <c r="B728" s="50"/>
      <c r="F728" s="52"/>
      <c r="H728" s="52"/>
      <c r="I728" s="59"/>
    </row>
    <row r="729" spans="1:9" ht="15" x14ac:dyDescent="0.2">
      <c r="A729" s="53"/>
      <c r="B729" s="50"/>
      <c r="F729" s="52"/>
      <c r="H729" s="52"/>
      <c r="I729" s="59"/>
    </row>
    <row r="730" spans="1:9" ht="15" x14ac:dyDescent="0.2">
      <c r="A730" s="53"/>
      <c r="B730" s="50"/>
      <c r="F730" s="52"/>
      <c r="H730" s="52"/>
      <c r="I730" s="59"/>
    </row>
    <row r="731" spans="1:9" ht="15" x14ac:dyDescent="0.2">
      <c r="A731" s="53"/>
      <c r="B731" s="50"/>
      <c r="F731" s="52"/>
      <c r="H731" s="52"/>
      <c r="I731" s="59"/>
    </row>
    <row r="732" spans="1:9" ht="15" x14ac:dyDescent="0.2">
      <c r="A732" s="53"/>
      <c r="B732" s="50"/>
      <c r="F732" s="52"/>
      <c r="H732" s="52"/>
      <c r="I732" s="59"/>
    </row>
    <row r="733" spans="1:9" ht="15" x14ac:dyDescent="0.2">
      <c r="A733" s="53"/>
      <c r="B733" s="50"/>
      <c r="F733" s="52"/>
      <c r="H733" s="52"/>
      <c r="I733" s="59"/>
    </row>
    <row r="734" spans="1:9" ht="15" x14ac:dyDescent="0.2">
      <c r="A734" s="53"/>
      <c r="B734" s="50"/>
      <c r="F734" s="52"/>
      <c r="H734" s="52"/>
      <c r="I734" s="59"/>
    </row>
    <row r="735" spans="1:9" ht="15" x14ac:dyDescent="0.2">
      <c r="A735" s="53"/>
      <c r="B735" s="50"/>
      <c r="F735" s="52"/>
      <c r="H735" s="52"/>
      <c r="I735" s="59"/>
    </row>
    <row r="736" spans="1:9" ht="15" x14ac:dyDescent="0.2">
      <c r="A736" s="53"/>
      <c r="B736" s="50"/>
      <c r="F736" s="52"/>
      <c r="H736" s="52"/>
      <c r="I736" s="59"/>
    </row>
    <row r="737" spans="1:9" ht="15" x14ac:dyDescent="0.2">
      <c r="A737" s="53"/>
      <c r="B737" s="50"/>
      <c r="F737" s="52"/>
      <c r="H737" s="52"/>
      <c r="I737" s="59"/>
    </row>
    <row r="738" spans="1:9" ht="15" x14ac:dyDescent="0.2">
      <c r="A738" s="53"/>
      <c r="B738" s="50"/>
      <c r="F738" s="52"/>
      <c r="H738" s="52"/>
      <c r="I738" s="59"/>
    </row>
    <row r="739" spans="1:9" ht="15" x14ac:dyDescent="0.2">
      <c r="A739" s="53"/>
      <c r="B739" s="50"/>
      <c r="F739" s="52"/>
      <c r="H739" s="52"/>
      <c r="I739" s="59"/>
    </row>
    <row r="740" spans="1:9" ht="15" x14ac:dyDescent="0.2">
      <c r="A740" s="53"/>
      <c r="B740" s="50"/>
      <c r="F740" s="52"/>
      <c r="H740" s="52"/>
      <c r="I740" s="59"/>
    </row>
    <row r="741" spans="1:9" ht="15" x14ac:dyDescent="0.2">
      <c r="A741" s="53"/>
      <c r="B741" s="50"/>
      <c r="F741" s="52"/>
      <c r="H741" s="52"/>
      <c r="I741" s="59"/>
    </row>
    <row r="742" spans="1:9" ht="15" x14ac:dyDescent="0.2">
      <c r="A742" s="53"/>
      <c r="B742" s="50"/>
      <c r="F742" s="52"/>
      <c r="H742" s="52"/>
      <c r="I742" s="59"/>
    </row>
    <row r="743" spans="1:9" ht="15" x14ac:dyDescent="0.2">
      <c r="A743" s="53"/>
      <c r="B743" s="50"/>
      <c r="F743" s="52"/>
      <c r="H743" s="52"/>
      <c r="I743" s="59"/>
    </row>
    <row r="744" spans="1:9" ht="15" x14ac:dyDescent="0.2">
      <c r="A744" s="53"/>
      <c r="B744" s="50"/>
      <c r="F744" s="52"/>
      <c r="H744" s="52"/>
      <c r="I744" s="59"/>
    </row>
    <row r="745" spans="1:9" ht="15" x14ac:dyDescent="0.2">
      <c r="A745" s="53"/>
      <c r="B745" s="50"/>
      <c r="F745" s="52"/>
      <c r="H745" s="52"/>
      <c r="I745" s="59"/>
    </row>
    <row r="746" spans="1:9" ht="15" x14ac:dyDescent="0.2">
      <c r="A746" s="53"/>
      <c r="B746" s="50"/>
      <c r="F746" s="52"/>
      <c r="H746" s="52"/>
      <c r="I746" s="59"/>
    </row>
    <row r="747" spans="1:9" ht="15" x14ac:dyDescent="0.2">
      <c r="A747" s="53"/>
      <c r="B747" s="50"/>
      <c r="F747" s="52"/>
      <c r="H747" s="52"/>
      <c r="I747" s="59"/>
    </row>
    <row r="748" spans="1:9" ht="15" x14ac:dyDescent="0.2">
      <c r="A748" s="53"/>
      <c r="B748" s="50"/>
      <c r="F748" s="52"/>
      <c r="H748" s="52"/>
      <c r="I748" s="59"/>
    </row>
    <row r="749" spans="1:9" ht="15" x14ac:dyDescent="0.2">
      <c r="A749" s="53"/>
      <c r="B749" s="50"/>
      <c r="F749" s="52"/>
      <c r="H749" s="52"/>
      <c r="I749" s="59"/>
    </row>
    <row r="750" spans="1:9" ht="15" x14ac:dyDescent="0.2">
      <c r="A750" s="53"/>
      <c r="B750" s="50"/>
      <c r="F750" s="52"/>
      <c r="H750" s="52"/>
      <c r="I750" s="59"/>
    </row>
  </sheetData>
  <mergeCells count="23">
    <mergeCell ref="F661:F669"/>
    <mergeCell ref="G661:G669"/>
    <mergeCell ref="F671:F702"/>
    <mergeCell ref="F610:F612"/>
    <mergeCell ref="F614:F617"/>
    <mergeCell ref="F620:F651"/>
    <mergeCell ref="G620:G651"/>
    <mergeCell ref="F653:F659"/>
    <mergeCell ref="G653:G659"/>
    <mergeCell ref="F571:F576"/>
    <mergeCell ref="G89:G93"/>
    <mergeCell ref="J89:J93"/>
    <mergeCell ref="F89:F93"/>
    <mergeCell ref="G546:G548"/>
    <mergeCell ref="F549:F562"/>
    <mergeCell ref="F546:F548"/>
    <mergeCell ref="F568:F569"/>
    <mergeCell ref="J546:J548"/>
    <mergeCell ref="F594:F608"/>
    <mergeCell ref="J584:J593"/>
    <mergeCell ref="F584:F593"/>
    <mergeCell ref="G577:G581"/>
    <mergeCell ref="F577:F581"/>
  </mergeCells>
  <hyperlinks>
    <hyperlink ref="J570" r:id="rId1" display="Email:service@huaji-bio.com" xr:uid="{00000000-0004-0000-0100-000000000000}"/>
    <hyperlink ref="J89" r:id="rId2" display="ales@collagenation.com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A3BF-AD5E-F949-A06F-1EA7879C2DD9}">
  <sheetPr>
    <outlinePr summaryBelow="0" summaryRight="0"/>
  </sheetPr>
  <dimension ref="A1:K377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4" defaultRowHeight="14" x14ac:dyDescent="0.2"/>
  <cols>
    <col min="1" max="1" width="67" customWidth="1"/>
    <col min="2" max="2" width="18" customWidth="1"/>
    <col min="3" max="3" width="10" customWidth="1"/>
    <col min="4" max="4" width="8" customWidth="1"/>
    <col min="5" max="5" width="13" customWidth="1"/>
    <col min="6" max="6" width="9" customWidth="1"/>
    <col min="7" max="7" width="11" customWidth="1"/>
    <col min="8" max="8" width="13" customWidth="1"/>
    <col min="9" max="10" width="15" customWidth="1"/>
    <col min="11" max="11" width="29" customWidth="1"/>
    <col min="12" max="20" width="10" customWidth="1"/>
  </cols>
  <sheetData>
    <row r="1" spans="1:11" ht="15" customHeight="1" x14ac:dyDescent="0.2">
      <c r="A1" s="125" t="s">
        <v>3520</v>
      </c>
      <c r="B1" s="125" t="s">
        <v>3521</v>
      </c>
      <c r="C1" s="125" t="s">
        <v>3522</v>
      </c>
      <c r="D1" s="125" t="s">
        <v>3523</v>
      </c>
      <c r="E1" s="125" t="s">
        <v>3524</v>
      </c>
      <c r="F1" s="125" t="s">
        <v>3525</v>
      </c>
      <c r="G1" s="125" t="s">
        <v>3526</v>
      </c>
      <c r="H1" s="125" t="s">
        <v>3527</v>
      </c>
      <c r="I1" s="125" t="s">
        <v>3528</v>
      </c>
      <c r="J1" s="127" t="s">
        <v>3529</v>
      </c>
      <c r="K1" s="126" t="s">
        <v>3530</v>
      </c>
    </row>
    <row r="2" spans="1:11" ht="15" customHeight="1" x14ac:dyDescent="0.2">
      <c r="A2" s="120" t="s">
        <v>3531</v>
      </c>
      <c r="B2" s="120" t="s">
        <v>3532</v>
      </c>
      <c r="C2" s="98" t="s">
        <v>3533</v>
      </c>
      <c r="D2" s="120" t="s">
        <v>3534</v>
      </c>
      <c r="E2" s="98">
        <v>0</v>
      </c>
      <c r="F2" s="120">
        <v>0</v>
      </c>
      <c r="G2" s="121">
        <v>81</v>
      </c>
      <c r="H2" s="123">
        <v>0</v>
      </c>
      <c r="I2" s="122">
        <v>0</v>
      </c>
      <c r="J2" s="124">
        <f t="shared" ref="J2:J65" si="0">IF(D2="gm", E2*1000,+E2)</f>
        <v>0</v>
      </c>
    </row>
    <row r="3" spans="1:11" ht="15" customHeight="1" x14ac:dyDescent="0.2">
      <c r="A3" s="120" t="s">
        <v>3535</v>
      </c>
      <c r="B3" s="120" t="s">
        <v>3532</v>
      </c>
      <c r="C3" s="98" t="s">
        <v>3533</v>
      </c>
      <c r="D3" s="120" t="s">
        <v>3534</v>
      </c>
      <c r="E3" s="98">
        <v>0</v>
      </c>
      <c r="F3" s="120">
        <v>0</v>
      </c>
      <c r="G3" s="121">
        <v>96</v>
      </c>
      <c r="H3" s="123">
        <v>0</v>
      </c>
      <c r="I3" s="122">
        <v>0</v>
      </c>
      <c r="J3" s="124">
        <f t="shared" si="0"/>
        <v>0</v>
      </c>
    </row>
    <row r="4" spans="1:11" ht="15" customHeight="1" x14ac:dyDescent="0.2">
      <c r="A4" s="120" t="s">
        <v>3536</v>
      </c>
      <c r="B4" s="120" t="s">
        <v>3532</v>
      </c>
      <c r="C4" s="98" t="s">
        <v>3532</v>
      </c>
      <c r="D4" s="120" t="s">
        <v>3534</v>
      </c>
      <c r="E4" s="98">
        <v>0</v>
      </c>
      <c r="F4" s="120">
        <v>0</v>
      </c>
      <c r="G4" s="121">
        <v>0</v>
      </c>
      <c r="H4" s="123">
        <v>0</v>
      </c>
      <c r="I4" s="122">
        <v>0</v>
      </c>
      <c r="J4" s="124">
        <f t="shared" si="0"/>
        <v>0</v>
      </c>
    </row>
    <row r="5" spans="1:11" ht="15" customHeight="1" x14ac:dyDescent="0.2">
      <c r="A5" s="120" t="s">
        <v>3537</v>
      </c>
      <c r="B5" s="120" t="s">
        <v>3532</v>
      </c>
      <c r="C5" s="98" t="s">
        <v>3532</v>
      </c>
      <c r="D5" s="120" t="s">
        <v>3534</v>
      </c>
      <c r="E5" s="98">
        <v>0</v>
      </c>
      <c r="F5" s="120">
        <v>0</v>
      </c>
      <c r="G5" s="121">
        <v>0</v>
      </c>
      <c r="H5" s="123">
        <v>0</v>
      </c>
      <c r="I5" s="122">
        <v>0</v>
      </c>
      <c r="J5" s="124">
        <f t="shared" si="0"/>
        <v>0</v>
      </c>
    </row>
    <row r="6" spans="1:11" ht="15" customHeight="1" x14ac:dyDescent="0.2">
      <c r="A6" s="120" t="s">
        <v>3538</v>
      </c>
      <c r="B6" s="120" t="s">
        <v>3539</v>
      </c>
      <c r="C6" s="98" t="s">
        <v>3540</v>
      </c>
      <c r="D6" s="120" t="s">
        <v>3534</v>
      </c>
      <c r="E6" s="98">
        <v>0</v>
      </c>
      <c r="F6" s="120">
        <v>0</v>
      </c>
      <c r="G6" s="121">
        <v>0</v>
      </c>
      <c r="H6" s="123">
        <v>0</v>
      </c>
      <c r="I6" s="122">
        <v>0</v>
      </c>
      <c r="J6" s="124">
        <f t="shared" si="0"/>
        <v>0</v>
      </c>
    </row>
    <row r="7" spans="1:11" ht="15" customHeight="1" x14ac:dyDescent="0.2">
      <c r="A7" s="120" t="s">
        <v>3541</v>
      </c>
      <c r="B7" s="120" t="s">
        <v>3539</v>
      </c>
      <c r="C7" s="98" t="s">
        <v>3533</v>
      </c>
      <c r="D7" s="120" t="s">
        <v>3534</v>
      </c>
      <c r="E7" s="98">
        <v>0</v>
      </c>
      <c r="F7" s="120">
        <v>0</v>
      </c>
      <c r="G7" s="121">
        <v>1737</v>
      </c>
      <c r="H7" s="123">
        <v>0</v>
      </c>
      <c r="I7" s="122">
        <v>0</v>
      </c>
      <c r="J7" s="124">
        <f t="shared" si="0"/>
        <v>0</v>
      </c>
    </row>
    <row r="8" spans="1:11" ht="15" customHeight="1" x14ac:dyDescent="0.2">
      <c r="A8" s="120" t="s">
        <v>3542</v>
      </c>
      <c r="B8" s="120" t="s">
        <v>3539</v>
      </c>
      <c r="C8" s="98" t="s">
        <v>3540</v>
      </c>
      <c r="D8" s="120" t="s">
        <v>3534</v>
      </c>
      <c r="E8" s="98">
        <v>0</v>
      </c>
      <c r="F8" s="120">
        <v>0</v>
      </c>
      <c r="G8" s="121">
        <v>0</v>
      </c>
      <c r="H8" s="123">
        <v>0</v>
      </c>
      <c r="I8" s="122">
        <v>0</v>
      </c>
      <c r="J8" s="124">
        <f t="shared" si="0"/>
        <v>0</v>
      </c>
    </row>
    <row r="9" spans="1:11" ht="15" customHeight="1" x14ac:dyDescent="0.2">
      <c r="A9" s="120" t="s">
        <v>3543</v>
      </c>
      <c r="B9" s="120" t="s">
        <v>3532</v>
      </c>
      <c r="C9" s="98" t="s">
        <v>3532</v>
      </c>
      <c r="D9" s="120" t="s">
        <v>3534</v>
      </c>
      <c r="E9" s="98">
        <v>0</v>
      </c>
      <c r="F9" s="120">
        <v>0</v>
      </c>
      <c r="G9" s="121">
        <v>0</v>
      </c>
      <c r="H9" s="123">
        <v>0</v>
      </c>
      <c r="I9" s="122">
        <v>0</v>
      </c>
      <c r="J9" s="124">
        <f t="shared" si="0"/>
        <v>0</v>
      </c>
    </row>
    <row r="10" spans="1:11" ht="15" customHeight="1" x14ac:dyDescent="0.2">
      <c r="A10" s="120" t="s">
        <v>3544</v>
      </c>
      <c r="B10" s="120" t="s">
        <v>3532</v>
      </c>
      <c r="C10" s="98" t="s">
        <v>3533</v>
      </c>
      <c r="D10" s="120" t="s">
        <v>3534</v>
      </c>
      <c r="E10" s="98">
        <v>0</v>
      </c>
      <c r="F10" s="120">
        <v>0</v>
      </c>
      <c r="G10" s="121">
        <v>404</v>
      </c>
      <c r="H10" s="123">
        <v>0</v>
      </c>
      <c r="I10" s="122">
        <v>0</v>
      </c>
      <c r="J10" s="124">
        <f t="shared" si="0"/>
        <v>0</v>
      </c>
    </row>
    <row r="11" spans="1:11" ht="15" customHeight="1" x14ac:dyDescent="0.2">
      <c r="A11" s="120" t="s">
        <v>3545</v>
      </c>
      <c r="B11" s="120" t="s">
        <v>3539</v>
      </c>
      <c r="C11" s="98" t="s">
        <v>3533</v>
      </c>
      <c r="D11" s="120" t="s">
        <v>3534</v>
      </c>
      <c r="E11" s="98">
        <v>0</v>
      </c>
      <c r="F11" s="120">
        <v>0</v>
      </c>
      <c r="G11" s="121">
        <v>0</v>
      </c>
      <c r="H11" s="123">
        <v>0</v>
      </c>
      <c r="I11" s="122">
        <v>0</v>
      </c>
      <c r="J11" s="124">
        <f t="shared" si="0"/>
        <v>0</v>
      </c>
    </row>
    <row r="12" spans="1:11" ht="15" customHeight="1" x14ac:dyDescent="0.2">
      <c r="A12" s="120" t="s">
        <v>3546</v>
      </c>
      <c r="B12" s="120" t="s">
        <v>3539</v>
      </c>
      <c r="C12" s="98" t="s">
        <v>3533</v>
      </c>
      <c r="D12" s="120" t="s">
        <v>3534</v>
      </c>
      <c r="E12" s="98">
        <v>0</v>
      </c>
      <c r="F12" s="120">
        <v>0</v>
      </c>
      <c r="G12" s="121">
        <v>0</v>
      </c>
      <c r="H12" s="123">
        <v>0</v>
      </c>
      <c r="I12" s="122">
        <v>0</v>
      </c>
      <c r="J12" s="124">
        <f t="shared" si="0"/>
        <v>0</v>
      </c>
    </row>
    <row r="13" spans="1:11" ht="15" customHeight="1" x14ac:dyDescent="0.2">
      <c r="A13" s="120" t="s">
        <v>3547</v>
      </c>
      <c r="B13" s="120" t="s">
        <v>3539</v>
      </c>
      <c r="C13" s="98" t="s">
        <v>3533</v>
      </c>
      <c r="D13" s="120" t="s">
        <v>3534</v>
      </c>
      <c r="E13" s="98">
        <v>0</v>
      </c>
      <c r="F13" s="120">
        <v>0</v>
      </c>
      <c r="G13" s="121">
        <v>3070</v>
      </c>
      <c r="H13" s="123">
        <v>0</v>
      </c>
      <c r="I13" s="122">
        <v>0</v>
      </c>
      <c r="J13" s="124">
        <f t="shared" si="0"/>
        <v>0</v>
      </c>
    </row>
    <row r="14" spans="1:11" ht="15" customHeight="1" x14ac:dyDescent="0.2">
      <c r="A14" s="120" t="s">
        <v>3548</v>
      </c>
      <c r="B14" s="120" t="s">
        <v>3532</v>
      </c>
      <c r="C14" s="98" t="s">
        <v>3533</v>
      </c>
      <c r="D14" s="120" t="s">
        <v>3534</v>
      </c>
      <c r="E14" s="98">
        <v>0</v>
      </c>
      <c r="F14" s="120">
        <v>0</v>
      </c>
      <c r="G14" s="121">
        <v>379</v>
      </c>
      <c r="H14" s="123">
        <v>0</v>
      </c>
      <c r="I14" s="122">
        <v>0</v>
      </c>
      <c r="J14" s="124">
        <f t="shared" si="0"/>
        <v>0</v>
      </c>
    </row>
    <row r="15" spans="1:11" ht="15" customHeight="1" x14ac:dyDescent="0.2">
      <c r="A15" s="120" t="s">
        <v>3549</v>
      </c>
      <c r="B15" s="120" t="s">
        <v>3539</v>
      </c>
      <c r="C15" s="98" t="s">
        <v>3533</v>
      </c>
      <c r="D15" s="120" t="s">
        <v>3534</v>
      </c>
      <c r="E15" s="98">
        <v>0</v>
      </c>
      <c r="F15" s="120">
        <v>0</v>
      </c>
      <c r="G15" s="121">
        <v>3598</v>
      </c>
      <c r="H15" s="123">
        <v>0</v>
      </c>
      <c r="I15" s="122">
        <v>0</v>
      </c>
      <c r="J15" s="124">
        <f t="shared" si="0"/>
        <v>0</v>
      </c>
    </row>
    <row r="16" spans="1:11" ht="15" customHeight="1" x14ac:dyDescent="0.2">
      <c r="A16" s="120" t="s">
        <v>3550</v>
      </c>
      <c r="B16" s="120" t="s">
        <v>3539</v>
      </c>
      <c r="C16" s="98" t="s">
        <v>3540</v>
      </c>
      <c r="D16" s="120" t="s">
        <v>3534</v>
      </c>
      <c r="E16" s="98">
        <v>0</v>
      </c>
      <c r="F16" s="120">
        <v>0</v>
      </c>
      <c r="G16" s="121">
        <v>0</v>
      </c>
      <c r="H16" s="123">
        <v>0</v>
      </c>
      <c r="I16" s="122">
        <v>0</v>
      </c>
      <c r="J16" s="124">
        <f t="shared" si="0"/>
        <v>0</v>
      </c>
    </row>
    <row r="17" spans="1:10" ht="15" customHeight="1" x14ac:dyDescent="0.2">
      <c r="A17" s="120" t="s">
        <v>3551</v>
      </c>
      <c r="B17" s="120" t="s">
        <v>3539</v>
      </c>
      <c r="C17" s="98" t="s">
        <v>3533</v>
      </c>
      <c r="D17" s="120" t="s">
        <v>3534</v>
      </c>
      <c r="E17" s="98">
        <v>0</v>
      </c>
      <c r="F17" s="120">
        <v>0</v>
      </c>
      <c r="G17" s="121">
        <v>184</v>
      </c>
      <c r="H17" s="123">
        <v>0</v>
      </c>
      <c r="I17" s="122">
        <v>0</v>
      </c>
      <c r="J17" s="124">
        <f t="shared" si="0"/>
        <v>0</v>
      </c>
    </row>
    <row r="18" spans="1:10" ht="15" customHeight="1" x14ac:dyDescent="0.2">
      <c r="A18" s="120" t="s">
        <v>3552</v>
      </c>
      <c r="B18" s="120" t="s">
        <v>3539</v>
      </c>
      <c r="C18" s="98" t="s">
        <v>3533</v>
      </c>
      <c r="D18" s="120" t="s">
        <v>3534</v>
      </c>
      <c r="E18" s="98">
        <v>0</v>
      </c>
      <c r="F18" s="120">
        <v>0</v>
      </c>
      <c r="G18" s="121">
        <v>1760</v>
      </c>
      <c r="H18" s="123">
        <v>0</v>
      </c>
      <c r="I18" s="122">
        <v>0</v>
      </c>
      <c r="J18" s="124">
        <f t="shared" si="0"/>
        <v>0</v>
      </c>
    </row>
    <row r="19" spans="1:10" ht="15" customHeight="1" x14ac:dyDescent="0.2">
      <c r="A19" s="120" t="s">
        <v>3553</v>
      </c>
      <c r="B19" s="120" t="s">
        <v>3532</v>
      </c>
      <c r="C19" s="98" t="s">
        <v>3540</v>
      </c>
      <c r="D19" s="120" t="s">
        <v>3534</v>
      </c>
      <c r="E19" s="98">
        <v>0</v>
      </c>
      <c r="F19" s="120">
        <v>0</v>
      </c>
      <c r="G19" s="121">
        <v>0</v>
      </c>
      <c r="H19" s="123">
        <v>0</v>
      </c>
      <c r="I19" s="122">
        <v>0</v>
      </c>
      <c r="J19" s="124">
        <f t="shared" si="0"/>
        <v>0</v>
      </c>
    </row>
    <row r="20" spans="1:10" ht="15" customHeight="1" x14ac:dyDescent="0.2">
      <c r="A20" s="120" t="s">
        <v>3553</v>
      </c>
      <c r="B20" s="120" t="s">
        <v>3539</v>
      </c>
      <c r="C20" s="98" t="s">
        <v>3540</v>
      </c>
      <c r="D20" s="120" t="s">
        <v>3534</v>
      </c>
      <c r="E20" s="98">
        <v>0</v>
      </c>
      <c r="F20" s="120">
        <v>0</v>
      </c>
      <c r="G20" s="121">
        <v>0</v>
      </c>
      <c r="H20" s="123">
        <v>0</v>
      </c>
      <c r="I20" s="122">
        <v>0</v>
      </c>
      <c r="J20" s="124">
        <f t="shared" si="0"/>
        <v>0</v>
      </c>
    </row>
    <row r="21" spans="1:10" ht="15" customHeight="1" x14ac:dyDescent="0.2">
      <c r="A21" s="120" t="s">
        <v>3554</v>
      </c>
      <c r="B21" s="120" t="s">
        <v>3532</v>
      </c>
      <c r="C21" s="98" t="s">
        <v>3540</v>
      </c>
      <c r="D21" s="120" t="s">
        <v>3534</v>
      </c>
      <c r="E21" s="98">
        <v>0</v>
      </c>
      <c r="F21" s="120">
        <v>0</v>
      </c>
      <c r="G21" s="121">
        <v>0</v>
      </c>
      <c r="H21" s="123">
        <v>0</v>
      </c>
      <c r="I21" s="122">
        <v>0</v>
      </c>
      <c r="J21" s="124">
        <f t="shared" si="0"/>
        <v>0</v>
      </c>
    </row>
    <row r="22" spans="1:10" ht="15" customHeight="1" x14ac:dyDescent="0.2">
      <c r="A22" s="120" t="s">
        <v>3555</v>
      </c>
      <c r="B22" s="120" t="s">
        <v>3539</v>
      </c>
      <c r="C22" s="98" t="s">
        <v>3532</v>
      </c>
      <c r="D22" s="120" t="s">
        <v>3534</v>
      </c>
      <c r="E22" s="98">
        <v>0</v>
      </c>
      <c r="F22" s="120">
        <v>0</v>
      </c>
      <c r="G22" s="121">
        <v>330</v>
      </c>
      <c r="H22" s="123">
        <v>0</v>
      </c>
      <c r="I22" s="122">
        <v>0</v>
      </c>
      <c r="J22" s="124">
        <f t="shared" si="0"/>
        <v>0</v>
      </c>
    </row>
    <row r="23" spans="1:10" ht="15" customHeight="1" x14ac:dyDescent="0.2">
      <c r="A23" s="120" t="s">
        <v>3556</v>
      </c>
      <c r="B23" s="120" t="s">
        <v>3532</v>
      </c>
      <c r="C23" s="98" t="s">
        <v>3533</v>
      </c>
      <c r="D23" s="120" t="s">
        <v>3534</v>
      </c>
      <c r="E23" s="98">
        <v>0</v>
      </c>
      <c r="F23" s="120">
        <v>0</v>
      </c>
      <c r="G23" s="121">
        <v>18</v>
      </c>
      <c r="H23" s="123">
        <v>0</v>
      </c>
      <c r="I23" s="122">
        <v>0</v>
      </c>
      <c r="J23" s="124">
        <f t="shared" si="0"/>
        <v>0</v>
      </c>
    </row>
    <row r="24" spans="1:10" ht="15" customHeight="1" x14ac:dyDescent="0.2">
      <c r="A24" s="120" t="s">
        <v>3557</v>
      </c>
      <c r="B24" s="120" t="s">
        <v>3532</v>
      </c>
      <c r="C24" s="98" t="s">
        <v>3533</v>
      </c>
      <c r="D24" s="120" t="s">
        <v>3534</v>
      </c>
      <c r="E24" s="98">
        <v>0</v>
      </c>
      <c r="F24" s="120">
        <v>0</v>
      </c>
      <c r="G24" s="121">
        <v>348</v>
      </c>
      <c r="H24" s="123">
        <v>0</v>
      </c>
      <c r="I24" s="122">
        <v>0</v>
      </c>
      <c r="J24" s="124">
        <f t="shared" si="0"/>
        <v>0</v>
      </c>
    </row>
    <row r="25" spans="1:10" ht="15" customHeight="1" x14ac:dyDescent="0.2">
      <c r="A25" s="120" t="s">
        <v>3558</v>
      </c>
      <c r="B25" s="120" t="s">
        <v>3539</v>
      </c>
      <c r="C25" s="98" t="s">
        <v>3533</v>
      </c>
      <c r="D25" s="120" t="s">
        <v>3534</v>
      </c>
      <c r="E25" s="98">
        <v>0</v>
      </c>
      <c r="F25" s="120">
        <v>0</v>
      </c>
      <c r="G25" s="121">
        <v>123</v>
      </c>
      <c r="H25" s="123">
        <v>0</v>
      </c>
      <c r="I25" s="122">
        <v>0</v>
      </c>
      <c r="J25" s="124">
        <f t="shared" si="0"/>
        <v>0</v>
      </c>
    </row>
    <row r="26" spans="1:10" ht="15" customHeight="1" x14ac:dyDescent="0.2">
      <c r="A26" s="120" t="s">
        <v>3559</v>
      </c>
      <c r="B26" s="120" t="s">
        <v>3532</v>
      </c>
      <c r="C26" s="98" t="s">
        <v>3533</v>
      </c>
      <c r="D26" s="120" t="s">
        <v>3534</v>
      </c>
      <c r="E26" s="98">
        <v>0</v>
      </c>
      <c r="F26" s="120">
        <v>0</v>
      </c>
      <c r="G26" s="121">
        <v>415</v>
      </c>
      <c r="H26" s="123">
        <v>0</v>
      </c>
      <c r="I26" s="122">
        <v>0</v>
      </c>
      <c r="J26" s="124">
        <f t="shared" si="0"/>
        <v>0</v>
      </c>
    </row>
    <row r="27" spans="1:10" ht="15" customHeight="1" x14ac:dyDescent="0.2">
      <c r="A27" s="120" t="s">
        <v>3560</v>
      </c>
      <c r="B27" s="120" t="s">
        <v>3532</v>
      </c>
      <c r="C27" s="98" t="s">
        <v>3533</v>
      </c>
      <c r="D27" s="120" t="s">
        <v>3534</v>
      </c>
      <c r="E27" s="98">
        <v>0</v>
      </c>
      <c r="F27" s="120">
        <v>0</v>
      </c>
      <c r="G27" s="121">
        <v>116</v>
      </c>
      <c r="H27" s="123">
        <v>0</v>
      </c>
      <c r="I27" s="122">
        <v>0</v>
      </c>
      <c r="J27" s="124">
        <f t="shared" si="0"/>
        <v>0</v>
      </c>
    </row>
    <row r="28" spans="1:10" ht="15" customHeight="1" x14ac:dyDescent="0.2">
      <c r="A28" s="120" t="s">
        <v>3561</v>
      </c>
      <c r="B28" s="120" t="s">
        <v>3539</v>
      </c>
      <c r="C28" s="98" t="s">
        <v>3533</v>
      </c>
      <c r="D28" s="120" t="s">
        <v>3534</v>
      </c>
      <c r="E28" s="98">
        <v>0</v>
      </c>
      <c r="F28" s="120">
        <v>0</v>
      </c>
      <c r="G28" s="121">
        <v>3608</v>
      </c>
      <c r="H28" s="123">
        <v>0</v>
      </c>
      <c r="I28" s="122">
        <v>0</v>
      </c>
      <c r="J28" s="124">
        <f t="shared" si="0"/>
        <v>0</v>
      </c>
    </row>
    <row r="29" spans="1:10" ht="15" customHeight="1" x14ac:dyDescent="0.2">
      <c r="A29" s="120" t="s">
        <v>3562</v>
      </c>
      <c r="B29" s="120" t="s">
        <v>3539</v>
      </c>
      <c r="C29" s="98" t="s">
        <v>3533</v>
      </c>
      <c r="D29" s="120" t="s">
        <v>3563</v>
      </c>
      <c r="E29" s="98">
        <v>0</v>
      </c>
      <c r="F29" s="120">
        <v>0</v>
      </c>
      <c r="G29" s="121">
        <v>55</v>
      </c>
      <c r="H29" s="123">
        <v>0</v>
      </c>
      <c r="I29" s="122">
        <v>0</v>
      </c>
      <c r="J29" s="124">
        <f t="shared" si="0"/>
        <v>0</v>
      </c>
    </row>
    <row r="30" spans="1:10" ht="15" customHeight="1" x14ac:dyDescent="0.2">
      <c r="A30" s="120" t="s">
        <v>3564</v>
      </c>
      <c r="B30" s="120" t="s">
        <v>3539</v>
      </c>
      <c r="C30" s="98" t="s">
        <v>3540</v>
      </c>
      <c r="D30" s="120" t="s">
        <v>3563</v>
      </c>
      <c r="E30" s="98">
        <v>0</v>
      </c>
      <c r="F30" s="120">
        <v>0</v>
      </c>
      <c r="G30" s="121">
        <v>0</v>
      </c>
      <c r="H30" s="123">
        <v>0</v>
      </c>
      <c r="I30" s="122">
        <v>0</v>
      </c>
      <c r="J30" s="124">
        <f t="shared" si="0"/>
        <v>0</v>
      </c>
    </row>
    <row r="31" spans="1:10" ht="15" customHeight="1" x14ac:dyDescent="0.2">
      <c r="A31" s="120" t="s">
        <v>3565</v>
      </c>
      <c r="B31" s="120" t="s">
        <v>3532</v>
      </c>
      <c r="C31" s="98" t="s">
        <v>3566</v>
      </c>
      <c r="D31" s="120" t="s">
        <v>3534</v>
      </c>
      <c r="E31" s="98">
        <v>0</v>
      </c>
      <c r="F31" s="120">
        <v>0</v>
      </c>
      <c r="G31" s="121">
        <v>5294</v>
      </c>
      <c r="H31" s="123">
        <v>0</v>
      </c>
      <c r="I31" s="122">
        <v>0</v>
      </c>
      <c r="J31" s="124">
        <f t="shared" si="0"/>
        <v>0</v>
      </c>
    </row>
    <row r="32" spans="1:10" ht="15" customHeight="1" x14ac:dyDescent="0.2">
      <c r="A32" s="120" t="s">
        <v>3567</v>
      </c>
      <c r="B32" s="120" t="s">
        <v>3568</v>
      </c>
      <c r="C32" s="98" t="s">
        <v>3533</v>
      </c>
      <c r="D32" s="120" t="s">
        <v>3534</v>
      </c>
      <c r="E32" s="98">
        <v>0</v>
      </c>
      <c r="F32" s="120">
        <v>0</v>
      </c>
      <c r="G32" s="121">
        <v>12</v>
      </c>
      <c r="H32" s="123">
        <v>0</v>
      </c>
      <c r="I32" s="122">
        <v>0</v>
      </c>
      <c r="J32" s="124">
        <f t="shared" si="0"/>
        <v>0</v>
      </c>
    </row>
    <row r="33" spans="1:10" ht="15" customHeight="1" x14ac:dyDescent="0.2">
      <c r="A33" s="120" t="s">
        <v>3569</v>
      </c>
      <c r="B33" s="120" t="s">
        <v>3568</v>
      </c>
      <c r="C33" s="98" t="s">
        <v>3566</v>
      </c>
      <c r="D33" s="120" t="s">
        <v>3534</v>
      </c>
      <c r="E33" s="98">
        <v>0</v>
      </c>
      <c r="F33" s="120">
        <v>0</v>
      </c>
      <c r="G33" s="121">
        <v>5290</v>
      </c>
      <c r="H33" s="123">
        <v>0</v>
      </c>
      <c r="I33" s="122">
        <v>0</v>
      </c>
      <c r="J33" s="124">
        <f t="shared" si="0"/>
        <v>0</v>
      </c>
    </row>
    <row r="34" spans="1:10" ht="15" customHeight="1" x14ac:dyDescent="0.2">
      <c r="A34" s="120" t="s">
        <v>3570</v>
      </c>
      <c r="B34" s="120" t="s">
        <v>3532</v>
      </c>
      <c r="C34" s="98" t="s">
        <v>3533</v>
      </c>
      <c r="D34" s="120" t="s">
        <v>3534</v>
      </c>
      <c r="E34" s="98">
        <v>0</v>
      </c>
      <c r="F34" s="120">
        <v>0</v>
      </c>
      <c r="G34" s="121">
        <v>4770</v>
      </c>
      <c r="H34" s="123">
        <v>0</v>
      </c>
      <c r="I34" s="122">
        <v>0</v>
      </c>
      <c r="J34" s="124">
        <f t="shared" si="0"/>
        <v>0</v>
      </c>
    </row>
    <row r="35" spans="1:10" ht="15" customHeight="1" x14ac:dyDescent="0.2">
      <c r="A35" s="120" t="s">
        <v>3571</v>
      </c>
      <c r="B35" s="120" t="s">
        <v>3532</v>
      </c>
      <c r="C35" s="98" t="s">
        <v>3533</v>
      </c>
      <c r="D35" s="120" t="s">
        <v>3534</v>
      </c>
      <c r="E35" s="98">
        <v>0</v>
      </c>
      <c r="F35" s="120">
        <v>0</v>
      </c>
      <c r="G35" s="121">
        <v>4563</v>
      </c>
      <c r="H35" s="123">
        <v>0</v>
      </c>
      <c r="I35" s="122">
        <v>0</v>
      </c>
      <c r="J35" s="124">
        <f t="shared" si="0"/>
        <v>0</v>
      </c>
    </row>
    <row r="36" spans="1:10" ht="15" customHeight="1" x14ac:dyDescent="0.2">
      <c r="A36" s="120" t="s">
        <v>3572</v>
      </c>
      <c r="B36" s="120" t="s">
        <v>3568</v>
      </c>
      <c r="C36" s="98" t="s">
        <v>3533</v>
      </c>
      <c r="D36" s="120" t="s">
        <v>3534</v>
      </c>
      <c r="E36" s="98">
        <v>0</v>
      </c>
      <c r="F36" s="120">
        <v>0</v>
      </c>
      <c r="G36" s="121">
        <v>4676</v>
      </c>
      <c r="H36" s="123">
        <v>0</v>
      </c>
      <c r="I36" s="122">
        <v>0</v>
      </c>
      <c r="J36" s="124">
        <f t="shared" si="0"/>
        <v>0</v>
      </c>
    </row>
    <row r="37" spans="1:10" ht="15" customHeight="1" x14ac:dyDescent="0.2">
      <c r="A37" s="120" t="s">
        <v>3573</v>
      </c>
      <c r="B37" s="120" t="s">
        <v>3568</v>
      </c>
      <c r="C37" s="98" t="s">
        <v>3533</v>
      </c>
      <c r="D37" s="120" t="s">
        <v>3534</v>
      </c>
      <c r="E37" s="98">
        <v>0</v>
      </c>
      <c r="F37" s="120">
        <v>0</v>
      </c>
      <c r="G37" s="121">
        <v>4670</v>
      </c>
      <c r="H37" s="123">
        <v>0</v>
      </c>
      <c r="I37" s="122">
        <v>0</v>
      </c>
      <c r="J37" s="124">
        <f t="shared" si="0"/>
        <v>0</v>
      </c>
    </row>
    <row r="38" spans="1:10" ht="15" customHeight="1" x14ac:dyDescent="0.2">
      <c r="A38" s="120" t="s">
        <v>3574</v>
      </c>
      <c r="B38" s="120" t="s">
        <v>3532</v>
      </c>
      <c r="C38" s="98" t="s">
        <v>3532</v>
      </c>
      <c r="D38" s="120" t="s">
        <v>3534</v>
      </c>
      <c r="E38" s="98">
        <v>0</v>
      </c>
      <c r="F38" s="120">
        <v>0</v>
      </c>
      <c r="G38" s="121">
        <v>0</v>
      </c>
      <c r="H38" s="123">
        <v>0</v>
      </c>
      <c r="I38" s="122">
        <v>0</v>
      </c>
      <c r="J38" s="124">
        <f t="shared" si="0"/>
        <v>0</v>
      </c>
    </row>
    <row r="39" spans="1:10" ht="15" customHeight="1" x14ac:dyDescent="0.2">
      <c r="A39" s="120" t="s">
        <v>3575</v>
      </c>
      <c r="B39" s="120" t="s">
        <v>3532</v>
      </c>
      <c r="C39" s="98" t="s">
        <v>3566</v>
      </c>
      <c r="D39" s="120" t="s">
        <v>3534</v>
      </c>
      <c r="E39" s="98">
        <v>0</v>
      </c>
      <c r="F39" s="120">
        <v>0</v>
      </c>
      <c r="G39" s="121">
        <v>0</v>
      </c>
      <c r="H39" s="123">
        <v>0</v>
      </c>
      <c r="I39" s="122">
        <v>0</v>
      </c>
      <c r="J39" s="124">
        <f t="shared" si="0"/>
        <v>0</v>
      </c>
    </row>
    <row r="40" spans="1:10" ht="15" customHeight="1" x14ac:dyDescent="0.2">
      <c r="A40" s="120" t="s">
        <v>3576</v>
      </c>
      <c r="B40" s="120" t="s">
        <v>3568</v>
      </c>
      <c r="C40" s="98" t="s">
        <v>3533</v>
      </c>
      <c r="D40" s="120" t="s">
        <v>3563</v>
      </c>
      <c r="E40" s="98">
        <v>0</v>
      </c>
      <c r="F40" s="120">
        <v>0</v>
      </c>
      <c r="G40" s="121">
        <v>415</v>
      </c>
      <c r="H40" s="123">
        <v>0</v>
      </c>
      <c r="I40" s="122">
        <v>0</v>
      </c>
      <c r="J40" s="124">
        <f t="shared" si="0"/>
        <v>0</v>
      </c>
    </row>
    <row r="41" spans="1:10" ht="15" customHeight="1" x14ac:dyDescent="0.2">
      <c r="A41" s="120" t="s">
        <v>3577</v>
      </c>
      <c r="B41" s="120" t="s">
        <v>3532</v>
      </c>
      <c r="C41" s="98" t="s">
        <v>3532</v>
      </c>
      <c r="D41" s="120" t="s">
        <v>3534</v>
      </c>
      <c r="E41" s="98">
        <v>5.4999999999999997E-3</v>
      </c>
      <c r="F41" s="120">
        <v>0</v>
      </c>
      <c r="G41" s="121">
        <v>0</v>
      </c>
      <c r="H41" s="123">
        <v>5.4999999999999997E-3</v>
      </c>
      <c r="I41" s="122">
        <v>0</v>
      </c>
      <c r="J41" s="124">
        <f t="shared" si="0"/>
        <v>5.4999999999999997E-3</v>
      </c>
    </row>
    <row r="42" spans="1:10" ht="15" customHeight="1" x14ac:dyDescent="0.2">
      <c r="A42" s="120" t="s">
        <v>3578</v>
      </c>
      <c r="B42" s="120" t="s">
        <v>3532</v>
      </c>
      <c r="C42" s="98" t="s">
        <v>3532</v>
      </c>
      <c r="D42" s="120" t="s">
        <v>3534</v>
      </c>
      <c r="E42" s="98">
        <v>8.9999999999999993E-3</v>
      </c>
      <c r="F42" s="120">
        <v>0</v>
      </c>
      <c r="G42" s="121">
        <v>0</v>
      </c>
      <c r="H42" s="123">
        <v>8.9999999999999993E-3</v>
      </c>
      <c r="I42" s="122">
        <v>0</v>
      </c>
      <c r="J42" s="124">
        <f t="shared" si="0"/>
        <v>8.9999999999999993E-3</v>
      </c>
    </row>
    <row r="43" spans="1:10" ht="15" customHeight="1" x14ac:dyDescent="0.2">
      <c r="A43" s="120" t="s">
        <v>3579</v>
      </c>
      <c r="B43" s="120" t="s">
        <v>3532</v>
      </c>
      <c r="C43" s="98" t="s">
        <v>3532</v>
      </c>
      <c r="D43" s="120" t="s">
        <v>3534</v>
      </c>
      <c r="E43" s="98">
        <v>0</v>
      </c>
      <c r="F43" s="120">
        <v>0</v>
      </c>
      <c r="G43" s="121">
        <v>0</v>
      </c>
      <c r="H43" s="123">
        <v>0</v>
      </c>
      <c r="I43" s="122">
        <v>0</v>
      </c>
      <c r="J43" s="124">
        <f t="shared" si="0"/>
        <v>0</v>
      </c>
    </row>
    <row r="44" spans="1:10" ht="15" customHeight="1" x14ac:dyDescent="0.2">
      <c r="A44" s="120" t="s">
        <v>3580</v>
      </c>
      <c r="B44" s="120" t="s">
        <v>3581</v>
      </c>
      <c r="C44" s="98" t="s">
        <v>3532</v>
      </c>
      <c r="D44" s="120" t="s">
        <v>3534</v>
      </c>
      <c r="E44" s="98">
        <v>1.2999999999999999E-2</v>
      </c>
      <c r="F44" s="120">
        <v>0</v>
      </c>
      <c r="G44" s="121">
        <v>0</v>
      </c>
      <c r="H44" s="123">
        <v>1.2999999999999999E-2</v>
      </c>
      <c r="I44" s="122">
        <v>0</v>
      </c>
      <c r="J44" s="124">
        <f t="shared" si="0"/>
        <v>1.2999999999999999E-2</v>
      </c>
    </row>
    <row r="45" spans="1:10" ht="15" customHeight="1" x14ac:dyDescent="0.2">
      <c r="A45" s="120" t="s">
        <v>3582</v>
      </c>
      <c r="B45" s="120" t="s">
        <v>3583</v>
      </c>
      <c r="C45" s="98" t="s">
        <v>3532</v>
      </c>
      <c r="D45" s="120" t="s">
        <v>3534</v>
      </c>
      <c r="E45" s="98">
        <v>5.4999999999999997E-3</v>
      </c>
      <c r="F45" s="120">
        <v>0</v>
      </c>
      <c r="G45" s="121">
        <v>0</v>
      </c>
      <c r="H45" s="123">
        <v>5.4999999999999997E-3</v>
      </c>
      <c r="I45" s="122">
        <v>0</v>
      </c>
      <c r="J45" s="124">
        <f t="shared" si="0"/>
        <v>5.4999999999999997E-3</v>
      </c>
    </row>
    <row r="46" spans="1:10" ht="15" customHeight="1" x14ac:dyDescent="0.2">
      <c r="A46" s="120" t="s">
        <v>3584</v>
      </c>
      <c r="B46" s="120" t="s">
        <v>3532</v>
      </c>
      <c r="C46" s="98" t="s">
        <v>3532</v>
      </c>
      <c r="D46" s="120" t="s">
        <v>3534</v>
      </c>
      <c r="E46" s="98">
        <v>0</v>
      </c>
      <c r="F46" s="120">
        <v>0</v>
      </c>
      <c r="G46" s="121">
        <v>0</v>
      </c>
      <c r="H46" s="123">
        <v>0</v>
      </c>
      <c r="I46" s="122">
        <v>0</v>
      </c>
      <c r="J46" s="124">
        <f t="shared" si="0"/>
        <v>0</v>
      </c>
    </row>
    <row r="47" spans="1:10" ht="15" customHeight="1" x14ac:dyDescent="0.2">
      <c r="A47" s="120" t="s">
        <v>3585</v>
      </c>
      <c r="B47" s="120" t="s">
        <v>3532</v>
      </c>
      <c r="C47" s="98" t="s">
        <v>3532</v>
      </c>
      <c r="D47" s="120" t="s">
        <v>3534</v>
      </c>
      <c r="E47" s="98">
        <v>5.4999999999999997E-3</v>
      </c>
      <c r="F47" s="120">
        <v>0</v>
      </c>
      <c r="G47" s="121">
        <v>0</v>
      </c>
      <c r="H47" s="123">
        <v>5.4999999999999997E-3</v>
      </c>
      <c r="I47" s="122">
        <v>0</v>
      </c>
      <c r="J47" s="124">
        <f t="shared" si="0"/>
        <v>5.4999999999999997E-3</v>
      </c>
    </row>
    <row r="48" spans="1:10" ht="15" customHeight="1" x14ac:dyDescent="0.2">
      <c r="A48" s="120" t="s">
        <v>3586</v>
      </c>
      <c r="B48" s="120" t="s">
        <v>3583</v>
      </c>
      <c r="C48" s="98" t="s">
        <v>3532</v>
      </c>
      <c r="D48" s="120" t="s">
        <v>3534</v>
      </c>
      <c r="E48" s="98">
        <v>6.4999999999999997E-3</v>
      </c>
      <c r="F48" s="120">
        <v>0</v>
      </c>
      <c r="G48" s="121">
        <v>0</v>
      </c>
      <c r="H48" s="123">
        <v>6.4999999999999997E-3</v>
      </c>
      <c r="I48" s="122">
        <v>0</v>
      </c>
      <c r="J48" s="124">
        <f t="shared" si="0"/>
        <v>6.4999999999999997E-3</v>
      </c>
    </row>
    <row r="49" spans="1:11" ht="15" customHeight="1" x14ac:dyDescent="0.2">
      <c r="A49" s="120" t="s">
        <v>3587</v>
      </c>
      <c r="B49" s="120" t="s">
        <v>3532</v>
      </c>
      <c r="C49" s="98" t="s">
        <v>3532</v>
      </c>
      <c r="D49" s="120" t="s">
        <v>3534</v>
      </c>
      <c r="E49" s="98">
        <v>5.4999999999999997E-3</v>
      </c>
      <c r="F49" s="120">
        <v>0</v>
      </c>
      <c r="G49" s="121">
        <v>0</v>
      </c>
      <c r="H49" s="123">
        <v>5.4999999999999997E-3</v>
      </c>
      <c r="I49" s="122">
        <v>0</v>
      </c>
      <c r="J49" s="124">
        <f t="shared" si="0"/>
        <v>5.4999999999999997E-3</v>
      </c>
    </row>
    <row r="50" spans="1:11" ht="15" customHeight="1" x14ac:dyDescent="0.2">
      <c r="A50" s="120" t="s">
        <v>3588</v>
      </c>
      <c r="B50" s="120" t="s">
        <v>3532</v>
      </c>
      <c r="C50" s="98" t="s">
        <v>3532</v>
      </c>
      <c r="D50" s="120" t="s">
        <v>3534</v>
      </c>
      <c r="E50" s="98">
        <v>0</v>
      </c>
      <c r="F50" s="120">
        <v>0</v>
      </c>
      <c r="G50" s="121">
        <v>0</v>
      </c>
      <c r="H50" s="123">
        <v>0</v>
      </c>
      <c r="I50" s="122">
        <v>0</v>
      </c>
      <c r="J50" s="124">
        <f t="shared" si="0"/>
        <v>0</v>
      </c>
    </row>
    <row r="51" spans="1:11" ht="15" customHeight="1" x14ac:dyDescent="0.2">
      <c r="A51" s="120" t="s">
        <v>3589</v>
      </c>
      <c r="B51" s="120" t="s">
        <v>3583</v>
      </c>
      <c r="C51" s="98" t="s">
        <v>3532</v>
      </c>
      <c r="D51" s="120" t="s">
        <v>3534</v>
      </c>
      <c r="E51" s="98">
        <v>5.4999999999999997E-3</v>
      </c>
      <c r="F51" s="120">
        <v>0</v>
      </c>
      <c r="G51" s="121">
        <v>0</v>
      </c>
      <c r="H51" s="123">
        <v>5.4999999999999997E-3</v>
      </c>
      <c r="I51" s="122">
        <v>0</v>
      </c>
      <c r="J51" s="124">
        <f t="shared" si="0"/>
        <v>5.4999999999999997E-3</v>
      </c>
    </row>
    <row r="52" spans="1:11" ht="15" customHeight="1" x14ac:dyDescent="0.2">
      <c r="A52" s="120" t="s">
        <v>3590</v>
      </c>
      <c r="B52" s="120" t="s">
        <v>3583</v>
      </c>
      <c r="C52" s="98" t="s">
        <v>3532</v>
      </c>
      <c r="D52" s="120" t="s">
        <v>3534</v>
      </c>
      <c r="E52" s="98">
        <v>6.4999999999999997E-3</v>
      </c>
      <c r="F52" s="120">
        <v>0</v>
      </c>
      <c r="G52" s="121">
        <v>0</v>
      </c>
      <c r="H52" s="123">
        <v>6.4999999999999997E-3</v>
      </c>
      <c r="I52" s="122">
        <v>0</v>
      </c>
      <c r="J52" s="124">
        <f t="shared" si="0"/>
        <v>6.4999999999999997E-3</v>
      </c>
    </row>
    <row r="53" spans="1:11" ht="15" customHeight="1" x14ac:dyDescent="0.2">
      <c r="A53" s="120" t="s">
        <v>3591</v>
      </c>
      <c r="B53" s="120" t="s">
        <v>3532</v>
      </c>
      <c r="C53" s="98" t="s">
        <v>3532</v>
      </c>
      <c r="D53" s="120" t="s">
        <v>3534</v>
      </c>
      <c r="E53" s="98">
        <v>5.4999999999999997E-3</v>
      </c>
      <c r="F53" s="120">
        <v>0</v>
      </c>
      <c r="G53" s="121">
        <v>0</v>
      </c>
      <c r="H53" s="123">
        <v>5.4999999999999997E-3</v>
      </c>
      <c r="I53" s="122">
        <v>0</v>
      </c>
      <c r="J53" s="124">
        <f t="shared" si="0"/>
        <v>5.4999999999999997E-3</v>
      </c>
    </row>
    <row r="54" spans="1:11" ht="15" customHeight="1" x14ac:dyDescent="0.2">
      <c r="A54" s="120" t="s">
        <v>3592</v>
      </c>
      <c r="B54" s="120" t="s">
        <v>3532</v>
      </c>
      <c r="C54" s="98" t="s">
        <v>3532</v>
      </c>
      <c r="D54" s="120" t="s">
        <v>3534</v>
      </c>
      <c r="E54" s="98">
        <v>0</v>
      </c>
      <c r="F54" s="120">
        <v>0</v>
      </c>
      <c r="G54" s="121">
        <v>0</v>
      </c>
      <c r="H54" s="123">
        <v>0</v>
      </c>
      <c r="I54" s="122">
        <v>0</v>
      </c>
      <c r="J54" s="124">
        <f t="shared" si="0"/>
        <v>0</v>
      </c>
    </row>
    <row r="55" spans="1:11" ht="15" customHeight="1" x14ac:dyDescent="0.2">
      <c r="A55" s="120" t="s">
        <v>3593</v>
      </c>
      <c r="B55" s="120" t="s">
        <v>3581</v>
      </c>
      <c r="C55" s="98" t="s">
        <v>3532</v>
      </c>
      <c r="D55" s="120" t="s">
        <v>3534</v>
      </c>
      <c r="E55" s="98">
        <v>6.4999999999999997E-3</v>
      </c>
      <c r="F55" s="120">
        <v>0</v>
      </c>
      <c r="G55" s="121">
        <v>0</v>
      </c>
      <c r="H55" s="123">
        <v>6.4999999999999997E-3</v>
      </c>
      <c r="I55" s="122">
        <v>0</v>
      </c>
      <c r="J55" s="124">
        <f t="shared" si="0"/>
        <v>6.4999999999999997E-3</v>
      </c>
    </row>
    <row r="56" spans="1:11" ht="15" customHeight="1" x14ac:dyDescent="0.2">
      <c r="A56" s="120" t="s">
        <v>3594</v>
      </c>
      <c r="B56" s="120" t="s">
        <v>3532</v>
      </c>
      <c r="C56" s="98" t="s">
        <v>3532</v>
      </c>
      <c r="D56" s="120" t="s">
        <v>3534</v>
      </c>
      <c r="E56" s="98">
        <v>0</v>
      </c>
      <c r="F56" s="120">
        <v>0</v>
      </c>
      <c r="G56" s="121">
        <v>0</v>
      </c>
      <c r="H56" s="123">
        <v>0</v>
      </c>
      <c r="I56" s="122">
        <v>0</v>
      </c>
      <c r="J56" s="124">
        <f t="shared" si="0"/>
        <v>0</v>
      </c>
    </row>
    <row r="57" spans="1:11" ht="15" customHeight="1" x14ac:dyDescent="0.2">
      <c r="A57" s="120" t="s">
        <v>3595</v>
      </c>
      <c r="B57" s="120" t="s">
        <v>3596</v>
      </c>
      <c r="C57" s="98" t="s">
        <v>3532</v>
      </c>
      <c r="D57" s="120" t="s">
        <v>3534</v>
      </c>
      <c r="E57" s="98">
        <v>4.7499999999999999E-3</v>
      </c>
      <c r="F57" s="120">
        <v>0</v>
      </c>
      <c r="G57" s="121">
        <v>0</v>
      </c>
      <c r="H57" s="123">
        <v>4.7499999999999999E-3</v>
      </c>
      <c r="I57" s="122">
        <v>0</v>
      </c>
      <c r="J57" s="124">
        <f t="shared" si="0"/>
        <v>4.7499999999999999E-3</v>
      </c>
    </row>
    <row r="58" spans="1:11" ht="15" customHeight="1" x14ac:dyDescent="0.2">
      <c r="A58" s="120" t="s">
        <v>3597</v>
      </c>
      <c r="B58" s="120" t="s">
        <v>3532</v>
      </c>
      <c r="C58" s="98" t="s">
        <v>3533</v>
      </c>
      <c r="D58" s="120" t="s">
        <v>3534</v>
      </c>
      <c r="E58" s="98">
        <v>1.2491669999999999</v>
      </c>
      <c r="F58" s="120">
        <v>0</v>
      </c>
      <c r="G58" s="121">
        <v>9</v>
      </c>
      <c r="H58" s="123">
        <v>1.2491669999999999</v>
      </c>
      <c r="I58" s="122">
        <v>11.242502999999999</v>
      </c>
      <c r="J58" s="124">
        <f t="shared" si="0"/>
        <v>1.2491669999999999</v>
      </c>
    </row>
    <row r="59" spans="1:11" ht="15" customHeight="1" x14ac:dyDescent="0.2">
      <c r="A59" s="120" t="s">
        <v>3598</v>
      </c>
      <c r="B59" s="120" t="s">
        <v>3599</v>
      </c>
      <c r="C59" s="98" t="s">
        <v>3532</v>
      </c>
      <c r="D59" s="120" t="s">
        <v>3534</v>
      </c>
      <c r="E59" s="98">
        <v>2.4</v>
      </c>
      <c r="F59" s="120">
        <v>0</v>
      </c>
      <c r="G59" s="121">
        <v>0</v>
      </c>
      <c r="H59" s="123">
        <v>2.4</v>
      </c>
      <c r="I59" s="122">
        <v>0</v>
      </c>
      <c r="J59" s="124">
        <f t="shared" si="0"/>
        <v>2.4</v>
      </c>
    </row>
    <row r="60" spans="1:11" ht="15" customHeight="1" x14ac:dyDescent="0.2">
      <c r="A60" s="120" t="s">
        <v>3600</v>
      </c>
      <c r="B60" s="120" t="s">
        <v>3599</v>
      </c>
      <c r="C60" s="98" t="s">
        <v>3533</v>
      </c>
      <c r="D60" s="120" t="s">
        <v>3534</v>
      </c>
      <c r="E60" s="98">
        <v>0.05</v>
      </c>
      <c r="F60" s="120">
        <v>0</v>
      </c>
      <c r="G60" s="121">
        <v>1242</v>
      </c>
      <c r="H60" s="123">
        <v>0.05</v>
      </c>
      <c r="I60" s="122">
        <v>62.1</v>
      </c>
      <c r="J60" s="124">
        <f t="shared" si="0"/>
        <v>0.05</v>
      </c>
      <c r="K60" s="98" t="s">
        <v>3601</v>
      </c>
    </row>
    <row r="61" spans="1:11" ht="15" customHeight="1" x14ac:dyDescent="0.2">
      <c r="A61" s="120" t="s">
        <v>3602</v>
      </c>
      <c r="B61" s="120" t="s">
        <v>3599</v>
      </c>
      <c r="C61" s="98" t="s">
        <v>3540</v>
      </c>
      <c r="D61" s="120" t="s">
        <v>3534</v>
      </c>
      <c r="E61" s="98">
        <v>2.72</v>
      </c>
      <c r="F61" s="120">
        <v>0</v>
      </c>
      <c r="G61" s="121">
        <v>25</v>
      </c>
      <c r="H61" s="123">
        <v>2.72</v>
      </c>
      <c r="I61" s="122">
        <v>68</v>
      </c>
      <c r="J61" s="124">
        <f t="shared" si="0"/>
        <v>2.72</v>
      </c>
    </row>
    <row r="62" spans="1:11" ht="15" customHeight="1" x14ac:dyDescent="0.2">
      <c r="A62" s="120" t="s">
        <v>3603</v>
      </c>
      <c r="B62" s="120" t="s">
        <v>3604</v>
      </c>
      <c r="C62" s="98" t="s">
        <v>3533</v>
      </c>
      <c r="D62" s="120" t="s">
        <v>3534</v>
      </c>
      <c r="E62" s="98">
        <v>4.3</v>
      </c>
      <c r="F62" s="120">
        <v>0</v>
      </c>
      <c r="G62" s="121">
        <v>0</v>
      </c>
      <c r="H62" s="123">
        <v>4.3</v>
      </c>
      <c r="I62" s="122">
        <v>0</v>
      </c>
      <c r="J62" s="124">
        <f t="shared" si="0"/>
        <v>4.3</v>
      </c>
      <c r="K62" s="98" t="s">
        <v>3605</v>
      </c>
    </row>
    <row r="63" spans="1:11" ht="15" customHeight="1" x14ac:dyDescent="0.2">
      <c r="A63" s="120" t="s">
        <v>3606</v>
      </c>
      <c r="B63" s="120" t="s">
        <v>3599</v>
      </c>
      <c r="C63" s="98" t="s">
        <v>3540</v>
      </c>
      <c r="D63" s="120" t="s">
        <v>3534</v>
      </c>
      <c r="E63" s="98">
        <v>0.15840000000000001</v>
      </c>
      <c r="F63" s="120">
        <v>0</v>
      </c>
      <c r="G63" s="121">
        <v>0</v>
      </c>
      <c r="H63" s="123">
        <v>0.15840000000000001</v>
      </c>
      <c r="I63" s="122">
        <v>0</v>
      </c>
      <c r="J63" s="124">
        <f t="shared" si="0"/>
        <v>0.15840000000000001</v>
      </c>
    </row>
    <row r="64" spans="1:11" ht="15" customHeight="1" x14ac:dyDescent="0.2">
      <c r="A64" s="120" t="s">
        <v>3607</v>
      </c>
      <c r="B64" s="120" t="s">
        <v>3599</v>
      </c>
      <c r="C64" s="98" t="s">
        <v>3540</v>
      </c>
      <c r="D64" s="120" t="s">
        <v>3534</v>
      </c>
      <c r="E64" s="98">
        <v>2.1000000000000001E-2</v>
      </c>
      <c r="F64" s="120">
        <v>0</v>
      </c>
      <c r="G64" s="121">
        <v>0</v>
      </c>
      <c r="H64" s="123">
        <v>2.1000000000000001E-2</v>
      </c>
      <c r="I64" s="122">
        <v>0</v>
      </c>
      <c r="J64" s="124">
        <f t="shared" si="0"/>
        <v>2.1000000000000001E-2</v>
      </c>
    </row>
    <row r="65" spans="1:11" ht="15" customHeight="1" x14ac:dyDescent="0.2">
      <c r="A65" s="120" t="s">
        <v>3608</v>
      </c>
      <c r="B65" s="120" t="s">
        <v>3609</v>
      </c>
      <c r="C65" s="98" t="s">
        <v>3533</v>
      </c>
      <c r="D65" s="120" t="s">
        <v>3534</v>
      </c>
      <c r="E65" s="98">
        <v>0.57999999999999996</v>
      </c>
      <c r="F65" s="120">
        <v>0</v>
      </c>
      <c r="G65" s="121">
        <v>0</v>
      </c>
      <c r="H65" s="123">
        <v>0.57999999999999996</v>
      </c>
      <c r="I65" s="122">
        <v>0</v>
      </c>
      <c r="J65" s="124">
        <f t="shared" si="0"/>
        <v>0.57999999999999996</v>
      </c>
      <c r="K65" s="98" t="s">
        <v>3610</v>
      </c>
    </row>
    <row r="66" spans="1:11" ht="15" customHeight="1" x14ac:dyDescent="0.2">
      <c r="A66" s="120" t="s">
        <v>3611</v>
      </c>
      <c r="B66" s="120" t="s">
        <v>3604</v>
      </c>
      <c r="C66" s="98" t="s">
        <v>3532</v>
      </c>
      <c r="D66" s="120" t="s">
        <v>3534</v>
      </c>
      <c r="E66" s="98">
        <v>5.38</v>
      </c>
      <c r="F66" s="120">
        <v>0</v>
      </c>
      <c r="G66" s="121">
        <v>0</v>
      </c>
      <c r="H66" s="123">
        <v>5.38</v>
      </c>
      <c r="I66" s="122">
        <v>0</v>
      </c>
      <c r="J66" s="124">
        <f t="shared" ref="J66:J129" si="1">IF(D66="gm", E66*1000,+E66)</f>
        <v>5.38</v>
      </c>
    </row>
    <row r="67" spans="1:11" ht="15" customHeight="1" x14ac:dyDescent="0.2">
      <c r="A67" s="120" t="s">
        <v>3612</v>
      </c>
      <c r="B67" s="120" t="s">
        <v>3599</v>
      </c>
      <c r="C67" s="98" t="s">
        <v>3533</v>
      </c>
      <c r="D67" s="120" t="s">
        <v>3534</v>
      </c>
      <c r="E67" s="98">
        <v>7.4999999999999997E-2</v>
      </c>
      <c r="F67" s="120">
        <v>0</v>
      </c>
      <c r="G67" s="121">
        <v>3939</v>
      </c>
      <c r="H67" s="123">
        <v>7.4999999999999997E-2</v>
      </c>
      <c r="I67" s="122">
        <v>295.42500000000001</v>
      </c>
      <c r="J67" s="124">
        <f t="shared" si="1"/>
        <v>7.4999999999999997E-2</v>
      </c>
      <c r="K67" s="98" t="s">
        <v>3613</v>
      </c>
    </row>
    <row r="68" spans="1:11" ht="15" customHeight="1" x14ac:dyDescent="0.2">
      <c r="A68" s="120" t="s">
        <v>3614</v>
      </c>
      <c r="B68" s="120" t="s">
        <v>3615</v>
      </c>
      <c r="C68" s="98" t="s">
        <v>3540</v>
      </c>
      <c r="D68" s="120" t="s">
        <v>3534</v>
      </c>
      <c r="E68" s="98">
        <v>0.14000000000000001</v>
      </c>
      <c r="F68" s="120">
        <v>0</v>
      </c>
      <c r="G68" s="121">
        <v>0</v>
      </c>
      <c r="H68" s="123">
        <v>0.14000000000000001</v>
      </c>
      <c r="I68" s="122">
        <v>0</v>
      </c>
      <c r="J68" s="124">
        <f t="shared" si="1"/>
        <v>0.14000000000000001</v>
      </c>
    </row>
    <row r="69" spans="1:11" ht="15" customHeight="1" x14ac:dyDescent="0.2">
      <c r="A69" s="120" t="s">
        <v>3616</v>
      </c>
      <c r="B69" s="120" t="s">
        <v>3615</v>
      </c>
      <c r="C69" s="98" t="s">
        <v>3540</v>
      </c>
      <c r="D69" s="120" t="s">
        <v>3534</v>
      </c>
      <c r="E69" s="98">
        <v>0.32808399999999999</v>
      </c>
      <c r="F69" s="120">
        <v>0</v>
      </c>
      <c r="G69" s="121">
        <v>0</v>
      </c>
      <c r="H69" s="123">
        <v>0.32808399999999999</v>
      </c>
      <c r="I69" s="122">
        <v>0</v>
      </c>
      <c r="J69" s="124">
        <f t="shared" si="1"/>
        <v>0.32808399999999999</v>
      </c>
    </row>
    <row r="70" spans="1:11" ht="15" customHeight="1" x14ac:dyDescent="0.2">
      <c r="A70" s="120" t="s">
        <v>3617</v>
      </c>
      <c r="B70" s="120" t="s">
        <v>3615</v>
      </c>
      <c r="C70" s="98" t="s">
        <v>3540</v>
      </c>
      <c r="D70" s="120" t="s">
        <v>3534</v>
      </c>
      <c r="E70" s="98">
        <v>0.1</v>
      </c>
      <c r="F70" s="120">
        <v>0</v>
      </c>
      <c r="G70" s="121">
        <v>0</v>
      </c>
      <c r="H70" s="123">
        <v>0.1</v>
      </c>
      <c r="I70" s="122">
        <v>0</v>
      </c>
      <c r="J70" s="124">
        <f t="shared" si="1"/>
        <v>0.1</v>
      </c>
    </row>
    <row r="71" spans="1:11" ht="15" customHeight="1" x14ac:dyDescent="0.2">
      <c r="A71" s="120" t="s">
        <v>3618</v>
      </c>
      <c r="B71" s="120" t="s">
        <v>3532</v>
      </c>
      <c r="C71" s="98" t="s">
        <v>3532</v>
      </c>
      <c r="D71" s="120" t="s">
        <v>3534</v>
      </c>
      <c r="E71" s="98">
        <v>0</v>
      </c>
      <c r="F71" s="120">
        <v>0</v>
      </c>
      <c r="G71" s="121">
        <v>0</v>
      </c>
      <c r="H71" s="123">
        <v>0</v>
      </c>
      <c r="I71" s="122">
        <v>0</v>
      </c>
      <c r="J71" s="124">
        <f t="shared" si="1"/>
        <v>0</v>
      </c>
    </row>
    <row r="72" spans="1:11" ht="15" customHeight="1" x14ac:dyDescent="0.2">
      <c r="A72" s="120" t="s">
        <v>3619</v>
      </c>
      <c r="B72" s="120" t="s">
        <v>3620</v>
      </c>
      <c r="C72" s="98" t="s">
        <v>3533</v>
      </c>
      <c r="D72" s="120" t="s">
        <v>3534</v>
      </c>
      <c r="E72" s="98">
        <v>0.19297619047619002</v>
      </c>
      <c r="F72" s="120">
        <v>0</v>
      </c>
      <c r="G72" s="121">
        <v>4099</v>
      </c>
      <c r="H72" s="123">
        <v>0.19</v>
      </c>
      <c r="I72" s="122">
        <v>778.81000000000006</v>
      </c>
      <c r="J72" s="124">
        <f t="shared" si="1"/>
        <v>0.19297619047619002</v>
      </c>
      <c r="K72" s="98" t="s">
        <v>3621</v>
      </c>
    </row>
    <row r="73" spans="1:11" ht="15" customHeight="1" x14ac:dyDescent="0.2">
      <c r="A73" s="120" t="s">
        <v>3622</v>
      </c>
      <c r="B73" s="120" t="s">
        <v>3623</v>
      </c>
      <c r="C73" s="98" t="s">
        <v>3533</v>
      </c>
      <c r="D73" s="120" t="s">
        <v>3534</v>
      </c>
      <c r="E73" s="98">
        <v>0.185</v>
      </c>
      <c r="F73" s="120">
        <v>0</v>
      </c>
      <c r="G73" s="121">
        <v>379</v>
      </c>
      <c r="H73" s="123">
        <v>0.185</v>
      </c>
      <c r="I73" s="122">
        <v>70.114999999999995</v>
      </c>
      <c r="J73" s="124">
        <f t="shared" si="1"/>
        <v>0.185</v>
      </c>
    </row>
    <row r="74" spans="1:11" ht="15" customHeight="1" x14ac:dyDescent="0.2">
      <c r="A74" s="120" t="s">
        <v>3624</v>
      </c>
      <c r="B74" s="120" t="s">
        <v>3625</v>
      </c>
      <c r="C74" s="98" t="s">
        <v>3533</v>
      </c>
      <c r="D74" s="120" t="s">
        <v>3534</v>
      </c>
      <c r="E74" s="98">
        <v>6.2169981060606096E-2</v>
      </c>
      <c r="F74" s="120">
        <v>0</v>
      </c>
      <c r="G74" s="121">
        <v>9040</v>
      </c>
      <c r="H74" s="123">
        <v>6.2170000000000003E-2</v>
      </c>
      <c r="I74" s="122">
        <v>562.01679999999999</v>
      </c>
      <c r="J74" s="124">
        <f t="shared" si="1"/>
        <v>6.2169981060606096E-2</v>
      </c>
    </row>
    <row r="75" spans="1:11" ht="15" customHeight="1" x14ac:dyDescent="0.2">
      <c r="A75" s="120" t="s">
        <v>3626</v>
      </c>
      <c r="B75" s="120" t="s">
        <v>3627</v>
      </c>
      <c r="C75" s="98" t="s">
        <v>3533</v>
      </c>
      <c r="D75" s="120" t="s">
        <v>3534</v>
      </c>
      <c r="E75" s="98">
        <v>0.84620039682539694</v>
      </c>
      <c r="F75" s="120">
        <v>0</v>
      </c>
      <c r="G75" s="121">
        <v>15914</v>
      </c>
      <c r="H75" s="123">
        <v>0.84619999999999995</v>
      </c>
      <c r="I75" s="122">
        <v>13466.426799999999</v>
      </c>
      <c r="J75" s="124">
        <f t="shared" si="1"/>
        <v>0.84620039682539694</v>
      </c>
    </row>
    <row r="76" spans="1:11" ht="15" customHeight="1" x14ac:dyDescent="0.2">
      <c r="A76" s="120" t="s">
        <v>3628</v>
      </c>
      <c r="B76" s="120" t="s">
        <v>3629</v>
      </c>
      <c r="C76" s="98" t="s">
        <v>3533</v>
      </c>
      <c r="D76" s="120" t="s">
        <v>3534</v>
      </c>
      <c r="E76" s="98">
        <v>0.12249</v>
      </c>
      <c r="F76" s="120">
        <v>0</v>
      </c>
      <c r="G76" s="121">
        <v>7625</v>
      </c>
      <c r="H76" s="123">
        <v>0.12249</v>
      </c>
      <c r="I76" s="122">
        <v>933.98625000000004</v>
      </c>
      <c r="J76" s="124">
        <f t="shared" si="1"/>
        <v>0.12249</v>
      </c>
      <c r="K76" s="98" t="s">
        <v>3630</v>
      </c>
    </row>
    <row r="77" spans="1:11" ht="15" customHeight="1" x14ac:dyDescent="0.2">
      <c r="A77" s="120" t="s">
        <v>3631</v>
      </c>
      <c r="B77" s="120" t="s">
        <v>3632</v>
      </c>
      <c r="C77" s="98" t="s">
        <v>3533</v>
      </c>
      <c r="D77" s="120" t="s">
        <v>3534</v>
      </c>
      <c r="E77" s="98">
        <v>0.36959999999999998</v>
      </c>
      <c r="F77" s="120">
        <v>0</v>
      </c>
      <c r="G77" s="121">
        <v>1225</v>
      </c>
      <c r="H77" s="123">
        <v>0.36959999999999998</v>
      </c>
      <c r="I77" s="122">
        <v>452.76</v>
      </c>
      <c r="J77" s="124">
        <f t="shared" si="1"/>
        <v>0.36959999999999998</v>
      </c>
      <c r="K77" s="98" t="s">
        <v>3633</v>
      </c>
    </row>
    <row r="78" spans="1:11" ht="15" customHeight="1" x14ac:dyDescent="0.2">
      <c r="A78" s="120" t="s">
        <v>3634</v>
      </c>
      <c r="B78" s="120" t="s">
        <v>3635</v>
      </c>
      <c r="C78" s="98" t="s">
        <v>3533</v>
      </c>
      <c r="D78" s="120" t="s">
        <v>3534</v>
      </c>
      <c r="E78" s="98">
        <v>0.44672000000000001</v>
      </c>
      <c r="F78" s="120">
        <v>0</v>
      </c>
      <c r="G78" s="121">
        <v>0</v>
      </c>
      <c r="H78" s="123">
        <v>0.44672000000000001</v>
      </c>
      <c r="I78" s="122">
        <v>0</v>
      </c>
      <c r="J78" s="124">
        <f t="shared" si="1"/>
        <v>0.44672000000000001</v>
      </c>
    </row>
    <row r="79" spans="1:11" ht="15" customHeight="1" x14ac:dyDescent="0.2">
      <c r="A79" s="120" t="s">
        <v>3636</v>
      </c>
      <c r="B79" s="120" t="s">
        <v>3532</v>
      </c>
      <c r="C79" s="98" t="s">
        <v>3533</v>
      </c>
      <c r="D79" s="120" t="s">
        <v>3534</v>
      </c>
      <c r="E79" s="98">
        <v>0.28589999999999999</v>
      </c>
      <c r="F79" s="120">
        <v>0</v>
      </c>
      <c r="G79" s="121">
        <v>0</v>
      </c>
      <c r="H79" s="123">
        <v>0.28589999999999999</v>
      </c>
      <c r="I79" s="122">
        <v>0</v>
      </c>
      <c r="J79" s="124">
        <f t="shared" si="1"/>
        <v>0.28589999999999999</v>
      </c>
    </row>
    <row r="80" spans="1:11" ht="15" customHeight="1" x14ac:dyDescent="0.2">
      <c r="A80" s="120" t="s">
        <v>3637</v>
      </c>
      <c r="B80" s="120" t="s">
        <v>3532</v>
      </c>
      <c r="C80" s="98" t="s">
        <v>3533</v>
      </c>
      <c r="D80" s="120" t="s">
        <v>3534</v>
      </c>
      <c r="E80" s="98">
        <v>0.47395999999999999</v>
      </c>
      <c r="F80" s="120">
        <v>0</v>
      </c>
      <c r="G80" s="121">
        <v>0</v>
      </c>
      <c r="H80" s="123">
        <v>0.47395999999999999</v>
      </c>
      <c r="I80" s="122">
        <v>0</v>
      </c>
      <c r="J80" s="124">
        <f t="shared" si="1"/>
        <v>0.47395999999999999</v>
      </c>
    </row>
    <row r="81" spans="1:11" ht="15" customHeight="1" x14ac:dyDescent="0.2">
      <c r="A81" s="120" t="s">
        <v>3638</v>
      </c>
      <c r="B81" s="120" t="s">
        <v>3532</v>
      </c>
      <c r="C81" s="98" t="s">
        <v>3532</v>
      </c>
      <c r="D81" s="120" t="s">
        <v>3534</v>
      </c>
      <c r="E81" s="98">
        <v>0.13500000000000001</v>
      </c>
      <c r="F81" s="120">
        <v>0</v>
      </c>
      <c r="G81" s="121">
        <v>0</v>
      </c>
      <c r="H81" s="123">
        <v>0.13500000000000001</v>
      </c>
      <c r="I81" s="122">
        <v>0</v>
      </c>
      <c r="J81" s="124">
        <f t="shared" si="1"/>
        <v>0.13500000000000001</v>
      </c>
    </row>
    <row r="82" spans="1:11" ht="15" customHeight="1" x14ac:dyDescent="0.2">
      <c r="A82" s="120" t="s">
        <v>3639</v>
      </c>
      <c r="B82" s="120" t="s">
        <v>3632</v>
      </c>
      <c r="C82" s="98" t="s">
        <v>3533</v>
      </c>
      <c r="D82" s="120" t="s">
        <v>3534</v>
      </c>
      <c r="E82" s="98">
        <v>0.26145833333333302</v>
      </c>
      <c r="F82" s="120">
        <v>0</v>
      </c>
      <c r="G82" s="121">
        <v>1501</v>
      </c>
      <c r="H82" s="123">
        <v>0.26145800000000002</v>
      </c>
      <c r="I82" s="122">
        <v>392.44845800000002</v>
      </c>
      <c r="J82" s="124">
        <f t="shared" si="1"/>
        <v>0.26145833333333302</v>
      </c>
      <c r="K82" s="98" t="s">
        <v>3640</v>
      </c>
    </row>
    <row r="83" spans="1:11" ht="15" customHeight="1" x14ac:dyDescent="0.2">
      <c r="A83" s="120" t="s">
        <v>3641</v>
      </c>
      <c r="B83" s="120" t="s">
        <v>3532</v>
      </c>
      <c r="C83" s="98" t="s">
        <v>3533</v>
      </c>
      <c r="D83" s="120" t="s">
        <v>3534</v>
      </c>
      <c r="E83" s="98">
        <v>8.7999999999999995E-2</v>
      </c>
      <c r="F83" s="120">
        <v>0</v>
      </c>
      <c r="G83" s="121">
        <v>0</v>
      </c>
      <c r="H83" s="123">
        <v>8.7999999999999995E-2</v>
      </c>
      <c r="I83" s="122">
        <v>0</v>
      </c>
      <c r="J83" s="124">
        <f t="shared" si="1"/>
        <v>8.7999999999999995E-2</v>
      </c>
    </row>
    <row r="84" spans="1:11" ht="15" customHeight="1" x14ac:dyDescent="0.2">
      <c r="A84" s="120" t="s">
        <v>3642</v>
      </c>
      <c r="B84" s="120" t="s">
        <v>3643</v>
      </c>
      <c r="C84" s="98" t="s">
        <v>3533</v>
      </c>
      <c r="D84" s="120" t="s">
        <v>3534</v>
      </c>
      <c r="E84" s="98">
        <v>0.59499999999999997</v>
      </c>
      <c r="F84" s="120">
        <v>0</v>
      </c>
      <c r="G84" s="121">
        <v>108</v>
      </c>
      <c r="H84" s="123">
        <v>0.59499999999999997</v>
      </c>
      <c r="I84" s="122">
        <v>64.259999999999991</v>
      </c>
      <c r="J84" s="124">
        <f t="shared" si="1"/>
        <v>0.59499999999999997</v>
      </c>
      <c r="K84" s="98" t="s">
        <v>3644</v>
      </c>
    </row>
    <row r="85" spans="1:11" ht="15" customHeight="1" x14ac:dyDescent="0.2">
      <c r="A85" s="120" t="s">
        <v>3645</v>
      </c>
      <c r="B85" s="120" t="s">
        <v>3532</v>
      </c>
      <c r="C85" s="98" t="s">
        <v>3532</v>
      </c>
      <c r="D85" s="120" t="s">
        <v>3534</v>
      </c>
      <c r="E85" s="98">
        <v>0.69499999999999995</v>
      </c>
      <c r="F85" s="120">
        <v>0</v>
      </c>
      <c r="G85" s="121">
        <v>0</v>
      </c>
      <c r="H85" s="123">
        <v>0.69499999999999995</v>
      </c>
      <c r="I85" s="122">
        <v>0</v>
      </c>
      <c r="J85" s="124">
        <f t="shared" si="1"/>
        <v>0.69499999999999995</v>
      </c>
    </row>
    <row r="86" spans="1:11" ht="15" customHeight="1" x14ac:dyDescent="0.2">
      <c r="A86" s="120" t="s">
        <v>3646</v>
      </c>
      <c r="B86" s="120" t="s">
        <v>3620</v>
      </c>
      <c r="C86" s="98" t="s">
        <v>3566</v>
      </c>
      <c r="D86" s="120" t="s">
        <v>3534</v>
      </c>
      <c r="E86" s="98">
        <v>0.16700000000000001</v>
      </c>
      <c r="F86" s="120">
        <v>0</v>
      </c>
      <c r="G86" s="121">
        <v>0</v>
      </c>
      <c r="H86" s="123">
        <v>0.16700000000000001</v>
      </c>
      <c r="I86" s="122">
        <v>0</v>
      </c>
      <c r="J86" s="124">
        <f t="shared" si="1"/>
        <v>0.16700000000000001</v>
      </c>
    </row>
    <row r="87" spans="1:11" ht="15" customHeight="1" x14ac:dyDescent="0.2">
      <c r="A87" s="120" t="s">
        <v>3647</v>
      </c>
      <c r="B87" s="120" t="s">
        <v>3632</v>
      </c>
      <c r="C87" s="98" t="s">
        <v>3533</v>
      </c>
      <c r="D87" s="120" t="s">
        <v>3534</v>
      </c>
      <c r="E87" s="98">
        <v>0.129979929161747</v>
      </c>
      <c r="F87" s="120">
        <v>0</v>
      </c>
      <c r="G87" s="121">
        <v>6452</v>
      </c>
      <c r="H87" s="123">
        <v>0.12998000000000001</v>
      </c>
      <c r="I87" s="122">
        <v>838.63096000000007</v>
      </c>
      <c r="J87" s="124">
        <f t="shared" si="1"/>
        <v>0.129979929161747</v>
      </c>
      <c r="K87" s="98" t="s">
        <v>3648</v>
      </c>
    </row>
    <row r="88" spans="1:11" ht="15" customHeight="1" x14ac:dyDescent="0.2">
      <c r="A88" s="120" t="s">
        <v>3649</v>
      </c>
      <c r="B88" s="120" t="s">
        <v>3632</v>
      </c>
      <c r="C88" s="98" t="s">
        <v>3533</v>
      </c>
      <c r="D88" s="120" t="s">
        <v>3534</v>
      </c>
      <c r="E88" s="98">
        <v>0.30325000000000002</v>
      </c>
      <c r="F88" s="120">
        <v>0</v>
      </c>
      <c r="G88" s="121">
        <v>694</v>
      </c>
      <c r="H88" s="123">
        <v>0.30325000000000002</v>
      </c>
      <c r="I88" s="122">
        <v>210.4555</v>
      </c>
      <c r="J88" s="124">
        <f t="shared" si="1"/>
        <v>0.30325000000000002</v>
      </c>
      <c r="K88" s="98" t="s">
        <v>3650</v>
      </c>
    </row>
    <row r="89" spans="1:11" ht="15" customHeight="1" x14ac:dyDescent="0.2">
      <c r="A89" s="120" t="s">
        <v>3651</v>
      </c>
      <c r="B89" s="120" t="s">
        <v>3532</v>
      </c>
      <c r="C89" s="98" t="s">
        <v>3533</v>
      </c>
      <c r="D89" s="120" t="s">
        <v>3534</v>
      </c>
      <c r="E89" s="98">
        <v>0.46</v>
      </c>
      <c r="F89" s="120">
        <v>0</v>
      </c>
      <c r="G89" s="121">
        <v>552</v>
      </c>
      <c r="H89" s="123">
        <v>0.46</v>
      </c>
      <c r="I89" s="122">
        <v>253.92000000000002</v>
      </c>
      <c r="J89" s="124">
        <f t="shared" si="1"/>
        <v>0.46</v>
      </c>
    </row>
    <row r="90" spans="1:11" ht="15" customHeight="1" x14ac:dyDescent="0.2">
      <c r="A90" s="120" t="s">
        <v>3652</v>
      </c>
      <c r="B90" s="120" t="s">
        <v>3620</v>
      </c>
      <c r="C90" s="98" t="s">
        <v>3532</v>
      </c>
      <c r="D90" s="120" t="s">
        <v>3534</v>
      </c>
      <c r="E90" s="98">
        <v>0.111</v>
      </c>
      <c r="F90" s="120">
        <v>0</v>
      </c>
      <c r="G90" s="121">
        <v>0</v>
      </c>
      <c r="H90" s="123">
        <v>0.111</v>
      </c>
      <c r="I90" s="122">
        <v>0</v>
      </c>
      <c r="J90" s="124">
        <f t="shared" si="1"/>
        <v>0.111</v>
      </c>
    </row>
    <row r="91" spans="1:11" ht="15" customHeight="1" x14ac:dyDescent="0.2">
      <c r="A91" s="120" t="s">
        <v>3653</v>
      </c>
      <c r="B91" s="120" t="s">
        <v>3532</v>
      </c>
      <c r="C91" s="98" t="s">
        <v>3533</v>
      </c>
      <c r="D91" s="120" t="s">
        <v>3534</v>
      </c>
      <c r="E91" s="98">
        <v>0.19408</v>
      </c>
      <c r="F91" s="120">
        <v>0</v>
      </c>
      <c r="G91" s="121">
        <v>0</v>
      </c>
      <c r="H91" s="123">
        <v>0.19408</v>
      </c>
      <c r="I91" s="122">
        <v>0</v>
      </c>
      <c r="J91" s="124">
        <f t="shared" si="1"/>
        <v>0.19408</v>
      </c>
    </row>
    <row r="92" spans="1:11" ht="15" customHeight="1" x14ac:dyDescent="0.2">
      <c r="A92" s="120" t="s">
        <v>3654</v>
      </c>
      <c r="B92" s="120" t="s">
        <v>3655</v>
      </c>
      <c r="C92" s="98" t="s">
        <v>3566</v>
      </c>
      <c r="D92" s="120" t="s">
        <v>3534</v>
      </c>
      <c r="E92" s="98">
        <v>0.19408</v>
      </c>
      <c r="F92" s="120">
        <v>0</v>
      </c>
      <c r="G92" s="121">
        <v>0</v>
      </c>
      <c r="H92" s="123">
        <v>0.19408</v>
      </c>
      <c r="I92" s="122">
        <v>0</v>
      </c>
      <c r="J92" s="124">
        <f t="shared" si="1"/>
        <v>0.19408</v>
      </c>
    </row>
    <row r="93" spans="1:11" ht="15" customHeight="1" x14ac:dyDescent="0.2">
      <c r="A93" s="120" t="s">
        <v>3656</v>
      </c>
      <c r="B93" s="120" t="s">
        <v>3643</v>
      </c>
      <c r="C93" s="98" t="s">
        <v>3533</v>
      </c>
      <c r="D93" s="120" t="s">
        <v>3534</v>
      </c>
      <c r="E93" s="98">
        <v>0.13539999999999999</v>
      </c>
      <c r="F93" s="120">
        <v>0</v>
      </c>
      <c r="G93" s="121">
        <v>0</v>
      </c>
      <c r="H93" s="123">
        <v>0.13539999999999999</v>
      </c>
      <c r="I93" s="122">
        <v>0</v>
      </c>
      <c r="J93" s="124">
        <f t="shared" si="1"/>
        <v>0.13539999999999999</v>
      </c>
    </row>
    <row r="94" spans="1:11" ht="15" customHeight="1" x14ac:dyDescent="0.2">
      <c r="A94" s="120" t="s">
        <v>3657</v>
      </c>
      <c r="B94" s="120" t="s">
        <v>3620</v>
      </c>
      <c r="C94" s="98" t="s">
        <v>3533</v>
      </c>
      <c r="D94" s="120" t="s">
        <v>3534</v>
      </c>
      <c r="E94" s="98">
        <v>0.16250000000000001</v>
      </c>
      <c r="F94" s="120">
        <v>0</v>
      </c>
      <c r="G94" s="121">
        <v>9828</v>
      </c>
      <c r="H94" s="123">
        <v>0.16250000000000001</v>
      </c>
      <c r="I94" s="122">
        <v>1597.05</v>
      </c>
      <c r="J94" s="124">
        <f t="shared" si="1"/>
        <v>0.16250000000000001</v>
      </c>
      <c r="K94" s="98" t="s">
        <v>3658</v>
      </c>
    </row>
    <row r="95" spans="1:11" ht="15" customHeight="1" x14ac:dyDescent="0.2">
      <c r="A95" s="120" t="s">
        <v>3659</v>
      </c>
      <c r="B95" s="120" t="s">
        <v>3620</v>
      </c>
      <c r="C95" s="98" t="s">
        <v>3532</v>
      </c>
      <c r="D95" s="120" t="s">
        <v>3534</v>
      </c>
      <c r="E95" s="98">
        <v>0.16600000000000001</v>
      </c>
      <c r="F95" s="120">
        <v>0</v>
      </c>
      <c r="G95" s="121">
        <v>228</v>
      </c>
      <c r="H95" s="123">
        <v>0.16600000000000001</v>
      </c>
      <c r="I95" s="122">
        <v>37.847999999999999</v>
      </c>
      <c r="J95" s="124">
        <f t="shared" si="1"/>
        <v>0.16600000000000001</v>
      </c>
    </row>
    <row r="96" spans="1:11" ht="15" customHeight="1" x14ac:dyDescent="0.2">
      <c r="A96" s="120" t="s">
        <v>3660</v>
      </c>
      <c r="B96" s="120" t="s">
        <v>3620</v>
      </c>
      <c r="C96" s="98" t="s">
        <v>3566</v>
      </c>
      <c r="D96" s="120" t="s">
        <v>3534</v>
      </c>
      <c r="E96" s="98">
        <v>0.53500000000000003</v>
      </c>
      <c r="F96" s="120">
        <v>0</v>
      </c>
      <c r="G96" s="121">
        <v>181</v>
      </c>
      <c r="H96" s="123">
        <v>0.53500000000000003</v>
      </c>
      <c r="I96" s="122">
        <v>96.835000000000008</v>
      </c>
      <c r="J96" s="124">
        <f t="shared" si="1"/>
        <v>0.53500000000000003</v>
      </c>
    </row>
    <row r="97" spans="1:11" ht="15" customHeight="1" x14ac:dyDescent="0.2">
      <c r="A97" s="120" t="s">
        <v>3661</v>
      </c>
      <c r="B97" s="120" t="s">
        <v>3620</v>
      </c>
      <c r="C97" s="98" t="s">
        <v>3566</v>
      </c>
      <c r="D97" s="120" t="s">
        <v>3534</v>
      </c>
      <c r="E97" s="98">
        <v>0.45500000000000002</v>
      </c>
      <c r="F97" s="120">
        <v>0</v>
      </c>
      <c r="G97" s="121">
        <v>0</v>
      </c>
      <c r="H97" s="123">
        <v>0.45500000000000002</v>
      </c>
      <c r="I97" s="122">
        <v>0</v>
      </c>
      <c r="J97" s="124">
        <f t="shared" si="1"/>
        <v>0.45500000000000002</v>
      </c>
    </row>
    <row r="98" spans="1:11" ht="15" customHeight="1" x14ac:dyDescent="0.2">
      <c r="A98" s="120" t="s">
        <v>3662</v>
      </c>
      <c r="B98" s="120" t="s">
        <v>3620</v>
      </c>
      <c r="C98" s="98" t="s">
        <v>3532</v>
      </c>
      <c r="D98" s="120" t="s">
        <v>3534</v>
      </c>
      <c r="E98" s="98">
        <v>0.49</v>
      </c>
      <c r="F98" s="120">
        <v>0</v>
      </c>
      <c r="G98" s="121">
        <v>0</v>
      </c>
      <c r="H98" s="123">
        <v>0.49</v>
      </c>
      <c r="I98" s="122">
        <v>0</v>
      </c>
      <c r="J98" s="124">
        <f t="shared" si="1"/>
        <v>0.49</v>
      </c>
    </row>
    <row r="99" spans="1:11" ht="15" customHeight="1" x14ac:dyDescent="0.2">
      <c r="A99" s="120" t="s">
        <v>3663</v>
      </c>
      <c r="B99" s="120" t="s">
        <v>3625</v>
      </c>
      <c r="C99" s="98" t="s">
        <v>3532</v>
      </c>
      <c r="D99" s="120" t="s">
        <v>3534</v>
      </c>
      <c r="E99" s="98">
        <v>0.68</v>
      </c>
      <c r="F99" s="120">
        <v>0</v>
      </c>
      <c r="G99" s="121">
        <v>156</v>
      </c>
      <c r="H99" s="123">
        <v>0.68</v>
      </c>
      <c r="I99" s="122">
        <v>106.08000000000001</v>
      </c>
      <c r="J99" s="124">
        <f t="shared" si="1"/>
        <v>0.68</v>
      </c>
    </row>
    <row r="100" spans="1:11" ht="15" customHeight="1" x14ac:dyDescent="0.2">
      <c r="A100" s="120" t="s">
        <v>3664</v>
      </c>
      <c r="B100" s="120" t="s">
        <v>3632</v>
      </c>
      <c r="C100" s="98" t="s">
        <v>3533</v>
      </c>
      <c r="D100" s="120" t="s">
        <v>3534</v>
      </c>
      <c r="E100" s="98">
        <v>0.59899999999999998</v>
      </c>
      <c r="F100" s="120">
        <v>20000</v>
      </c>
      <c r="G100" s="121">
        <v>55838</v>
      </c>
      <c r="H100" s="123">
        <v>0.38</v>
      </c>
      <c r="I100" s="122">
        <v>21218.44</v>
      </c>
      <c r="J100" s="124">
        <f t="shared" si="1"/>
        <v>0.59899999999999998</v>
      </c>
      <c r="K100" s="98" t="s">
        <v>3665</v>
      </c>
    </row>
    <row r="101" spans="1:11" ht="15" customHeight="1" x14ac:dyDescent="0.2">
      <c r="A101" s="120" t="s">
        <v>3666</v>
      </c>
      <c r="B101" s="120" t="s">
        <v>3532</v>
      </c>
      <c r="C101" s="98" t="s">
        <v>3533</v>
      </c>
      <c r="D101" s="120" t="s">
        <v>3534</v>
      </c>
      <c r="E101" s="98">
        <v>0.13800000000000001</v>
      </c>
      <c r="F101" s="120">
        <v>0</v>
      </c>
      <c r="G101" s="121">
        <v>212</v>
      </c>
      <c r="H101" s="123">
        <v>0.13800000000000001</v>
      </c>
      <c r="I101" s="122">
        <v>29.256000000000004</v>
      </c>
      <c r="J101" s="124">
        <f t="shared" si="1"/>
        <v>0.13800000000000001</v>
      </c>
    </row>
    <row r="102" spans="1:11" ht="15" customHeight="1" x14ac:dyDescent="0.2">
      <c r="A102" s="120" t="s">
        <v>3667</v>
      </c>
      <c r="B102" s="120" t="s">
        <v>3532</v>
      </c>
      <c r="C102" s="98" t="s">
        <v>3532</v>
      </c>
      <c r="D102" s="120" t="s">
        <v>3534</v>
      </c>
      <c r="E102" s="98">
        <v>0.23930000000000001</v>
      </c>
      <c r="F102" s="120">
        <v>0</v>
      </c>
      <c r="G102" s="121">
        <v>0</v>
      </c>
      <c r="H102" s="123">
        <v>0.23930000000000001</v>
      </c>
      <c r="I102" s="122">
        <v>0</v>
      </c>
      <c r="J102" s="124">
        <f t="shared" si="1"/>
        <v>0.23930000000000001</v>
      </c>
    </row>
    <row r="103" spans="1:11" ht="15" customHeight="1" x14ac:dyDescent="0.2">
      <c r="A103" s="120" t="s">
        <v>3668</v>
      </c>
      <c r="B103" s="120" t="s">
        <v>3620</v>
      </c>
      <c r="C103" s="98" t="s">
        <v>3533</v>
      </c>
      <c r="D103" s="120" t="s">
        <v>3534</v>
      </c>
      <c r="E103" s="98">
        <v>0.20499999999999999</v>
      </c>
      <c r="F103" s="120">
        <v>0</v>
      </c>
      <c r="G103" s="121">
        <v>1283</v>
      </c>
      <c r="H103" s="123">
        <v>0.20499999999999999</v>
      </c>
      <c r="I103" s="122">
        <v>263.01499999999999</v>
      </c>
      <c r="J103" s="124">
        <f t="shared" si="1"/>
        <v>0.20499999999999999</v>
      </c>
      <c r="K103" s="98" t="s">
        <v>3669</v>
      </c>
    </row>
    <row r="104" spans="1:11" ht="15" customHeight="1" x14ac:dyDescent="0.2">
      <c r="A104" s="120" t="s">
        <v>3670</v>
      </c>
      <c r="B104" s="120" t="s">
        <v>3671</v>
      </c>
      <c r="C104" s="98" t="s">
        <v>3532</v>
      </c>
      <c r="D104" s="120" t="s">
        <v>3534</v>
      </c>
      <c r="E104" s="98">
        <v>0.189</v>
      </c>
      <c r="F104" s="120">
        <v>0</v>
      </c>
      <c r="G104" s="121">
        <v>0</v>
      </c>
      <c r="H104" s="123">
        <v>0.189</v>
      </c>
      <c r="I104" s="122">
        <v>0</v>
      </c>
      <c r="J104" s="124">
        <f t="shared" si="1"/>
        <v>0.189</v>
      </c>
    </row>
    <row r="105" spans="1:11" ht="15" customHeight="1" x14ac:dyDescent="0.2">
      <c r="A105" s="120" t="s">
        <v>3672</v>
      </c>
      <c r="B105" s="120" t="s">
        <v>3620</v>
      </c>
      <c r="C105" s="98" t="s">
        <v>3533</v>
      </c>
      <c r="D105" s="120" t="s">
        <v>3534</v>
      </c>
      <c r="E105" s="98">
        <v>0.215</v>
      </c>
      <c r="F105" s="120">
        <v>0</v>
      </c>
      <c r="G105" s="121">
        <v>256</v>
      </c>
      <c r="H105" s="123">
        <v>0.215</v>
      </c>
      <c r="I105" s="122">
        <v>55.04</v>
      </c>
      <c r="J105" s="124">
        <f t="shared" si="1"/>
        <v>0.215</v>
      </c>
      <c r="K105" s="98" t="s">
        <v>3673</v>
      </c>
    </row>
    <row r="106" spans="1:11" ht="15" customHeight="1" x14ac:dyDescent="0.2">
      <c r="A106" s="120" t="s">
        <v>3674</v>
      </c>
      <c r="B106" s="120" t="s">
        <v>3620</v>
      </c>
      <c r="C106" s="98" t="s">
        <v>3532</v>
      </c>
      <c r="D106" s="120" t="s">
        <v>3534</v>
      </c>
      <c r="E106" s="98">
        <v>0.59</v>
      </c>
      <c r="F106" s="120">
        <v>0</v>
      </c>
      <c r="G106" s="121">
        <v>0</v>
      </c>
      <c r="H106" s="123">
        <v>0.59</v>
      </c>
      <c r="I106" s="122">
        <v>0</v>
      </c>
      <c r="J106" s="124">
        <f t="shared" si="1"/>
        <v>0.59</v>
      </c>
    </row>
    <row r="107" spans="1:11" ht="15" customHeight="1" x14ac:dyDescent="0.2">
      <c r="A107" s="120" t="s">
        <v>3675</v>
      </c>
      <c r="B107" s="120" t="s">
        <v>3632</v>
      </c>
      <c r="C107" s="98" t="s">
        <v>3533</v>
      </c>
      <c r="D107" s="120" t="s">
        <v>3534</v>
      </c>
      <c r="E107" s="98">
        <v>0.23300000000000001</v>
      </c>
      <c r="F107" s="120">
        <v>0</v>
      </c>
      <c r="G107" s="121">
        <v>0</v>
      </c>
      <c r="H107" s="123">
        <v>0.23300000000000001</v>
      </c>
      <c r="I107" s="122">
        <v>0</v>
      </c>
      <c r="J107" s="124">
        <f t="shared" si="1"/>
        <v>0.23300000000000001</v>
      </c>
      <c r="K107" s="98" t="s">
        <v>3676</v>
      </c>
    </row>
    <row r="108" spans="1:11" ht="15" customHeight="1" x14ac:dyDescent="0.2">
      <c r="A108" s="120" t="s">
        <v>3677</v>
      </c>
      <c r="B108" s="120" t="s">
        <v>3532</v>
      </c>
      <c r="C108" s="98" t="s">
        <v>3533</v>
      </c>
      <c r="D108" s="120" t="s">
        <v>3534</v>
      </c>
      <c r="E108" s="98">
        <v>0.15887999999999999</v>
      </c>
      <c r="F108" s="120">
        <v>0</v>
      </c>
      <c r="G108" s="121">
        <v>0</v>
      </c>
      <c r="H108" s="123">
        <v>0.15887999999999999</v>
      </c>
      <c r="I108" s="122">
        <v>0</v>
      </c>
      <c r="J108" s="124">
        <f t="shared" si="1"/>
        <v>0.15887999999999999</v>
      </c>
    </row>
    <row r="109" spans="1:11" ht="15" customHeight="1" x14ac:dyDescent="0.2">
      <c r="A109" s="120" t="s">
        <v>3678</v>
      </c>
      <c r="B109" s="120" t="s">
        <v>3532</v>
      </c>
      <c r="C109" s="98" t="s">
        <v>3532</v>
      </c>
      <c r="D109" s="120" t="s">
        <v>3534</v>
      </c>
      <c r="E109" s="98">
        <v>0.23</v>
      </c>
      <c r="F109" s="120">
        <v>0</v>
      </c>
      <c r="G109" s="121">
        <v>0</v>
      </c>
      <c r="H109" s="123">
        <v>0.23</v>
      </c>
      <c r="I109" s="122">
        <v>0</v>
      </c>
      <c r="J109" s="124">
        <f t="shared" si="1"/>
        <v>0.23</v>
      </c>
    </row>
    <row r="110" spans="1:11" ht="15" customHeight="1" x14ac:dyDescent="0.2">
      <c r="A110" s="120" t="s">
        <v>3679</v>
      </c>
      <c r="B110" s="120" t="s">
        <v>3532</v>
      </c>
      <c r="C110" s="98" t="s">
        <v>3533</v>
      </c>
      <c r="D110" s="120" t="s">
        <v>3534</v>
      </c>
      <c r="E110" s="98">
        <v>0.21299999999999999</v>
      </c>
      <c r="F110" s="120">
        <v>0</v>
      </c>
      <c r="G110" s="121">
        <v>0</v>
      </c>
      <c r="H110" s="123">
        <v>0.21299999999999999</v>
      </c>
      <c r="I110" s="122">
        <v>0</v>
      </c>
      <c r="J110" s="124">
        <f t="shared" si="1"/>
        <v>0.21299999999999999</v>
      </c>
    </row>
    <row r="111" spans="1:11" ht="15" customHeight="1" x14ac:dyDescent="0.2">
      <c r="A111" s="120" t="s">
        <v>3680</v>
      </c>
      <c r="B111" s="120" t="s">
        <v>3623</v>
      </c>
      <c r="C111" s="98" t="s">
        <v>3533</v>
      </c>
      <c r="D111" s="120" t="s">
        <v>3534</v>
      </c>
      <c r="E111" s="98">
        <v>0.2</v>
      </c>
      <c r="F111" s="120">
        <v>0</v>
      </c>
      <c r="G111" s="121">
        <v>12130</v>
      </c>
      <c r="H111" s="123">
        <v>0.2</v>
      </c>
      <c r="I111" s="122">
        <v>2426</v>
      </c>
      <c r="J111" s="124">
        <f t="shared" si="1"/>
        <v>0.2</v>
      </c>
      <c r="K111" s="98" t="s">
        <v>3681</v>
      </c>
    </row>
    <row r="112" spans="1:11" ht="15" customHeight="1" x14ac:dyDescent="0.2">
      <c r="A112" s="120" t="s">
        <v>3682</v>
      </c>
      <c r="B112" s="120" t="s">
        <v>3632</v>
      </c>
      <c r="C112" s="98" t="s">
        <v>3533</v>
      </c>
      <c r="D112" s="120" t="s">
        <v>3534</v>
      </c>
      <c r="E112" s="98">
        <v>0.40500000000000003</v>
      </c>
      <c r="F112" s="120">
        <v>0</v>
      </c>
      <c r="G112" s="121">
        <v>50400</v>
      </c>
      <c r="H112" s="123">
        <v>0.40500000000000003</v>
      </c>
      <c r="I112" s="122">
        <v>20412</v>
      </c>
      <c r="J112" s="124">
        <f t="shared" si="1"/>
        <v>0.40500000000000003</v>
      </c>
      <c r="K112" s="98" t="s">
        <v>3683</v>
      </c>
    </row>
    <row r="113" spans="1:11" ht="15" customHeight="1" x14ac:dyDescent="0.2">
      <c r="A113" s="120" t="s">
        <v>3684</v>
      </c>
      <c r="B113" s="120" t="s">
        <v>3620</v>
      </c>
      <c r="C113" s="98" t="s">
        <v>3533</v>
      </c>
      <c r="D113" s="120" t="s">
        <v>3534</v>
      </c>
      <c r="E113" s="98">
        <v>0.30499999999999999</v>
      </c>
      <c r="F113" s="120">
        <v>0</v>
      </c>
      <c r="G113" s="121">
        <v>0</v>
      </c>
      <c r="H113" s="123">
        <v>0.30499999999999999</v>
      </c>
      <c r="I113" s="122">
        <v>0</v>
      </c>
      <c r="J113" s="124">
        <f t="shared" si="1"/>
        <v>0.30499999999999999</v>
      </c>
      <c r="K113" s="98" t="s">
        <v>3685</v>
      </c>
    </row>
    <row r="114" spans="1:11" ht="15" customHeight="1" x14ac:dyDescent="0.2">
      <c r="A114" s="120" t="s">
        <v>3686</v>
      </c>
      <c r="B114" s="120" t="s">
        <v>3643</v>
      </c>
      <c r="C114" s="98" t="s">
        <v>3532</v>
      </c>
      <c r="D114" s="120" t="s">
        <v>3534</v>
      </c>
      <c r="E114" s="98">
        <v>0.20030999999999999</v>
      </c>
      <c r="F114" s="120">
        <v>0</v>
      </c>
      <c r="G114" s="121">
        <v>0</v>
      </c>
      <c r="H114" s="123">
        <v>0.20030999999999999</v>
      </c>
      <c r="I114" s="122">
        <v>0</v>
      </c>
      <c r="J114" s="124">
        <f t="shared" si="1"/>
        <v>0.20030999999999999</v>
      </c>
    </row>
    <row r="115" spans="1:11" ht="15" customHeight="1" x14ac:dyDescent="0.2">
      <c r="A115" s="120" t="s">
        <v>3687</v>
      </c>
      <c r="B115" s="120" t="s">
        <v>3632</v>
      </c>
      <c r="C115" s="98" t="s">
        <v>3533</v>
      </c>
      <c r="D115" s="120" t="s">
        <v>3534</v>
      </c>
      <c r="E115" s="98">
        <v>0.21099999999999999</v>
      </c>
      <c r="F115" s="120">
        <v>0</v>
      </c>
      <c r="G115" s="121">
        <v>5402</v>
      </c>
      <c r="H115" s="123">
        <v>0.21099999999999999</v>
      </c>
      <c r="I115" s="122">
        <v>1139.8219999999999</v>
      </c>
      <c r="J115" s="124">
        <f t="shared" si="1"/>
        <v>0.21099999999999999</v>
      </c>
      <c r="K115" s="98" t="s">
        <v>3688</v>
      </c>
    </row>
    <row r="116" spans="1:11" ht="15" customHeight="1" x14ac:dyDescent="0.2">
      <c r="A116" s="120" t="s">
        <v>3689</v>
      </c>
      <c r="B116" s="120" t="s">
        <v>3643</v>
      </c>
      <c r="C116" s="98" t="s">
        <v>3533</v>
      </c>
      <c r="D116" s="120" t="s">
        <v>3534</v>
      </c>
      <c r="E116" s="98">
        <v>0.17</v>
      </c>
      <c r="F116" s="120">
        <v>0</v>
      </c>
      <c r="G116" s="121">
        <v>0</v>
      </c>
      <c r="H116" s="123">
        <v>0.17</v>
      </c>
      <c r="I116" s="122">
        <v>0</v>
      </c>
      <c r="J116" s="124">
        <f t="shared" si="1"/>
        <v>0.17</v>
      </c>
      <c r="K116" s="98" t="s">
        <v>3690</v>
      </c>
    </row>
    <row r="117" spans="1:11" ht="15" customHeight="1" x14ac:dyDescent="0.2">
      <c r="A117" s="120" t="s">
        <v>3691</v>
      </c>
      <c r="B117" s="120" t="s">
        <v>3692</v>
      </c>
      <c r="C117" s="98" t="s">
        <v>3533</v>
      </c>
      <c r="D117" s="120" t="s">
        <v>3534</v>
      </c>
      <c r="E117" s="98">
        <v>0.100595238095238</v>
      </c>
      <c r="F117" s="120">
        <v>45000</v>
      </c>
      <c r="G117" s="121">
        <v>108690</v>
      </c>
      <c r="H117" s="123">
        <v>0.1</v>
      </c>
      <c r="I117" s="122">
        <v>10869</v>
      </c>
      <c r="J117" s="124">
        <f t="shared" si="1"/>
        <v>0.100595238095238</v>
      </c>
      <c r="K117" s="98" t="s">
        <v>3693</v>
      </c>
    </row>
    <row r="118" spans="1:11" ht="15" customHeight="1" x14ac:dyDescent="0.2">
      <c r="A118" s="120" t="s">
        <v>3694</v>
      </c>
      <c r="B118" s="120" t="s">
        <v>3632</v>
      </c>
      <c r="C118" s="98" t="s">
        <v>3533</v>
      </c>
      <c r="D118" s="120" t="s">
        <v>3534</v>
      </c>
      <c r="E118" s="98">
        <v>0.19819999999999999</v>
      </c>
      <c r="F118" s="120">
        <v>0</v>
      </c>
      <c r="G118" s="121">
        <v>3109</v>
      </c>
      <c r="H118" s="123">
        <v>0.19819999999999999</v>
      </c>
      <c r="I118" s="122">
        <v>616.2038</v>
      </c>
      <c r="J118" s="124">
        <f t="shared" si="1"/>
        <v>0.19819999999999999</v>
      </c>
      <c r="K118" s="98" t="s">
        <v>3695</v>
      </c>
    </row>
    <row r="119" spans="1:11" ht="15" customHeight="1" x14ac:dyDescent="0.2">
      <c r="A119" s="120" t="s">
        <v>3696</v>
      </c>
      <c r="B119" s="120" t="s">
        <v>3632</v>
      </c>
      <c r="C119" s="98" t="s">
        <v>3533</v>
      </c>
      <c r="D119" s="120" t="s">
        <v>3534</v>
      </c>
      <c r="E119" s="98">
        <v>0.33500000000000002</v>
      </c>
      <c r="F119" s="120">
        <v>0</v>
      </c>
      <c r="G119" s="121">
        <v>163</v>
      </c>
      <c r="H119" s="123">
        <v>0.33500000000000002</v>
      </c>
      <c r="I119" s="122">
        <v>54.605000000000004</v>
      </c>
      <c r="J119" s="124">
        <f t="shared" si="1"/>
        <v>0.33500000000000002</v>
      </c>
      <c r="K119" s="98" t="s">
        <v>3697</v>
      </c>
    </row>
    <row r="120" spans="1:11" ht="15" customHeight="1" x14ac:dyDescent="0.2">
      <c r="A120" s="120" t="s">
        <v>3698</v>
      </c>
      <c r="B120" s="120" t="s">
        <v>3620</v>
      </c>
      <c r="C120" s="98" t="s">
        <v>3533</v>
      </c>
      <c r="D120" s="120" t="s">
        <v>3534</v>
      </c>
      <c r="E120" s="98">
        <v>0.125</v>
      </c>
      <c r="F120" s="120">
        <v>60000</v>
      </c>
      <c r="G120" s="121">
        <v>62749</v>
      </c>
      <c r="H120" s="123">
        <v>0.13797899999999999</v>
      </c>
      <c r="I120" s="122">
        <v>8658.0442709999988</v>
      </c>
      <c r="J120" s="124">
        <f t="shared" si="1"/>
        <v>0.125</v>
      </c>
      <c r="K120" s="98" t="s">
        <v>3699</v>
      </c>
    </row>
    <row r="121" spans="1:11" ht="15" customHeight="1" x14ac:dyDescent="0.2">
      <c r="A121" s="120" t="s">
        <v>3700</v>
      </c>
      <c r="B121" s="120" t="s">
        <v>3620</v>
      </c>
      <c r="C121" s="98" t="s">
        <v>3533</v>
      </c>
      <c r="D121" s="120" t="s">
        <v>3534</v>
      </c>
      <c r="E121" s="98">
        <v>0.215</v>
      </c>
      <c r="F121" s="120">
        <v>0</v>
      </c>
      <c r="G121" s="121">
        <v>0</v>
      </c>
      <c r="H121" s="123">
        <v>0.215</v>
      </c>
      <c r="I121" s="122">
        <v>0</v>
      </c>
      <c r="J121" s="124">
        <f t="shared" si="1"/>
        <v>0.215</v>
      </c>
      <c r="K121" s="98" t="s">
        <v>3701</v>
      </c>
    </row>
    <row r="122" spans="1:11" ht="15" customHeight="1" x14ac:dyDescent="0.2">
      <c r="A122" s="120" t="s">
        <v>3702</v>
      </c>
      <c r="B122" s="120" t="s">
        <v>3620</v>
      </c>
      <c r="C122" s="98" t="s">
        <v>3533</v>
      </c>
      <c r="D122" s="120" t="s">
        <v>3534</v>
      </c>
      <c r="E122" s="98">
        <v>0.29499999999999998</v>
      </c>
      <c r="F122" s="120">
        <v>0</v>
      </c>
      <c r="G122" s="121">
        <v>0</v>
      </c>
      <c r="H122" s="123">
        <v>0.29499999999999998</v>
      </c>
      <c r="I122" s="122">
        <v>0</v>
      </c>
      <c r="J122" s="124">
        <f t="shared" si="1"/>
        <v>0.29499999999999998</v>
      </c>
      <c r="K122" s="98" t="s">
        <v>3703</v>
      </c>
    </row>
    <row r="123" spans="1:11" ht="15" customHeight="1" x14ac:dyDescent="0.2">
      <c r="A123" s="120" t="s">
        <v>3704</v>
      </c>
      <c r="B123" s="120" t="s">
        <v>3705</v>
      </c>
      <c r="C123" s="98" t="s">
        <v>3533</v>
      </c>
      <c r="D123" s="120" t="s">
        <v>3534</v>
      </c>
      <c r="E123" s="98">
        <v>0.2036</v>
      </c>
      <c r="F123" s="120">
        <v>0</v>
      </c>
      <c r="G123" s="121">
        <v>9319</v>
      </c>
      <c r="H123" s="123">
        <v>0.2036</v>
      </c>
      <c r="I123" s="122">
        <v>1897.3484000000001</v>
      </c>
      <c r="J123" s="124">
        <f t="shared" si="1"/>
        <v>0.2036</v>
      </c>
      <c r="K123" s="98" t="s">
        <v>3706</v>
      </c>
    </row>
    <row r="124" spans="1:11" ht="15" customHeight="1" x14ac:dyDescent="0.2">
      <c r="A124" s="120" t="s">
        <v>3707</v>
      </c>
      <c r="B124" s="120" t="s">
        <v>3708</v>
      </c>
      <c r="C124" s="98" t="s">
        <v>3533</v>
      </c>
      <c r="D124" s="120" t="s">
        <v>3534</v>
      </c>
      <c r="E124" s="98">
        <v>0.36599999999999999</v>
      </c>
      <c r="F124" s="120">
        <v>0</v>
      </c>
      <c r="G124" s="121">
        <v>0</v>
      </c>
      <c r="H124" s="123">
        <v>0.36599999999999999</v>
      </c>
      <c r="I124" s="122">
        <v>0</v>
      </c>
      <c r="J124" s="124">
        <f t="shared" si="1"/>
        <v>0.36599999999999999</v>
      </c>
    </row>
    <row r="125" spans="1:11" ht="15" customHeight="1" x14ac:dyDescent="0.2">
      <c r="A125" s="120" t="s">
        <v>3709</v>
      </c>
      <c r="B125" s="120" t="s">
        <v>3632</v>
      </c>
      <c r="C125" s="98" t="s">
        <v>3533</v>
      </c>
      <c r="D125" s="120" t="s">
        <v>3534</v>
      </c>
      <c r="E125" s="98">
        <v>0.10975</v>
      </c>
      <c r="F125" s="120">
        <v>40000</v>
      </c>
      <c r="G125" s="121">
        <v>120965</v>
      </c>
      <c r="H125" s="123">
        <v>0.10975</v>
      </c>
      <c r="I125" s="122">
        <v>13275.908750000001</v>
      </c>
      <c r="J125" s="124">
        <f t="shared" si="1"/>
        <v>0.10975</v>
      </c>
    </row>
    <row r="126" spans="1:11" ht="15" customHeight="1" x14ac:dyDescent="0.2">
      <c r="A126" s="120" t="s">
        <v>3710</v>
      </c>
      <c r="B126" s="120" t="s">
        <v>3620</v>
      </c>
      <c r="C126" s="98" t="s">
        <v>3533</v>
      </c>
      <c r="D126" s="120" t="s">
        <v>3534</v>
      </c>
      <c r="E126" s="98">
        <v>0.56699999999999995</v>
      </c>
      <c r="F126" s="120">
        <v>0</v>
      </c>
      <c r="G126" s="121">
        <v>1963</v>
      </c>
      <c r="H126" s="123">
        <v>0.56699999999999995</v>
      </c>
      <c r="I126" s="122">
        <v>1113.021</v>
      </c>
      <c r="J126" s="124">
        <f t="shared" si="1"/>
        <v>0.56699999999999995</v>
      </c>
      <c r="K126" s="98" t="s">
        <v>3711</v>
      </c>
    </row>
    <row r="127" spans="1:11" ht="15" customHeight="1" x14ac:dyDescent="0.2">
      <c r="A127" s="120" t="s">
        <v>3712</v>
      </c>
      <c r="B127" s="120" t="s">
        <v>3620</v>
      </c>
      <c r="C127" s="98" t="s">
        <v>3533</v>
      </c>
      <c r="D127" s="120" t="s">
        <v>3534</v>
      </c>
      <c r="E127" s="98">
        <v>0.33600000000000002</v>
      </c>
      <c r="F127" s="120">
        <v>0</v>
      </c>
      <c r="G127" s="121">
        <v>288</v>
      </c>
      <c r="H127" s="123">
        <v>0.33600000000000002</v>
      </c>
      <c r="I127" s="122">
        <v>96.768000000000001</v>
      </c>
      <c r="J127" s="124">
        <f t="shared" si="1"/>
        <v>0.33600000000000002</v>
      </c>
    </row>
    <row r="128" spans="1:11" ht="15" customHeight="1" x14ac:dyDescent="0.2">
      <c r="A128" s="120" t="s">
        <v>3713</v>
      </c>
      <c r="B128" s="120" t="s">
        <v>3620</v>
      </c>
      <c r="C128" s="98" t="s">
        <v>3533</v>
      </c>
      <c r="D128" s="120" t="s">
        <v>3534</v>
      </c>
      <c r="E128" s="98">
        <v>0.6</v>
      </c>
      <c r="F128" s="120">
        <v>0</v>
      </c>
      <c r="G128" s="121">
        <v>2808</v>
      </c>
      <c r="H128" s="123">
        <v>0.6</v>
      </c>
      <c r="I128" s="122">
        <v>1684.8</v>
      </c>
      <c r="J128" s="124">
        <f t="shared" si="1"/>
        <v>0.6</v>
      </c>
      <c r="K128" s="98" t="s">
        <v>3714</v>
      </c>
    </row>
    <row r="129" spans="1:11" ht="15" customHeight="1" x14ac:dyDescent="0.2">
      <c r="A129" s="120" t="s">
        <v>3715</v>
      </c>
      <c r="B129" s="120" t="s">
        <v>3632</v>
      </c>
      <c r="C129" s="98" t="s">
        <v>3533</v>
      </c>
      <c r="D129" s="120" t="s">
        <v>3534</v>
      </c>
      <c r="E129" s="98">
        <v>0.43526002109704603</v>
      </c>
      <c r="F129" s="120">
        <v>0</v>
      </c>
      <c r="G129" s="121">
        <v>53857</v>
      </c>
      <c r="H129" s="123">
        <v>0.45988000000000001</v>
      </c>
      <c r="I129" s="122">
        <v>24767.757160000001</v>
      </c>
      <c r="J129" s="124">
        <f t="shared" si="1"/>
        <v>0.43526002109704603</v>
      </c>
      <c r="K129" s="98" t="s">
        <v>3716</v>
      </c>
    </row>
    <row r="130" spans="1:11" ht="15" customHeight="1" x14ac:dyDescent="0.2">
      <c r="A130" s="120" t="s">
        <v>3717</v>
      </c>
      <c r="B130" s="120" t="s">
        <v>3655</v>
      </c>
      <c r="C130" s="98" t="s">
        <v>3533</v>
      </c>
      <c r="D130" s="120" t="s">
        <v>3534</v>
      </c>
      <c r="E130" s="98">
        <v>0.17085</v>
      </c>
      <c r="F130" s="120">
        <v>0</v>
      </c>
      <c r="G130" s="121">
        <v>0</v>
      </c>
      <c r="H130" s="123">
        <v>0.17085</v>
      </c>
      <c r="I130" s="122">
        <v>0</v>
      </c>
      <c r="J130" s="124">
        <f t="shared" ref="J130:J193" si="2">IF(D130="gm", E130*1000,+E130)</f>
        <v>0.17085</v>
      </c>
      <c r="K130" s="98" t="s">
        <v>3718</v>
      </c>
    </row>
    <row r="131" spans="1:11" ht="15" customHeight="1" x14ac:dyDescent="0.2">
      <c r="A131" s="120" t="s">
        <v>3719</v>
      </c>
      <c r="B131" s="120" t="s">
        <v>3632</v>
      </c>
      <c r="C131" s="98" t="s">
        <v>3533</v>
      </c>
      <c r="D131" s="120" t="s">
        <v>3534</v>
      </c>
      <c r="E131" s="98">
        <v>0.19</v>
      </c>
      <c r="F131" s="120">
        <v>0</v>
      </c>
      <c r="G131" s="121">
        <v>1152</v>
      </c>
      <c r="H131" s="123">
        <v>0.19</v>
      </c>
      <c r="I131" s="122">
        <v>218.88</v>
      </c>
      <c r="J131" s="124">
        <f t="shared" si="2"/>
        <v>0.19</v>
      </c>
      <c r="K131" s="98" t="s">
        <v>3720</v>
      </c>
    </row>
    <row r="132" spans="1:11" ht="15" customHeight="1" x14ac:dyDescent="0.2">
      <c r="A132" s="120" t="s">
        <v>3721</v>
      </c>
      <c r="B132" s="120" t="s">
        <v>3708</v>
      </c>
      <c r="C132" s="98" t="s">
        <v>3533</v>
      </c>
      <c r="D132" s="120" t="s">
        <v>3534</v>
      </c>
      <c r="E132" s="98">
        <v>1.0813262786596101</v>
      </c>
      <c r="F132" s="120">
        <v>0</v>
      </c>
      <c r="G132" s="121">
        <v>4558</v>
      </c>
      <c r="H132" s="123">
        <v>1.081326</v>
      </c>
      <c r="I132" s="122">
        <v>4928.683908</v>
      </c>
      <c r="J132" s="124">
        <f t="shared" si="2"/>
        <v>1.0813262786596101</v>
      </c>
      <c r="K132" s="98" t="s">
        <v>3722</v>
      </c>
    </row>
    <row r="133" spans="1:11" ht="15" customHeight="1" x14ac:dyDescent="0.2">
      <c r="A133" s="120" t="s">
        <v>3723</v>
      </c>
      <c r="B133" s="120" t="s">
        <v>3632</v>
      </c>
      <c r="C133" s="98" t="s">
        <v>3566</v>
      </c>
      <c r="D133" s="120" t="s">
        <v>3534</v>
      </c>
      <c r="E133" s="98">
        <v>4.9000000000000002E-2</v>
      </c>
      <c r="F133" s="120">
        <v>0</v>
      </c>
      <c r="G133" s="121">
        <v>0</v>
      </c>
      <c r="H133" s="123">
        <v>4.9000000000000002E-2</v>
      </c>
      <c r="I133" s="122">
        <v>0</v>
      </c>
      <c r="J133" s="124">
        <f t="shared" si="2"/>
        <v>4.9000000000000002E-2</v>
      </c>
    </row>
    <row r="134" spans="1:11" ht="15" customHeight="1" x14ac:dyDescent="0.2">
      <c r="A134" s="120" t="s">
        <v>3724</v>
      </c>
      <c r="B134" s="120" t="s">
        <v>3532</v>
      </c>
      <c r="C134" s="98" t="s">
        <v>3566</v>
      </c>
      <c r="D134" s="120" t="s">
        <v>3534</v>
      </c>
      <c r="E134" s="98">
        <v>0.26250000000000001</v>
      </c>
      <c r="F134" s="120">
        <v>0</v>
      </c>
      <c r="G134" s="121">
        <v>0</v>
      </c>
      <c r="H134" s="123">
        <v>0.26250000000000001</v>
      </c>
      <c r="I134" s="122">
        <v>0</v>
      </c>
      <c r="J134" s="124">
        <f t="shared" si="2"/>
        <v>0.26250000000000001</v>
      </c>
    </row>
    <row r="135" spans="1:11" ht="15" customHeight="1" x14ac:dyDescent="0.2">
      <c r="A135" s="120" t="s">
        <v>3725</v>
      </c>
      <c r="B135" s="120" t="s">
        <v>3620</v>
      </c>
      <c r="C135" s="98" t="s">
        <v>3533</v>
      </c>
      <c r="D135" s="120" t="s">
        <v>3534</v>
      </c>
      <c r="E135" s="98">
        <v>0.43167735042735</v>
      </c>
      <c r="F135" s="120">
        <v>0</v>
      </c>
      <c r="G135" s="121">
        <v>16782</v>
      </c>
      <c r="H135" s="123">
        <v>0.42757800000000001</v>
      </c>
      <c r="I135" s="122">
        <v>7175.613996</v>
      </c>
      <c r="J135" s="124">
        <f t="shared" si="2"/>
        <v>0.43167735042735</v>
      </c>
      <c r="K135" s="98" t="s">
        <v>3726</v>
      </c>
    </row>
    <row r="136" spans="1:11" ht="15" customHeight="1" x14ac:dyDescent="0.2">
      <c r="A136" s="120" t="s">
        <v>3727</v>
      </c>
      <c r="B136" s="120" t="s">
        <v>3632</v>
      </c>
      <c r="C136" s="98" t="s">
        <v>3533</v>
      </c>
      <c r="D136" s="120" t="s">
        <v>3534</v>
      </c>
      <c r="E136" s="98">
        <v>0.12</v>
      </c>
      <c r="F136" s="120">
        <v>0</v>
      </c>
      <c r="G136" s="121">
        <v>201</v>
      </c>
      <c r="H136" s="123">
        <v>0.12</v>
      </c>
      <c r="I136" s="122">
        <v>24.119999999999997</v>
      </c>
      <c r="J136" s="124">
        <f t="shared" si="2"/>
        <v>0.12</v>
      </c>
      <c r="K136" s="98" t="s">
        <v>3728</v>
      </c>
    </row>
    <row r="137" spans="1:11" ht="15" customHeight="1" x14ac:dyDescent="0.2">
      <c r="A137" s="120" t="s">
        <v>3729</v>
      </c>
      <c r="B137" s="120" t="s">
        <v>3730</v>
      </c>
      <c r="C137" s="98" t="s">
        <v>3566</v>
      </c>
      <c r="D137" s="120" t="s">
        <v>3534</v>
      </c>
      <c r="E137" s="98">
        <v>0.27607999999999999</v>
      </c>
      <c r="F137" s="120">
        <v>0</v>
      </c>
      <c r="G137" s="121">
        <v>0</v>
      </c>
      <c r="H137" s="123">
        <v>0.27607999999999999</v>
      </c>
      <c r="I137" s="122">
        <v>0</v>
      </c>
      <c r="J137" s="124">
        <f t="shared" si="2"/>
        <v>0.27607999999999999</v>
      </c>
    </row>
    <row r="138" spans="1:11" ht="15" customHeight="1" x14ac:dyDescent="0.2">
      <c r="A138" s="120" t="s">
        <v>3731</v>
      </c>
      <c r="B138" s="120" t="s">
        <v>3620</v>
      </c>
      <c r="C138" s="98" t="s">
        <v>3532</v>
      </c>
      <c r="D138" s="120" t="s">
        <v>3534</v>
      </c>
      <c r="E138" s="98">
        <v>0.12959999999999999</v>
      </c>
      <c r="F138" s="120">
        <v>0</v>
      </c>
      <c r="G138" s="121">
        <v>0</v>
      </c>
      <c r="H138" s="123">
        <v>0.12959999999999999</v>
      </c>
      <c r="I138" s="122">
        <v>0</v>
      </c>
      <c r="J138" s="124">
        <f t="shared" si="2"/>
        <v>0.12959999999999999</v>
      </c>
    </row>
    <row r="139" spans="1:11" ht="15" customHeight="1" x14ac:dyDescent="0.2">
      <c r="A139" s="120" t="s">
        <v>3732</v>
      </c>
      <c r="B139" s="120" t="s">
        <v>3599</v>
      </c>
      <c r="C139" s="98" t="s">
        <v>3533</v>
      </c>
      <c r="D139" s="120" t="s">
        <v>3534</v>
      </c>
      <c r="E139" s="98">
        <v>8.5500000000000007</v>
      </c>
      <c r="F139" s="120">
        <v>0</v>
      </c>
      <c r="G139" s="121">
        <v>39</v>
      </c>
      <c r="H139" s="123">
        <v>9.2679489999999998</v>
      </c>
      <c r="I139" s="122">
        <v>361.45001100000002</v>
      </c>
      <c r="J139" s="124">
        <f t="shared" si="2"/>
        <v>8.5500000000000007</v>
      </c>
      <c r="K139" s="98" t="s">
        <v>3733</v>
      </c>
    </row>
    <row r="140" spans="1:11" ht="15" customHeight="1" x14ac:dyDescent="0.2">
      <c r="A140" s="120" t="s">
        <v>3734</v>
      </c>
      <c r="B140" s="120" t="s">
        <v>3620</v>
      </c>
      <c r="C140" s="98" t="s">
        <v>3533</v>
      </c>
      <c r="D140" s="120" t="s">
        <v>3534</v>
      </c>
      <c r="E140" s="98">
        <v>0.285683760683761</v>
      </c>
      <c r="F140" s="120">
        <v>0</v>
      </c>
      <c r="G140" s="121">
        <v>1646</v>
      </c>
      <c r="H140" s="123">
        <v>0.28568399999999999</v>
      </c>
      <c r="I140" s="122">
        <v>470.23586399999999</v>
      </c>
      <c r="J140" s="124">
        <f t="shared" si="2"/>
        <v>0.285683760683761</v>
      </c>
      <c r="K140" s="98" t="s">
        <v>3735</v>
      </c>
    </row>
    <row r="141" spans="1:11" ht="15" customHeight="1" x14ac:dyDescent="0.2">
      <c r="A141" s="120" t="s">
        <v>3736</v>
      </c>
      <c r="B141" s="120" t="s">
        <v>3632</v>
      </c>
      <c r="C141" s="98" t="s">
        <v>3533</v>
      </c>
      <c r="D141" s="120" t="s">
        <v>3534</v>
      </c>
      <c r="E141" s="98">
        <v>0.14480000000000001</v>
      </c>
      <c r="F141" s="120">
        <v>60000</v>
      </c>
      <c r="G141" s="121">
        <v>41185</v>
      </c>
      <c r="H141" s="123">
        <v>0.14480000000000001</v>
      </c>
      <c r="I141" s="122">
        <v>5963.5880000000006</v>
      </c>
      <c r="J141" s="124">
        <f t="shared" si="2"/>
        <v>0.14480000000000001</v>
      </c>
      <c r="K141" s="98" t="s">
        <v>3737</v>
      </c>
    </row>
    <row r="142" spans="1:11" ht="15" customHeight="1" x14ac:dyDescent="0.2">
      <c r="A142" s="120" t="s">
        <v>3738</v>
      </c>
      <c r="B142" s="120" t="s">
        <v>3620</v>
      </c>
      <c r="C142" s="98" t="s">
        <v>3533</v>
      </c>
      <c r="D142" s="120" t="s">
        <v>3534</v>
      </c>
      <c r="E142" s="98">
        <v>0.245</v>
      </c>
      <c r="F142" s="120">
        <v>0</v>
      </c>
      <c r="G142" s="121">
        <v>2360</v>
      </c>
      <c r="H142" s="123">
        <v>0.245</v>
      </c>
      <c r="I142" s="122">
        <v>578.20000000000005</v>
      </c>
      <c r="J142" s="124">
        <f t="shared" si="2"/>
        <v>0.245</v>
      </c>
      <c r="K142" s="98" t="s">
        <v>3739</v>
      </c>
    </row>
    <row r="143" spans="1:11" ht="15" customHeight="1" x14ac:dyDescent="0.2">
      <c r="A143" s="120" t="s">
        <v>3740</v>
      </c>
      <c r="B143" s="120" t="s">
        <v>3741</v>
      </c>
      <c r="C143" s="98" t="s">
        <v>3533</v>
      </c>
      <c r="D143" s="120" t="s">
        <v>3534</v>
      </c>
      <c r="E143" s="98">
        <v>0.68</v>
      </c>
      <c r="F143" s="120">
        <v>0</v>
      </c>
      <c r="G143" s="121">
        <v>7862</v>
      </c>
      <c r="H143" s="123">
        <v>0.68</v>
      </c>
      <c r="I143" s="122">
        <v>5346.1600000000008</v>
      </c>
      <c r="J143" s="124">
        <f t="shared" si="2"/>
        <v>0.68</v>
      </c>
      <c r="K143" s="98" t="s">
        <v>3742</v>
      </c>
    </row>
    <row r="144" spans="1:11" ht="15" customHeight="1" x14ac:dyDescent="0.2">
      <c r="A144" s="120" t="s">
        <v>3743</v>
      </c>
      <c r="B144" s="120" t="s">
        <v>3741</v>
      </c>
      <c r="C144" s="98" t="s">
        <v>3533</v>
      </c>
      <c r="D144" s="120" t="s">
        <v>3534</v>
      </c>
      <c r="E144" s="98">
        <v>0</v>
      </c>
      <c r="F144" s="120">
        <v>0</v>
      </c>
      <c r="G144" s="121">
        <v>0</v>
      </c>
      <c r="H144" s="123">
        <v>0</v>
      </c>
      <c r="I144" s="122">
        <v>0</v>
      </c>
      <c r="J144" s="124">
        <f t="shared" si="2"/>
        <v>0</v>
      </c>
      <c r="K144" s="98" t="s">
        <v>3742</v>
      </c>
    </row>
    <row r="145" spans="1:11" ht="15" customHeight="1" x14ac:dyDescent="0.2">
      <c r="A145" s="120" t="s">
        <v>3744</v>
      </c>
      <c r="B145" s="120" t="s">
        <v>3741</v>
      </c>
      <c r="C145" s="98" t="s">
        <v>3533</v>
      </c>
      <c r="D145" s="120" t="s">
        <v>3534</v>
      </c>
      <c r="E145" s="98">
        <v>0</v>
      </c>
      <c r="F145" s="120">
        <v>0</v>
      </c>
      <c r="G145" s="121">
        <v>0</v>
      </c>
      <c r="H145" s="123">
        <v>0</v>
      </c>
      <c r="I145" s="122">
        <v>0</v>
      </c>
      <c r="J145" s="124">
        <f t="shared" si="2"/>
        <v>0</v>
      </c>
    </row>
    <row r="146" spans="1:11" ht="15" customHeight="1" x14ac:dyDescent="0.2">
      <c r="A146" s="120" t="s">
        <v>3745</v>
      </c>
      <c r="B146" s="120" t="s">
        <v>3741</v>
      </c>
      <c r="C146" s="98" t="s">
        <v>3533</v>
      </c>
      <c r="D146" s="120" t="s">
        <v>3534</v>
      </c>
      <c r="E146" s="98">
        <v>0</v>
      </c>
      <c r="F146" s="120">
        <v>0</v>
      </c>
      <c r="G146" s="121">
        <v>8754</v>
      </c>
      <c r="H146" s="123">
        <v>0</v>
      </c>
      <c r="I146" s="122">
        <v>0</v>
      </c>
      <c r="J146" s="124">
        <f t="shared" si="2"/>
        <v>0</v>
      </c>
      <c r="K146" s="98" t="s">
        <v>3742</v>
      </c>
    </row>
    <row r="147" spans="1:11" ht="15" customHeight="1" x14ac:dyDescent="0.2">
      <c r="A147" s="120" t="s">
        <v>3746</v>
      </c>
      <c r="B147" s="120" t="s">
        <v>3741</v>
      </c>
      <c r="C147" s="98" t="s">
        <v>3533</v>
      </c>
      <c r="D147" s="120" t="s">
        <v>3534</v>
      </c>
      <c r="E147" s="98">
        <v>0</v>
      </c>
      <c r="F147" s="120">
        <v>0</v>
      </c>
      <c r="G147" s="121">
        <v>0</v>
      </c>
      <c r="H147" s="123">
        <v>0</v>
      </c>
      <c r="I147" s="122">
        <v>0</v>
      </c>
      <c r="J147" s="124">
        <f t="shared" si="2"/>
        <v>0</v>
      </c>
      <c r="K147" s="98" t="s">
        <v>3742</v>
      </c>
    </row>
    <row r="148" spans="1:11" ht="15" customHeight="1" x14ac:dyDescent="0.2">
      <c r="A148" s="120" t="s">
        <v>3747</v>
      </c>
      <c r="B148" s="120" t="s">
        <v>3629</v>
      </c>
      <c r="C148" s="98" t="s">
        <v>3533</v>
      </c>
      <c r="D148" s="120" t="s">
        <v>3534</v>
      </c>
      <c r="E148" s="98">
        <v>0.22756000000000001</v>
      </c>
      <c r="F148" s="120">
        <v>0</v>
      </c>
      <c r="G148" s="121">
        <v>3391</v>
      </c>
      <c r="H148" s="123">
        <v>0.22756000000000001</v>
      </c>
      <c r="I148" s="122">
        <v>771.65596000000005</v>
      </c>
      <c r="J148" s="124">
        <f t="shared" si="2"/>
        <v>0.22756000000000001</v>
      </c>
      <c r="K148" s="98" t="s">
        <v>3748</v>
      </c>
    </row>
    <row r="149" spans="1:11" ht="15" customHeight="1" x14ac:dyDescent="0.2">
      <c r="A149" s="120" t="s">
        <v>3749</v>
      </c>
      <c r="B149" s="120" t="s">
        <v>3632</v>
      </c>
      <c r="C149" s="98" t="s">
        <v>3533</v>
      </c>
      <c r="D149" s="120" t="s">
        <v>3534</v>
      </c>
      <c r="E149" s="98">
        <v>0.38798006379585298</v>
      </c>
      <c r="F149" s="120">
        <v>50000</v>
      </c>
      <c r="G149" s="121">
        <v>153102</v>
      </c>
      <c r="H149" s="123">
        <v>0.38797999999999999</v>
      </c>
      <c r="I149" s="122">
        <v>59400.513959999997</v>
      </c>
      <c r="J149" s="124">
        <f t="shared" si="2"/>
        <v>0.38798006379585298</v>
      </c>
      <c r="K149" s="98" t="s">
        <v>3750</v>
      </c>
    </row>
    <row r="150" spans="1:11" ht="15" customHeight="1" x14ac:dyDescent="0.2">
      <c r="A150" s="120" t="s">
        <v>3751</v>
      </c>
      <c r="B150" s="120" t="s">
        <v>3620</v>
      </c>
      <c r="C150" s="98" t="s">
        <v>3566</v>
      </c>
      <c r="D150" s="120" t="s">
        <v>3534</v>
      </c>
      <c r="E150" s="98">
        <v>0.42</v>
      </c>
      <c r="F150" s="120">
        <v>0</v>
      </c>
      <c r="G150" s="121">
        <v>0</v>
      </c>
      <c r="H150" s="123">
        <v>0.42</v>
      </c>
      <c r="I150" s="122">
        <v>0</v>
      </c>
      <c r="J150" s="124">
        <f t="shared" si="2"/>
        <v>0.42</v>
      </c>
    </row>
    <row r="151" spans="1:11" ht="15" customHeight="1" x14ac:dyDescent="0.2">
      <c r="A151" s="120" t="s">
        <v>3752</v>
      </c>
      <c r="B151" s="120" t="s">
        <v>3620</v>
      </c>
      <c r="C151" s="98" t="s">
        <v>3566</v>
      </c>
      <c r="D151" s="120" t="s">
        <v>3534</v>
      </c>
      <c r="E151" s="98">
        <v>1.5960000000000001</v>
      </c>
      <c r="F151" s="120">
        <v>0</v>
      </c>
      <c r="G151" s="121">
        <v>0</v>
      </c>
      <c r="H151" s="123">
        <v>1.5960000000000001</v>
      </c>
      <c r="I151" s="122">
        <v>0</v>
      </c>
      <c r="J151" s="124">
        <f t="shared" si="2"/>
        <v>1.5960000000000001</v>
      </c>
    </row>
    <row r="152" spans="1:11" ht="15" customHeight="1" x14ac:dyDescent="0.2">
      <c r="A152" s="120" t="s">
        <v>3753</v>
      </c>
      <c r="B152" s="120" t="s">
        <v>3643</v>
      </c>
      <c r="C152" s="98" t="s">
        <v>3533</v>
      </c>
      <c r="D152" s="120" t="s">
        <v>3534</v>
      </c>
      <c r="E152" s="98">
        <v>0.34499999999999997</v>
      </c>
      <c r="F152" s="120">
        <v>0</v>
      </c>
      <c r="G152" s="121">
        <v>150</v>
      </c>
      <c r="H152" s="123">
        <v>0.34499999999999997</v>
      </c>
      <c r="I152" s="122">
        <v>51.749999999999993</v>
      </c>
      <c r="J152" s="124">
        <f t="shared" si="2"/>
        <v>0.34499999999999997</v>
      </c>
      <c r="K152" s="98" t="s">
        <v>3754</v>
      </c>
    </row>
    <row r="153" spans="1:11" ht="15" customHeight="1" x14ac:dyDescent="0.2">
      <c r="A153" s="120" t="s">
        <v>3755</v>
      </c>
      <c r="B153" s="120" t="s">
        <v>3620</v>
      </c>
      <c r="C153" s="98" t="s">
        <v>3533</v>
      </c>
      <c r="D153" s="120" t="s">
        <v>3534</v>
      </c>
      <c r="E153" s="98">
        <v>0.33600000000000002</v>
      </c>
      <c r="F153" s="120">
        <v>0</v>
      </c>
      <c r="G153" s="121">
        <v>0</v>
      </c>
      <c r="H153" s="123">
        <v>0.33600000000000002</v>
      </c>
      <c r="I153" s="122">
        <v>0</v>
      </c>
      <c r="J153" s="124">
        <f t="shared" si="2"/>
        <v>0.33600000000000002</v>
      </c>
      <c r="K153" s="98" t="s">
        <v>3756</v>
      </c>
    </row>
    <row r="154" spans="1:11" ht="15" customHeight="1" x14ac:dyDescent="0.2">
      <c r="A154" s="120" t="s">
        <v>3757</v>
      </c>
      <c r="B154" s="120" t="s">
        <v>3708</v>
      </c>
      <c r="C154" s="98" t="s">
        <v>3533</v>
      </c>
      <c r="D154" s="120" t="s">
        <v>3534</v>
      </c>
      <c r="E154" s="98">
        <v>0.27</v>
      </c>
      <c r="F154" s="120">
        <v>0</v>
      </c>
      <c r="G154" s="121">
        <v>0</v>
      </c>
      <c r="H154" s="123">
        <v>0.27</v>
      </c>
      <c r="I154" s="122">
        <v>0</v>
      </c>
      <c r="J154" s="124">
        <f t="shared" si="2"/>
        <v>0.27</v>
      </c>
    </row>
    <row r="155" spans="1:11" ht="15" customHeight="1" x14ac:dyDescent="0.2">
      <c r="A155" s="120" t="s">
        <v>3758</v>
      </c>
      <c r="B155" s="120" t="s">
        <v>3632</v>
      </c>
      <c r="C155" s="98" t="s">
        <v>3533</v>
      </c>
      <c r="D155" s="120" t="s">
        <v>3534</v>
      </c>
      <c r="E155" s="98">
        <v>0.44915243902439</v>
      </c>
      <c r="F155" s="120">
        <v>0</v>
      </c>
      <c r="G155" s="121">
        <v>836</v>
      </c>
      <c r="H155" s="123">
        <v>0.449152</v>
      </c>
      <c r="I155" s="122">
        <v>375.49107199999997</v>
      </c>
      <c r="J155" s="124">
        <f t="shared" si="2"/>
        <v>0.44915243902439</v>
      </c>
      <c r="K155" s="98" t="s">
        <v>3759</v>
      </c>
    </row>
    <row r="156" spans="1:11" ht="15" customHeight="1" x14ac:dyDescent="0.2">
      <c r="A156" s="120" t="s">
        <v>3760</v>
      </c>
      <c r="B156" s="120" t="s">
        <v>3761</v>
      </c>
      <c r="C156" s="98" t="s">
        <v>3533</v>
      </c>
      <c r="D156" s="120" t="s">
        <v>3534</v>
      </c>
      <c r="E156" s="98">
        <v>0.47</v>
      </c>
      <c r="F156" s="120">
        <v>0</v>
      </c>
      <c r="G156" s="121">
        <v>0</v>
      </c>
      <c r="H156" s="123">
        <v>0.47</v>
      </c>
      <c r="I156" s="122">
        <v>0</v>
      </c>
      <c r="J156" s="124">
        <f t="shared" si="2"/>
        <v>0.47</v>
      </c>
    </row>
    <row r="157" spans="1:11" ht="15" customHeight="1" x14ac:dyDescent="0.2">
      <c r="A157" s="120" t="s">
        <v>3762</v>
      </c>
      <c r="B157" s="120" t="s">
        <v>3763</v>
      </c>
      <c r="C157" s="98" t="s">
        <v>3533</v>
      </c>
      <c r="D157" s="120" t="s">
        <v>3534</v>
      </c>
      <c r="E157" s="98">
        <v>0.37435000000000002</v>
      </c>
      <c r="F157" s="120">
        <v>0</v>
      </c>
      <c r="G157" s="121">
        <v>8440</v>
      </c>
      <c r="H157" s="123">
        <v>0.37435000000000002</v>
      </c>
      <c r="I157" s="122">
        <v>3159.5140000000001</v>
      </c>
      <c r="J157" s="124">
        <f t="shared" si="2"/>
        <v>0.37435000000000002</v>
      </c>
      <c r="K157" s="98" t="s">
        <v>3764</v>
      </c>
    </row>
    <row r="158" spans="1:11" ht="15" customHeight="1" x14ac:dyDescent="0.2">
      <c r="A158" s="120" t="s">
        <v>3765</v>
      </c>
      <c r="B158" s="120" t="s">
        <v>3763</v>
      </c>
      <c r="C158" s="98" t="s">
        <v>3533</v>
      </c>
      <c r="D158" s="120" t="s">
        <v>3534</v>
      </c>
      <c r="E158" s="98">
        <v>0.435</v>
      </c>
      <c r="F158" s="120">
        <v>0</v>
      </c>
      <c r="G158" s="121">
        <v>0</v>
      </c>
      <c r="H158" s="123">
        <v>0.435</v>
      </c>
      <c r="I158" s="122">
        <v>0</v>
      </c>
      <c r="J158" s="124">
        <f t="shared" si="2"/>
        <v>0.435</v>
      </c>
      <c r="K158" s="98" t="s">
        <v>3766</v>
      </c>
    </row>
    <row r="159" spans="1:11" ht="15" customHeight="1" x14ac:dyDescent="0.2">
      <c r="A159" s="120" t="s">
        <v>3767</v>
      </c>
      <c r="B159" s="120" t="s">
        <v>3532</v>
      </c>
      <c r="C159" s="98" t="s">
        <v>3532</v>
      </c>
      <c r="D159" s="120" t="s">
        <v>3534</v>
      </c>
      <c r="E159" s="98">
        <v>0</v>
      </c>
      <c r="F159" s="120">
        <v>0</v>
      </c>
      <c r="G159" s="121">
        <v>0</v>
      </c>
      <c r="H159" s="123">
        <v>0</v>
      </c>
      <c r="I159" s="122">
        <v>0</v>
      </c>
      <c r="J159" s="124">
        <f t="shared" si="2"/>
        <v>0</v>
      </c>
    </row>
    <row r="160" spans="1:11" ht="15" customHeight="1" x14ac:dyDescent="0.2">
      <c r="A160" s="120" t="s">
        <v>3768</v>
      </c>
      <c r="B160" s="120" t="s">
        <v>3632</v>
      </c>
      <c r="C160" s="98" t="s">
        <v>3533</v>
      </c>
      <c r="D160" s="120" t="s">
        <v>3534</v>
      </c>
      <c r="E160" s="98">
        <v>0.26469999999999999</v>
      </c>
      <c r="F160" s="120">
        <v>0</v>
      </c>
      <c r="G160" s="121">
        <v>3391</v>
      </c>
      <c r="H160" s="123">
        <v>0.26469999999999999</v>
      </c>
      <c r="I160" s="122">
        <v>897.59769999999992</v>
      </c>
      <c r="J160" s="124">
        <f t="shared" si="2"/>
        <v>0.26469999999999999</v>
      </c>
    </row>
    <row r="161" spans="1:11" ht="15" customHeight="1" x14ac:dyDescent="0.2">
      <c r="A161" s="120" t="s">
        <v>3769</v>
      </c>
      <c r="B161" s="120" t="s">
        <v>3620</v>
      </c>
      <c r="C161" s="98" t="s">
        <v>3533</v>
      </c>
      <c r="D161" s="120" t="s">
        <v>3534</v>
      </c>
      <c r="E161" s="98">
        <v>0.14050000000000001</v>
      </c>
      <c r="F161" s="120">
        <v>0</v>
      </c>
      <c r="G161" s="121">
        <v>15372</v>
      </c>
      <c r="H161" s="123">
        <v>0.14050000000000001</v>
      </c>
      <c r="I161" s="122">
        <v>2159.7660000000001</v>
      </c>
      <c r="J161" s="124">
        <f t="shared" si="2"/>
        <v>0.14050000000000001</v>
      </c>
      <c r="K161" s="98" t="s">
        <v>3770</v>
      </c>
    </row>
    <row r="162" spans="1:11" ht="15" customHeight="1" x14ac:dyDescent="0.2">
      <c r="A162" s="120" t="s">
        <v>3771</v>
      </c>
      <c r="B162" s="120" t="s">
        <v>3620</v>
      </c>
      <c r="C162" s="98" t="s">
        <v>3566</v>
      </c>
      <c r="D162" s="120" t="s">
        <v>3534</v>
      </c>
      <c r="E162" s="98">
        <v>0.8</v>
      </c>
      <c r="F162" s="120">
        <v>0</v>
      </c>
      <c r="G162" s="121">
        <v>0</v>
      </c>
      <c r="H162" s="123">
        <v>0.8</v>
      </c>
      <c r="I162" s="122">
        <v>0</v>
      </c>
      <c r="J162" s="124">
        <f t="shared" si="2"/>
        <v>0.8</v>
      </c>
    </row>
    <row r="163" spans="1:11" ht="15" customHeight="1" x14ac:dyDescent="0.2">
      <c r="A163" s="120" t="s">
        <v>3772</v>
      </c>
      <c r="B163" s="120" t="s">
        <v>3692</v>
      </c>
      <c r="C163" s="98" t="s">
        <v>3533</v>
      </c>
      <c r="D163" s="120" t="s">
        <v>3534</v>
      </c>
      <c r="E163" s="98">
        <v>0.1</v>
      </c>
      <c r="F163" s="120">
        <v>0</v>
      </c>
      <c r="G163" s="121">
        <v>0</v>
      </c>
      <c r="H163" s="123">
        <v>0.1</v>
      </c>
      <c r="I163" s="122">
        <v>0</v>
      </c>
      <c r="J163" s="124">
        <f t="shared" si="2"/>
        <v>0.1</v>
      </c>
    </row>
    <row r="164" spans="1:11" ht="15" customHeight="1" x14ac:dyDescent="0.2">
      <c r="A164" s="120" t="s">
        <v>3773</v>
      </c>
      <c r="B164" s="120" t="s">
        <v>3692</v>
      </c>
      <c r="C164" s="98" t="s">
        <v>3533</v>
      </c>
      <c r="D164" s="120" t="s">
        <v>3534</v>
      </c>
      <c r="E164" s="98">
        <v>0.09</v>
      </c>
      <c r="F164" s="120">
        <v>0</v>
      </c>
      <c r="G164" s="121">
        <v>0</v>
      </c>
      <c r="H164" s="123">
        <v>0.09</v>
      </c>
      <c r="I164" s="122">
        <v>0</v>
      </c>
      <c r="J164" s="124">
        <f t="shared" si="2"/>
        <v>0.09</v>
      </c>
    </row>
    <row r="165" spans="1:11" ht="15" customHeight="1" x14ac:dyDescent="0.2">
      <c r="A165" s="120" t="s">
        <v>3774</v>
      </c>
      <c r="B165" s="120" t="s">
        <v>3692</v>
      </c>
      <c r="C165" s="98" t="s">
        <v>3533</v>
      </c>
      <c r="D165" s="120" t="s">
        <v>3534</v>
      </c>
      <c r="E165" s="98">
        <v>0.06</v>
      </c>
      <c r="F165" s="120">
        <v>0</v>
      </c>
      <c r="G165" s="121">
        <v>5263</v>
      </c>
      <c r="H165" s="123">
        <v>0.06</v>
      </c>
      <c r="I165" s="122">
        <v>315.77999999999997</v>
      </c>
      <c r="J165" s="124">
        <f t="shared" si="2"/>
        <v>0.06</v>
      </c>
    </row>
    <row r="166" spans="1:11" ht="15" customHeight="1" x14ac:dyDescent="0.2">
      <c r="A166" s="120" t="s">
        <v>3775</v>
      </c>
      <c r="B166" s="120" t="s">
        <v>3532</v>
      </c>
      <c r="C166" s="98" t="s">
        <v>3533</v>
      </c>
      <c r="D166" s="120" t="s">
        <v>3534</v>
      </c>
      <c r="E166" s="98">
        <v>7.0000000000000007E-2</v>
      </c>
      <c r="F166" s="120">
        <v>0</v>
      </c>
      <c r="G166" s="121">
        <v>2140</v>
      </c>
      <c r="H166" s="123">
        <v>7.0000000000000007E-2</v>
      </c>
      <c r="I166" s="122">
        <v>149.80000000000001</v>
      </c>
      <c r="J166" s="124">
        <f t="shared" si="2"/>
        <v>7.0000000000000007E-2</v>
      </c>
    </row>
    <row r="167" spans="1:11" ht="15" customHeight="1" x14ac:dyDescent="0.2">
      <c r="A167" s="120" t="s">
        <v>3776</v>
      </c>
      <c r="B167" s="120" t="s">
        <v>3625</v>
      </c>
      <c r="C167" s="98" t="s">
        <v>3533</v>
      </c>
      <c r="D167" s="120" t="s">
        <v>3534</v>
      </c>
      <c r="E167" s="98">
        <v>1.3149999999999999</v>
      </c>
      <c r="F167" s="120">
        <v>0</v>
      </c>
      <c r="G167" s="121">
        <v>88</v>
      </c>
      <c r="H167" s="123">
        <v>1.3149999999999999</v>
      </c>
      <c r="I167" s="122">
        <v>115.72</v>
      </c>
      <c r="J167" s="124">
        <f t="shared" si="2"/>
        <v>1.3149999999999999</v>
      </c>
      <c r="K167" s="98" t="s">
        <v>3777</v>
      </c>
    </row>
    <row r="168" spans="1:11" ht="15" customHeight="1" x14ac:dyDescent="0.2">
      <c r="A168" s="120" t="s">
        <v>3778</v>
      </c>
      <c r="B168" s="120" t="s">
        <v>3643</v>
      </c>
      <c r="C168" s="98" t="s">
        <v>3533</v>
      </c>
      <c r="D168" s="120" t="s">
        <v>3534</v>
      </c>
      <c r="E168" s="98">
        <v>8.6699999999999999E-2</v>
      </c>
      <c r="F168" s="120">
        <v>0</v>
      </c>
      <c r="G168" s="121">
        <v>0</v>
      </c>
      <c r="H168" s="123">
        <v>8.6699999999999999E-2</v>
      </c>
      <c r="I168" s="122">
        <v>0</v>
      </c>
      <c r="J168" s="124">
        <f t="shared" si="2"/>
        <v>8.6699999999999999E-2</v>
      </c>
      <c r="K168" s="98" t="s">
        <v>3779</v>
      </c>
    </row>
    <row r="169" spans="1:11" ht="15" customHeight="1" x14ac:dyDescent="0.2">
      <c r="A169" s="120" t="s">
        <v>3780</v>
      </c>
      <c r="B169" s="120" t="s">
        <v>3708</v>
      </c>
      <c r="C169" s="98" t="s">
        <v>3533</v>
      </c>
      <c r="D169" s="120" t="s">
        <v>3534</v>
      </c>
      <c r="E169" s="98">
        <v>0.52200000000000002</v>
      </c>
      <c r="F169" s="120">
        <v>0</v>
      </c>
      <c r="G169" s="121">
        <v>1054</v>
      </c>
      <c r="H169" s="123">
        <v>0.52200000000000002</v>
      </c>
      <c r="I169" s="122">
        <v>550.18799999999999</v>
      </c>
      <c r="J169" s="124">
        <f t="shared" si="2"/>
        <v>0.52200000000000002</v>
      </c>
      <c r="K169" s="98" t="s">
        <v>3781</v>
      </c>
    </row>
    <row r="170" spans="1:11" ht="15" customHeight="1" x14ac:dyDescent="0.2">
      <c r="A170" s="120" t="s">
        <v>3782</v>
      </c>
      <c r="B170" s="120" t="s">
        <v>3532</v>
      </c>
      <c r="C170" s="98" t="s">
        <v>3533</v>
      </c>
      <c r="D170" s="120" t="s">
        <v>3534</v>
      </c>
      <c r="E170" s="98">
        <v>0</v>
      </c>
      <c r="F170" s="120">
        <v>0</v>
      </c>
      <c r="G170" s="121">
        <v>101</v>
      </c>
      <c r="H170" s="123">
        <v>0</v>
      </c>
      <c r="I170" s="122">
        <v>0</v>
      </c>
      <c r="J170" s="124">
        <f t="shared" si="2"/>
        <v>0</v>
      </c>
    </row>
    <row r="171" spans="1:11" ht="15" customHeight="1" x14ac:dyDescent="0.2">
      <c r="A171" s="120" t="s">
        <v>3783</v>
      </c>
      <c r="B171" s="120" t="s">
        <v>3625</v>
      </c>
      <c r="C171" s="98" t="s">
        <v>3533</v>
      </c>
      <c r="D171" s="120" t="s">
        <v>3534</v>
      </c>
      <c r="E171" s="98">
        <v>0.189</v>
      </c>
      <c r="F171" s="120">
        <v>0</v>
      </c>
      <c r="G171" s="121">
        <v>252</v>
      </c>
      <c r="H171" s="123">
        <v>0.189</v>
      </c>
      <c r="I171" s="122">
        <v>47.628</v>
      </c>
      <c r="J171" s="124">
        <f t="shared" si="2"/>
        <v>0.189</v>
      </c>
    </row>
    <row r="172" spans="1:11" ht="15" customHeight="1" x14ac:dyDescent="0.2">
      <c r="A172" s="120" t="s">
        <v>3784</v>
      </c>
      <c r="B172" s="120" t="s">
        <v>3620</v>
      </c>
      <c r="C172" s="98" t="s">
        <v>3533</v>
      </c>
      <c r="D172" s="120" t="s">
        <v>3534</v>
      </c>
      <c r="E172" s="98">
        <v>0.14000000000000001</v>
      </c>
      <c r="F172" s="120">
        <v>0</v>
      </c>
      <c r="G172" s="121">
        <v>1361</v>
      </c>
      <c r="H172" s="123">
        <v>0.14000000000000001</v>
      </c>
      <c r="I172" s="122">
        <v>190.54000000000002</v>
      </c>
      <c r="J172" s="124">
        <f t="shared" si="2"/>
        <v>0.14000000000000001</v>
      </c>
      <c r="K172" s="98" t="s">
        <v>3785</v>
      </c>
    </row>
    <row r="173" spans="1:11" ht="15" customHeight="1" x14ac:dyDescent="0.2">
      <c r="A173" s="120" t="s">
        <v>3786</v>
      </c>
      <c r="B173" s="120" t="s">
        <v>3632</v>
      </c>
      <c r="C173" s="98" t="s">
        <v>3533</v>
      </c>
      <c r="D173" s="120" t="s">
        <v>3534</v>
      </c>
      <c r="E173" s="98">
        <v>0.10249999999999999</v>
      </c>
      <c r="F173" s="120">
        <v>0</v>
      </c>
      <c r="G173" s="121">
        <v>0</v>
      </c>
      <c r="H173" s="123">
        <v>0.10249999999999999</v>
      </c>
      <c r="I173" s="122">
        <v>0</v>
      </c>
      <c r="J173" s="124">
        <f t="shared" si="2"/>
        <v>0.10249999999999999</v>
      </c>
    </row>
    <row r="174" spans="1:11" ht="15" customHeight="1" x14ac:dyDescent="0.2">
      <c r="A174" s="120" t="s">
        <v>3787</v>
      </c>
      <c r="B174" s="120" t="s">
        <v>3620</v>
      </c>
      <c r="C174" s="98" t="s">
        <v>3533</v>
      </c>
      <c r="D174" s="120" t="s">
        <v>3534</v>
      </c>
      <c r="E174" s="98">
        <v>8.8999999999999996E-2</v>
      </c>
      <c r="F174" s="120">
        <v>0</v>
      </c>
      <c r="G174" s="121">
        <v>0</v>
      </c>
      <c r="H174" s="123">
        <v>8.8999999999999996E-2</v>
      </c>
      <c r="I174" s="122">
        <v>0</v>
      </c>
      <c r="J174" s="124">
        <f t="shared" si="2"/>
        <v>8.8999999999999996E-2</v>
      </c>
      <c r="K174" s="98" t="s">
        <v>3788</v>
      </c>
    </row>
    <row r="175" spans="1:11" ht="15" customHeight="1" x14ac:dyDescent="0.2">
      <c r="A175" s="120" t="s">
        <v>3789</v>
      </c>
      <c r="B175" s="120" t="s">
        <v>3620</v>
      </c>
      <c r="C175" s="98" t="s">
        <v>3566</v>
      </c>
      <c r="D175" s="120" t="s">
        <v>3534</v>
      </c>
      <c r="E175" s="98">
        <v>0.26</v>
      </c>
      <c r="F175" s="120">
        <v>0</v>
      </c>
      <c r="G175" s="121">
        <v>0</v>
      </c>
      <c r="H175" s="123">
        <v>0.26</v>
      </c>
      <c r="I175" s="122">
        <v>0</v>
      </c>
      <c r="J175" s="124">
        <f t="shared" si="2"/>
        <v>0.26</v>
      </c>
    </row>
    <row r="176" spans="1:11" ht="15" customHeight="1" x14ac:dyDescent="0.2">
      <c r="A176" s="120" t="s">
        <v>3790</v>
      </c>
      <c r="B176" s="120" t="s">
        <v>3532</v>
      </c>
      <c r="C176" s="98" t="s">
        <v>3533</v>
      </c>
      <c r="D176" s="120" t="s">
        <v>3534</v>
      </c>
      <c r="E176" s="98">
        <v>0.2</v>
      </c>
      <c r="F176" s="120">
        <v>0</v>
      </c>
      <c r="G176" s="121">
        <v>1148</v>
      </c>
      <c r="H176" s="123">
        <v>0.2</v>
      </c>
      <c r="I176" s="122">
        <v>229.60000000000002</v>
      </c>
      <c r="J176" s="124">
        <f t="shared" si="2"/>
        <v>0.2</v>
      </c>
    </row>
    <row r="177" spans="1:11" ht="15" customHeight="1" x14ac:dyDescent="0.2">
      <c r="A177" s="120" t="s">
        <v>3791</v>
      </c>
      <c r="B177" s="120" t="s">
        <v>3792</v>
      </c>
      <c r="C177" s="98" t="s">
        <v>3533</v>
      </c>
      <c r="D177" s="120" t="s">
        <v>3534</v>
      </c>
      <c r="E177" s="98">
        <v>0.2</v>
      </c>
      <c r="F177" s="120">
        <v>0</v>
      </c>
      <c r="G177" s="121">
        <v>165037.00000100001</v>
      </c>
      <c r="H177" s="123">
        <v>0.2</v>
      </c>
      <c r="I177" s="122">
        <v>33007.400000200003</v>
      </c>
      <c r="J177" s="124">
        <f t="shared" si="2"/>
        <v>0.2</v>
      </c>
    </row>
    <row r="178" spans="1:11" ht="15" customHeight="1" x14ac:dyDescent="0.2">
      <c r="A178" s="120" t="s">
        <v>3793</v>
      </c>
      <c r="B178" s="120" t="s">
        <v>3632</v>
      </c>
      <c r="C178" s="98" t="s">
        <v>3533</v>
      </c>
      <c r="D178" s="120" t="s">
        <v>3534</v>
      </c>
      <c r="E178" s="98">
        <v>0.14998214285714301</v>
      </c>
      <c r="F178" s="120">
        <v>0</v>
      </c>
      <c r="G178" s="121">
        <v>201</v>
      </c>
      <c r="H178" s="123">
        <v>0.149982</v>
      </c>
      <c r="I178" s="122">
        <v>30.146381999999999</v>
      </c>
      <c r="J178" s="124">
        <f t="shared" si="2"/>
        <v>0.14998214285714301</v>
      </c>
      <c r="K178" s="98" t="s">
        <v>3794</v>
      </c>
    </row>
    <row r="179" spans="1:11" ht="15" customHeight="1" x14ac:dyDescent="0.2">
      <c r="A179" s="120" t="s">
        <v>3795</v>
      </c>
      <c r="B179" s="120" t="s">
        <v>3629</v>
      </c>
      <c r="C179" s="98" t="s">
        <v>3533</v>
      </c>
      <c r="D179" s="120" t="s">
        <v>3534</v>
      </c>
      <c r="E179" s="98">
        <v>9.5350000000000004E-2</v>
      </c>
      <c r="F179" s="120">
        <v>0</v>
      </c>
      <c r="G179" s="121">
        <v>15187</v>
      </c>
      <c r="H179" s="123">
        <v>9.5350000000000004E-2</v>
      </c>
      <c r="I179" s="122">
        <v>1448.0804500000002</v>
      </c>
      <c r="J179" s="124">
        <f t="shared" si="2"/>
        <v>9.5350000000000004E-2</v>
      </c>
    </row>
    <row r="180" spans="1:11" ht="15" customHeight="1" x14ac:dyDescent="0.2">
      <c r="A180" s="120" t="s">
        <v>3796</v>
      </c>
      <c r="B180" s="120" t="s">
        <v>3692</v>
      </c>
      <c r="C180" s="98" t="s">
        <v>3533</v>
      </c>
      <c r="D180" s="120" t="s">
        <v>3534</v>
      </c>
      <c r="E180" s="98">
        <v>0.2</v>
      </c>
      <c r="F180" s="120">
        <v>0</v>
      </c>
      <c r="G180" s="121">
        <v>5266</v>
      </c>
      <c r="H180" s="123">
        <v>0.2</v>
      </c>
      <c r="I180" s="122">
        <v>1053.2</v>
      </c>
      <c r="J180" s="124">
        <f t="shared" si="2"/>
        <v>0.2</v>
      </c>
      <c r="K180" s="98" t="s">
        <v>3797</v>
      </c>
    </row>
    <row r="181" spans="1:11" ht="15" customHeight="1" x14ac:dyDescent="0.2">
      <c r="A181" s="120" t="s">
        <v>3798</v>
      </c>
      <c r="B181" s="120" t="s">
        <v>3620</v>
      </c>
      <c r="C181" s="98" t="s">
        <v>3533</v>
      </c>
      <c r="D181" s="120" t="s">
        <v>3534</v>
      </c>
      <c r="E181" s="98">
        <v>7.6499999999999999E-2</v>
      </c>
      <c r="F181" s="120">
        <v>0</v>
      </c>
      <c r="G181" s="121">
        <v>0</v>
      </c>
      <c r="H181" s="123">
        <v>7.6499999999999999E-2</v>
      </c>
      <c r="I181" s="122">
        <v>0</v>
      </c>
      <c r="J181" s="124">
        <f t="shared" si="2"/>
        <v>7.6499999999999999E-2</v>
      </c>
      <c r="K181" s="98" t="s">
        <v>3799</v>
      </c>
    </row>
    <row r="182" spans="1:11" ht="15" customHeight="1" x14ac:dyDescent="0.2">
      <c r="A182" s="120" t="s">
        <v>3800</v>
      </c>
      <c r="B182" s="120" t="s">
        <v>3692</v>
      </c>
      <c r="C182" s="98" t="s">
        <v>3533</v>
      </c>
      <c r="D182" s="120" t="s">
        <v>3534</v>
      </c>
      <c r="E182" s="98">
        <v>0.25892100000000001</v>
      </c>
      <c r="F182" s="120">
        <v>0</v>
      </c>
      <c r="G182" s="121">
        <v>0</v>
      </c>
      <c r="H182" s="123">
        <v>0.25892100000000001</v>
      </c>
      <c r="I182" s="122">
        <v>0</v>
      </c>
      <c r="J182" s="124">
        <f t="shared" si="2"/>
        <v>0.25892100000000001</v>
      </c>
    </row>
    <row r="183" spans="1:11" ht="15" customHeight="1" x14ac:dyDescent="0.2">
      <c r="A183" s="120" t="s">
        <v>3801</v>
      </c>
      <c r="B183" s="120" t="s">
        <v>3620</v>
      </c>
      <c r="C183" s="98" t="s">
        <v>3533</v>
      </c>
      <c r="D183" s="120" t="s">
        <v>3534</v>
      </c>
      <c r="E183" s="98">
        <v>0.10249999999999999</v>
      </c>
      <c r="F183" s="120">
        <v>0</v>
      </c>
      <c r="G183" s="121">
        <v>0</v>
      </c>
      <c r="H183" s="123">
        <v>0.10249999999999999</v>
      </c>
      <c r="I183" s="122">
        <v>0</v>
      </c>
      <c r="J183" s="124">
        <f t="shared" si="2"/>
        <v>0.10249999999999999</v>
      </c>
    </row>
    <row r="184" spans="1:11" ht="15" customHeight="1" x14ac:dyDescent="0.2">
      <c r="A184" s="120" t="s">
        <v>3802</v>
      </c>
      <c r="B184" s="120" t="s">
        <v>3632</v>
      </c>
      <c r="C184" s="98" t="s">
        <v>3533</v>
      </c>
      <c r="D184" s="120" t="s">
        <v>3534</v>
      </c>
      <c r="E184" s="98">
        <v>0.33397979797979804</v>
      </c>
      <c r="F184" s="120">
        <v>0</v>
      </c>
      <c r="G184" s="121">
        <v>12976</v>
      </c>
      <c r="H184" s="123">
        <v>0.33398</v>
      </c>
      <c r="I184" s="122">
        <v>4333.7244799999999</v>
      </c>
      <c r="J184" s="124">
        <f t="shared" si="2"/>
        <v>0.33397979797979804</v>
      </c>
      <c r="K184" s="98" t="s">
        <v>3803</v>
      </c>
    </row>
    <row r="185" spans="1:11" ht="15" customHeight="1" x14ac:dyDescent="0.2">
      <c r="A185" s="120" t="s">
        <v>3804</v>
      </c>
      <c r="B185" s="120" t="s">
        <v>3532</v>
      </c>
      <c r="C185" s="98" t="s">
        <v>3533</v>
      </c>
      <c r="D185" s="120" t="s">
        <v>3534</v>
      </c>
      <c r="E185" s="98">
        <v>0.44</v>
      </c>
      <c r="F185" s="120">
        <v>0</v>
      </c>
      <c r="G185" s="121">
        <v>0</v>
      </c>
      <c r="H185" s="123">
        <v>0.44</v>
      </c>
      <c r="I185" s="122">
        <v>0</v>
      </c>
      <c r="J185" s="124">
        <f t="shared" si="2"/>
        <v>0.44</v>
      </c>
    </row>
    <row r="186" spans="1:11" ht="15" customHeight="1" x14ac:dyDescent="0.2">
      <c r="A186" s="120" t="s">
        <v>3805</v>
      </c>
      <c r="B186" s="120" t="s">
        <v>3632</v>
      </c>
      <c r="C186" s="98" t="s">
        <v>3533</v>
      </c>
      <c r="D186" s="120" t="s">
        <v>3534</v>
      </c>
      <c r="E186" s="98">
        <v>0.14000000000000001</v>
      </c>
      <c r="F186" s="120">
        <v>0</v>
      </c>
      <c r="G186" s="121">
        <v>1157</v>
      </c>
      <c r="H186" s="123">
        <v>0.14000000000000001</v>
      </c>
      <c r="I186" s="122">
        <v>161.98000000000002</v>
      </c>
      <c r="J186" s="124">
        <f t="shared" si="2"/>
        <v>0.14000000000000001</v>
      </c>
    </row>
    <row r="187" spans="1:11" ht="15" customHeight="1" x14ac:dyDescent="0.2">
      <c r="A187" s="120" t="s">
        <v>3806</v>
      </c>
      <c r="B187" s="120" t="s">
        <v>3692</v>
      </c>
      <c r="C187" s="98" t="s">
        <v>3533</v>
      </c>
      <c r="D187" s="120" t="s">
        <v>3534</v>
      </c>
      <c r="E187" s="98">
        <v>0.18</v>
      </c>
      <c r="F187" s="120">
        <v>0</v>
      </c>
      <c r="G187" s="121">
        <v>750</v>
      </c>
      <c r="H187" s="123">
        <v>0.18</v>
      </c>
      <c r="I187" s="122">
        <v>135</v>
      </c>
      <c r="J187" s="124">
        <f t="shared" si="2"/>
        <v>0.18</v>
      </c>
      <c r="K187" s="98" t="s">
        <v>3807</v>
      </c>
    </row>
    <row r="188" spans="1:11" ht="15" customHeight="1" x14ac:dyDescent="0.2">
      <c r="A188" s="120" t="s">
        <v>3808</v>
      </c>
      <c r="B188" s="120" t="s">
        <v>3623</v>
      </c>
      <c r="C188" s="98" t="s">
        <v>3533</v>
      </c>
      <c r="D188" s="120" t="s">
        <v>3534</v>
      </c>
      <c r="E188" s="98">
        <v>0.28000000000000003</v>
      </c>
      <c r="F188" s="120">
        <v>0</v>
      </c>
      <c r="G188" s="121">
        <v>55</v>
      </c>
      <c r="H188" s="123">
        <v>0.28000000000000003</v>
      </c>
      <c r="I188" s="122">
        <v>15.400000000000002</v>
      </c>
      <c r="J188" s="124">
        <f t="shared" si="2"/>
        <v>0.28000000000000003</v>
      </c>
      <c r="K188" s="98" t="s">
        <v>3809</v>
      </c>
    </row>
    <row r="189" spans="1:11" ht="15" customHeight="1" x14ac:dyDescent="0.2">
      <c r="A189" s="120" t="s">
        <v>3810</v>
      </c>
      <c r="B189" s="120" t="s">
        <v>3620</v>
      </c>
      <c r="C189" s="98" t="s">
        <v>3533</v>
      </c>
      <c r="D189" s="120" t="s">
        <v>3534</v>
      </c>
      <c r="E189" s="98">
        <v>0</v>
      </c>
      <c r="F189" s="120">
        <v>0</v>
      </c>
      <c r="G189" s="121">
        <v>500</v>
      </c>
      <c r="H189" s="123">
        <v>0</v>
      </c>
      <c r="I189" s="122">
        <v>0</v>
      </c>
      <c r="J189" s="124">
        <f t="shared" si="2"/>
        <v>0</v>
      </c>
    </row>
    <row r="190" spans="1:11" ht="15" customHeight="1" x14ac:dyDescent="0.2">
      <c r="A190" s="120" t="s">
        <v>3811</v>
      </c>
      <c r="B190" s="120" t="s">
        <v>3625</v>
      </c>
      <c r="C190" s="98" t="s">
        <v>3533</v>
      </c>
      <c r="D190" s="120" t="s">
        <v>3534</v>
      </c>
      <c r="E190" s="98">
        <v>0.41115000000000002</v>
      </c>
      <c r="F190" s="120">
        <v>0</v>
      </c>
      <c r="G190" s="121">
        <v>0</v>
      </c>
      <c r="H190" s="123">
        <v>0.41115000000000002</v>
      </c>
      <c r="I190" s="122">
        <v>0</v>
      </c>
      <c r="J190" s="124">
        <f t="shared" si="2"/>
        <v>0.41115000000000002</v>
      </c>
    </row>
    <row r="191" spans="1:11" ht="15" customHeight="1" x14ac:dyDescent="0.2">
      <c r="A191" s="120" t="s">
        <v>3812</v>
      </c>
      <c r="B191" s="120" t="s">
        <v>3620</v>
      </c>
      <c r="C191" s="98" t="s">
        <v>3533</v>
      </c>
      <c r="D191" s="120" t="s">
        <v>3534</v>
      </c>
      <c r="E191" s="98">
        <v>0.54</v>
      </c>
      <c r="F191" s="120">
        <v>0</v>
      </c>
      <c r="G191" s="121">
        <v>107633</v>
      </c>
      <c r="H191" s="123">
        <v>0.54</v>
      </c>
      <c r="I191" s="122">
        <v>58121.820000000007</v>
      </c>
      <c r="J191" s="124">
        <f t="shared" si="2"/>
        <v>0.54</v>
      </c>
      <c r="K191" s="98" t="s">
        <v>3813</v>
      </c>
    </row>
    <row r="192" spans="1:11" ht="15" customHeight="1" x14ac:dyDescent="0.2">
      <c r="A192" s="120" t="s">
        <v>3814</v>
      </c>
      <c r="B192" s="120" t="s">
        <v>3632</v>
      </c>
      <c r="C192" s="98" t="s">
        <v>3533</v>
      </c>
      <c r="D192" s="120" t="s">
        <v>3534</v>
      </c>
      <c r="E192" s="98">
        <v>0.77965899999999999</v>
      </c>
      <c r="F192" s="120">
        <v>0</v>
      </c>
      <c r="G192" s="121">
        <v>105</v>
      </c>
      <c r="H192" s="123">
        <v>0.77965899999999999</v>
      </c>
      <c r="I192" s="122">
        <v>81.864194999999995</v>
      </c>
      <c r="J192" s="124">
        <f t="shared" si="2"/>
        <v>0.77965899999999999</v>
      </c>
      <c r="K192" s="98" t="s">
        <v>3815</v>
      </c>
    </row>
    <row r="193" spans="1:11" ht="15" customHeight="1" x14ac:dyDescent="0.2">
      <c r="A193" s="120" t="s">
        <v>3816</v>
      </c>
      <c r="B193" s="120" t="s">
        <v>3623</v>
      </c>
      <c r="C193" s="98" t="s">
        <v>3533</v>
      </c>
      <c r="D193" s="120" t="s">
        <v>3534</v>
      </c>
      <c r="E193" s="98">
        <v>0.43</v>
      </c>
      <c r="F193" s="120">
        <v>0</v>
      </c>
      <c r="G193" s="121">
        <v>13856</v>
      </c>
      <c r="H193" s="123">
        <v>0.43</v>
      </c>
      <c r="I193" s="122">
        <v>5958.08</v>
      </c>
      <c r="J193" s="124">
        <f t="shared" si="2"/>
        <v>0.43</v>
      </c>
      <c r="K193" s="98" t="s">
        <v>3817</v>
      </c>
    </row>
    <row r="194" spans="1:11" ht="15" customHeight="1" x14ac:dyDescent="0.2">
      <c r="A194" s="120" t="s">
        <v>3818</v>
      </c>
      <c r="B194" s="120" t="s">
        <v>3632</v>
      </c>
      <c r="C194" s="98" t="s">
        <v>3533</v>
      </c>
      <c r="D194" s="120" t="s">
        <v>3534</v>
      </c>
      <c r="E194" s="98">
        <v>0.154</v>
      </c>
      <c r="F194" s="120">
        <v>0</v>
      </c>
      <c r="G194" s="121">
        <v>635</v>
      </c>
      <c r="H194" s="123">
        <v>0.154</v>
      </c>
      <c r="I194" s="122">
        <v>97.789999999999992</v>
      </c>
      <c r="J194" s="124">
        <f t="shared" ref="J194:J257" si="3">IF(D194="gm", E194*1000,+E194)</f>
        <v>0.154</v>
      </c>
      <c r="K194" s="98" t="s">
        <v>3819</v>
      </c>
    </row>
    <row r="195" spans="1:11" ht="15" customHeight="1" x14ac:dyDescent="0.2">
      <c r="A195" s="120" t="s">
        <v>3820</v>
      </c>
      <c r="B195" s="120" t="s">
        <v>3620</v>
      </c>
      <c r="C195" s="98" t="s">
        <v>3533</v>
      </c>
      <c r="D195" s="120" t="s">
        <v>3534</v>
      </c>
      <c r="E195" s="98">
        <v>0.11899999999999999</v>
      </c>
      <c r="F195" s="120">
        <v>0</v>
      </c>
      <c r="G195" s="121">
        <v>20700</v>
      </c>
      <c r="H195" s="123">
        <v>0.11899999999999999</v>
      </c>
      <c r="I195" s="122">
        <v>2463.2999999999997</v>
      </c>
      <c r="J195" s="124">
        <f t="shared" si="3"/>
        <v>0.11899999999999999</v>
      </c>
      <c r="K195" s="98" t="s">
        <v>3821</v>
      </c>
    </row>
    <row r="196" spans="1:11" ht="15" customHeight="1" x14ac:dyDescent="0.2">
      <c r="A196" s="120" t="s">
        <v>3822</v>
      </c>
      <c r="B196" s="120" t="s">
        <v>3620</v>
      </c>
      <c r="C196" s="98" t="s">
        <v>3533</v>
      </c>
      <c r="D196" s="120" t="s">
        <v>3534</v>
      </c>
      <c r="E196" s="98">
        <v>0.19500400000000001</v>
      </c>
      <c r="F196" s="120">
        <v>0</v>
      </c>
      <c r="G196" s="121">
        <v>1214</v>
      </c>
      <c r="H196" s="123">
        <v>0.19500400000000001</v>
      </c>
      <c r="I196" s="122">
        <v>236.73485600000001</v>
      </c>
      <c r="J196" s="124">
        <f t="shared" si="3"/>
        <v>0.19500400000000001</v>
      </c>
      <c r="K196" s="98" t="s">
        <v>3823</v>
      </c>
    </row>
    <row r="197" spans="1:11" ht="15" customHeight="1" x14ac:dyDescent="0.2">
      <c r="A197" s="120" t="s">
        <v>3664</v>
      </c>
      <c r="B197" s="120" t="s">
        <v>3623</v>
      </c>
      <c r="C197" s="98" t="s">
        <v>3533</v>
      </c>
      <c r="D197" s="120" t="s">
        <v>3534</v>
      </c>
      <c r="E197" s="98">
        <v>0</v>
      </c>
      <c r="F197" s="120">
        <v>0</v>
      </c>
      <c r="G197" s="121">
        <v>8639</v>
      </c>
      <c r="H197" s="123">
        <v>0</v>
      </c>
      <c r="I197" s="122">
        <v>0</v>
      </c>
      <c r="J197" s="124">
        <f t="shared" si="3"/>
        <v>0</v>
      </c>
    </row>
    <row r="198" spans="1:11" ht="15" customHeight="1" x14ac:dyDescent="0.2">
      <c r="A198" s="120" t="s">
        <v>3824</v>
      </c>
      <c r="B198" s="120" t="s">
        <v>3705</v>
      </c>
      <c r="C198" s="98" t="s">
        <v>3533</v>
      </c>
      <c r="D198" s="120" t="s">
        <v>3534</v>
      </c>
      <c r="E198" s="98">
        <v>0.17649999999999999</v>
      </c>
      <c r="F198" s="120">
        <v>0</v>
      </c>
      <c r="G198" s="121">
        <v>5369</v>
      </c>
      <c r="H198" s="123">
        <v>0.17649999999999999</v>
      </c>
      <c r="I198" s="122">
        <v>947.62849999999992</v>
      </c>
      <c r="J198" s="124">
        <f t="shared" si="3"/>
        <v>0.17649999999999999</v>
      </c>
      <c r="K198" s="98" t="s">
        <v>3825</v>
      </c>
    </row>
    <row r="199" spans="1:11" ht="15" customHeight="1" x14ac:dyDescent="0.2">
      <c r="A199" s="120" t="s">
        <v>3826</v>
      </c>
      <c r="B199" s="120" t="s">
        <v>3705</v>
      </c>
      <c r="C199" s="98" t="s">
        <v>3533</v>
      </c>
      <c r="D199" s="120" t="s">
        <v>3534</v>
      </c>
      <c r="E199" s="98">
        <v>0.1239</v>
      </c>
      <c r="F199" s="120">
        <v>0</v>
      </c>
      <c r="G199" s="121">
        <v>5130</v>
      </c>
      <c r="H199" s="123">
        <v>0.1239</v>
      </c>
      <c r="I199" s="122">
        <v>635.60699999999997</v>
      </c>
      <c r="J199" s="124">
        <f t="shared" si="3"/>
        <v>0.1239</v>
      </c>
      <c r="K199" s="98" t="s">
        <v>3827</v>
      </c>
    </row>
    <row r="200" spans="1:11" ht="15" customHeight="1" x14ac:dyDescent="0.2">
      <c r="A200" s="120" t="s">
        <v>3828</v>
      </c>
      <c r="B200" s="120" t="s">
        <v>3705</v>
      </c>
      <c r="C200" s="98" t="s">
        <v>3533</v>
      </c>
      <c r="D200" s="120" t="s">
        <v>3534</v>
      </c>
      <c r="E200" s="98">
        <v>0.15404444444444401</v>
      </c>
      <c r="F200" s="120">
        <v>0</v>
      </c>
      <c r="G200" s="121">
        <v>42572</v>
      </c>
      <c r="H200" s="123">
        <v>0.15404399999999999</v>
      </c>
      <c r="I200" s="122">
        <v>6557.9611679999998</v>
      </c>
      <c r="J200" s="124">
        <f t="shared" si="3"/>
        <v>0.15404444444444401</v>
      </c>
      <c r="K200" s="98" t="s">
        <v>3829</v>
      </c>
    </row>
    <row r="201" spans="1:11" ht="15" customHeight="1" x14ac:dyDescent="0.2">
      <c r="A201" s="120" t="s">
        <v>3830</v>
      </c>
      <c r="B201" s="120" t="s">
        <v>3692</v>
      </c>
      <c r="C201" s="98" t="s">
        <v>3533</v>
      </c>
      <c r="D201" s="120" t="s">
        <v>3534</v>
      </c>
      <c r="E201" s="98">
        <v>0.09</v>
      </c>
      <c r="F201" s="120">
        <v>0</v>
      </c>
      <c r="G201" s="121">
        <v>225</v>
      </c>
      <c r="H201" s="123">
        <v>0.09</v>
      </c>
      <c r="I201" s="122">
        <v>20.25</v>
      </c>
      <c r="J201" s="124">
        <f t="shared" si="3"/>
        <v>0.09</v>
      </c>
    </row>
    <row r="202" spans="1:11" ht="15" customHeight="1" x14ac:dyDescent="0.2">
      <c r="A202" s="120" t="s">
        <v>3831</v>
      </c>
      <c r="B202" s="120" t="s">
        <v>3625</v>
      </c>
      <c r="C202" s="98" t="s">
        <v>3533</v>
      </c>
      <c r="D202" s="120" t="s">
        <v>3534</v>
      </c>
      <c r="E202" s="98">
        <v>0.76815999999999995</v>
      </c>
      <c r="F202" s="120">
        <v>0</v>
      </c>
      <c r="G202" s="121">
        <v>1414</v>
      </c>
      <c r="H202" s="123">
        <v>0.76815999999999995</v>
      </c>
      <c r="I202" s="122">
        <v>1086.17824</v>
      </c>
      <c r="J202" s="124">
        <f t="shared" si="3"/>
        <v>0.76815999999999995</v>
      </c>
    </row>
    <row r="203" spans="1:11" ht="15" customHeight="1" x14ac:dyDescent="0.2">
      <c r="A203" s="120" t="s">
        <v>3832</v>
      </c>
      <c r="B203" s="120" t="s">
        <v>3629</v>
      </c>
      <c r="C203" s="98" t="s">
        <v>3533</v>
      </c>
      <c r="D203" s="120" t="s">
        <v>3534</v>
      </c>
      <c r="E203" s="98">
        <v>0.16275000000000001</v>
      </c>
      <c r="F203" s="120">
        <v>0</v>
      </c>
      <c r="G203" s="121">
        <v>5772</v>
      </c>
      <c r="H203" s="123">
        <v>0.16275000000000001</v>
      </c>
      <c r="I203" s="122">
        <v>939.39300000000003</v>
      </c>
      <c r="J203" s="124">
        <f t="shared" si="3"/>
        <v>0.16275000000000001</v>
      </c>
      <c r="K203" s="98" t="s">
        <v>3833</v>
      </c>
    </row>
    <row r="204" spans="1:11" ht="15" customHeight="1" x14ac:dyDescent="0.2">
      <c r="A204" s="120" t="s">
        <v>3834</v>
      </c>
      <c r="B204" s="120" t="s">
        <v>3629</v>
      </c>
      <c r="C204" s="98" t="s">
        <v>3533</v>
      </c>
      <c r="D204" s="120" t="s">
        <v>3534</v>
      </c>
      <c r="E204" s="98">
        <v>0.36609999999999998</v>
      </c>
      <c r="F204" s="120">
        <v>0</v>
      </c>
      <c r="G204" s="121">
        <v>0</v>
      </c>
      <c r="H204" s="123">
        <v>0.36609999999999998</v>
      </c>
      <c r="I204" s="122">
        <v>0</v>
      </c>
      <c r="J204" s="124">
        <f t="shared" si="3"/>
        <v>0.36609999999999998</v>
      </c>
      <c r="K204" s="98" t="s">
        <v>3835</v>
      </c>
    </row>
    <row r="205" spans="1:11" ht="15" customHeight="1" x14ac:dyDescent="0.2">
      <c r="A205" s="120" t="s">
        <v>3836</v>
      </c>
      <c r="B205" s="120" t="s">
        <v>3629</v>
      </c>
      <c r="C205" s="98" t="s">
        <v>3533</v>
      </c>
      <c r="D205" s="120" t="s">
        <v>3534</v>
      </c>
      <c r="E205" s="98">
        <v>0.38406000000000001</v>
      </c>
      <c r="F205" s="120">
        <v>0</v>
      </c>
      <c r="G205" s="121">
        <v>21495</v>
      </c>
      <c r="H205" s="123">
        <v>0.38406000000000001</v>
      </c>
      <c r="I205" s="122">
        <v>8255.3697000000011</v>
      </c>
      <c r="J205" s="124">
        <f t="shared" si="3"/>
        <v>0.38406000000000001</v>
      </c>
      <c r="K205" s="98" t="s">
        <v>3837</v>
      </c>
    </row>
    <row r="206" spans="1:11" ht="15" customHeight="1" x14ac:dyDescent="0.2">
      <c r="A206" s="120" t="s">
        <v>3838</v>
      </c>
      <c r="B206" s="120" t="s">
        <v>3620</v>
      </c>
      <c r="C206" s="98" t="s">
        <v>3533</v>
      </c>
      <c r="D206" s="120" t="s">
        <v>3534</v>
      </c>
      <c r="E206" s="98">
        <v>0.39570512820512799</v>
      </c>
      <c r="F206" s="120">
        <v>25000</v>
      </c>
      <c r="G206" s="121">
        <v>30434</v>
      </c>
      <c r="H206" s="123">
        <v>0.39570499999999997</v>
      </c>
      <c r="I206" s="122">
        <v>12042.885969999999</v>
      </c>
      <c r="J206" s="124">
        <f t="shared" si="3"/>
        <v>0.39570512820512799</v>
      </c>
      <c r="K206" s="98" t="s">
        <v>3839</v>
      </c>
    </row>
    <row r="207" spans="1:11" ht="15" customHeight="1" x14ac:dyDescent="0.2">
      <c r="A207" s="120" t="s">
        <v>3840</v>
      </c>
      <c r="B207" s="120" t="s">
        <v>3620</v>
      </c>
      <c r="C207" s="98" t="s">
        <v>3533</v>
      </c>
      <c r="D207" s="120" t="s">
        <v>3534</v>
      </c>
      <c r="E207" s="98">
        <v>0.53</v>
      </c>
      <c r="F207" s="120">
        <v>0</v>
      </c>
      <c r="G207" s="121">
        <v>12008</v>
      </c>
      <c r="H207" s="123">
        <v>0.53</v>
      </c>
      <c r="I207" s="122">
        <v>6364.2400000000007</v>
      </c>
      <c r="J207" s="124">
        <f t="shared" si="3"/>
        <v>0.53</v>
      </c>
    </row>
    <row r="208" spans="1:11" ht="15" customHeight="1" x14ac:dyDescent="0.2">
      <c r="A208" s="120" t="s">
        <v>3707</v>
      </c>
      <c r="B208" s="120" t="s">
        <v>3620</v>
      </c>
      <c r="C208" s="98" t="s">
        <v>3533</v>
      </c>
      <c r="D208" s="120" t="s">
        <v>3534</v>
      </c>
      <c r="E208" s="98">
        <v>0.55000000000000004</v>
      </c>
      <c r="F208" s="120">
        <v>0</v>
      </c>
      <c r="G208" s="121">
        <v>2963</v>
      </c>
      <c r="H208" s="123">
        <v>0.55000000000000004</v>
      </c>
      <c r="I208" s="122">
        <v>1629.65</v>
      </c>
      <c r="J208" s="124">
        <f t="shared" si="3"/>
        <v>0.55000000000000004</v>
      </c>
    </row>
    <row r="209" spans="1:11" ht="15" customHeight="1" x14ac:dyDescent="0.2">
      <c r="A209" s="120" t="s">
        <v>3841</v>
      </c>
      <c r="B209" s="120" t="s">
        <v>3629</v>
      </c>
      <c r="C209" s="98" t="s">
        <v>3533</v>
      </c>
      <c r="D209" s="120" t="s">
        <v>3534</v>
      </c>
      <c r="E209" s="98">
        <v>0</v>
      </c>
      <c r="F209" s="120">
        <v>0</v>
      </c>
      <c r="G209" s="121">
        <v>0</v>
      </c>
      <c r="H209" s="123">
        <v>0</v>
      </c>
      <c r="I209" s="122">
        <v>0</v>
      </c>
      <c r="J209" s="124">
        <f t="shared" si="3"/>
        <v>0</v>
      </c>
      <c r="K209" s="98" t="s">
        <v>3842</v>
      </c>
    </row>
    <row r="210" spans="1:11" ht="15" customHeight="1" x14ac:dyDescent="0.2">
      <c r="A210" s="120" t="s">
        <v>3843</v>
      </c>
      <c r="B210" s="120" t="s">
        <v>3844</v>
      </c>
      <c r="C210" s="98" t="s">
        <v>3533</v>
      </c>
      <c r="D210" s="120" t="s">
        <v>3534</v>
      </c>
      <c r="E210" s="98">
        <v>0</v>
      </c>
      <c r="F210" s="120">
        <v>0</v>
      </c>
      <c r="G210" s="121">
        <v>0</v>
      </c>
      <c r="H210" s="123">
        <v>0</v>
      </c>
      <c r="I210" s="122">
        <v>0</v>
      </c>
      <c r="J210" s="124">
        <f t="shared" si="3"/>
        <v>0</v>
      </c>
      <c r="K210" s="98" t="s">
        <v>3845</v>
      </c>
    </row>
    <row r="211" spans="1:11" ht="15" customHeight="1" x14ac:dyDescent="0.2">
      <c r="A211" s="120" t="s">
        <v>3846</v>
      </c>
      <c r="B211" s="120" t="s">
        <v>3629</v>
      </c>
      <c r="C211" s="98" t="s">
        <v>3533</v>
      </c>
      <c r="D211" s="120" t="s">
        <v>3534</v>
      </c>
      <c r="E211" s="98">
        <v>0</v>
      </c>
      <c r="F211" s="120">
        <v>0</v>
      </c>
      <c r="G211" s="121">
        <v>0</v>
      </c>
      <c r="H211" s="123">
        <v>0</v>
      </c>
      <c r="I211" s="122">
        <v>0</v>
      </c>
      <c r="J211" s="124">
        <f t="shared" si="3"/>
        <v>0</v>
      </c>
      <c r="K211" s="98" t="s">
        <v>3847</v>
      </c>
    </row>
    <row r="212" spans="1:11" ht="15" customHeight="1" x14ac:dyDescent="0.2">
      <c r="A212" s="120" t="s">
        <v>3848</v>
      </c>
      <c r="B212" s="120" t="s">
        <v>3849</v>
      </c>
      <c r="C212" s="98" t="s">
        <v>3533</v>
      </c>
      <c r="D212" s="120" t="s">
        <v>3534</v>
      </c>
      <c r="E212" s="98">
        <v>0.38250000000000001</v>
      </c>
      <c r="F212" s="120">
        <v>0</v>
      </c>
      <c r="G212" s="121">
        <v>2000</v>
      </c>
      <c r="H212" s="123">
        <v>0.38250000000000001</v>
      </c>
      <c r="I212" s="122">
        <v>765</v>
      </c>
      <c r="J212" s="124">
        <f t="shared" si="3"/>
        <v>0.38250000000000001</v>
      </c>
      <c r="K212" s="98" t="s">
        <v>3850</v>
      </c>
    </row>
    <row r="213" spans="1:11" ht="15" customHeight="1" x14ac:dyDescent="0.2">
      <c r="A213" s="120" t="s">
        <v>3851</v>
      </c>
      <c r="B213" s="120" t="s">
        <v>3632</v>
      </c>
      <c r="C213" s="98" t="s">
        <v>3533</v>
      </c>
      <c r="D213" s="120" t="s">
        <v>3534</v>
      </c>
      <c r="E213" s="98">
        <v>0</v>
      </c>
      <c r="F213" s="120">
        <v>0</v>
      </c>
      <c r="G213" s="121">
        <v>0</v>
      </c>
      <c r="H213" s="123">
        <v>0</v>
      </c>
      <c r="I213" s="122">
        <v>0</v>
      </c>
      <c r="J213" s="124">
        <f t="shared" si="3"/>
        <v>0</v>
      </c>
      <c r="K213" s="98" t="s">
        <v>3852</v>
      </c>
    </row>
    <row r="214" spans="1:11" ht="15" customHeight="1" x14ac:dyDescent="0.2">
      <c r="A214" s="120" t="s">
        <v>3853</v>
      </c>
      <c r="B214" s="120" t="s">
        <v>3854</v>
      </c>
      <c r="C214" s="98" t="s">
        <v>3533</v>
      </c>
      <c r="D214" s="120" t="s">
        <v>3534</v>
      </c>
      <c r="E214" s="98">
        <v>0.27939999999999998</v>
      </c>
      <c r="F214" s="120">
        <v>0</v>
      </c>
      <c r="G214" s="121">
        <v>1295</v>
      </c>
      <c r="H214" s="123">
        <v>0.27939999999999998</v>
      </c>
      <c r="I214" s="122">
        <v>361.82299999999998</v>
      </c>
      <c r="J214" s="124">
        <f t="shared" si="3"/>
        <v>0.27939999999999998</v>
      </c>
      <c r="K214" s="98" t="s">
        <v>3855</v>
      </c>
    </row>
    <row r="215" spans="1:11" ht="15" customHeight="1" x14ac:dyDescent="0.2">
      <c r="A215" s="120" t="s">
        <v>3856</v>
      </c>
      <c r="B215" s="120" t="s">
        <v>3692</v>
      </c>
      <c r="C215" s="98" t="s">
        <v>3533</v>
      </c>
      <c r="D215" s="120" t="s">
        <v>3534</v>
      </c>
      <c r="E215" s="98">
        <v>0.12</v>
      </c>
      <c r="F215" s="120">
        <v>0</v>
      </c>
      <c r="G215" s="121">
        <v>975</v>
      </c>
      <c r="H215" s="123">
        <v>0.12</v>
      </c>
      <c r="I215" s="122">
        <v>117</v>
      </c>
      <c r="J215" s="124">
        <f t="shared" si="3"/>
        <v>0.12</v>
      </c>
      <c r="K215" s="98" t="s">
        <v>3857</v>
      </c>
    </row>
    <row r="216" spans="1:11" ht="15" customHeight="1" x14ac:dyDescent="0.2">
      <c r="A216" s="120" t="s">
        <v>3858</v>
      </c>
      <c r="B216" s="120" t="s">
        <v>3692</v>
      </c>
      <c r="C216" s="98" t="s">
        <v>3533</v>
      </c>
      <c r="D216" s="120" t="s">
        <v>3534</v>
      </c>
      <c r="E216" s="98">
        <v>0.11</v>
      </c>
      <c r="F216" s="120">
        <v>0</v>
      </c>
      <c r="G216" s="121">
        <v>48382</v>
      </c>
      <c r="H216" s="123">
        <v>0.11</v>
      </c>
      <c r="I216" s="122">
        <v>5322.02</v>
      </c>
      <c r="J216" s="124">
        <f t="shared" si="3"/>
        <v>0.11</v>
      </c>
      <c r="K216" s="98" t="s">
        <v>3859</v>
      </c>
    </row>
    <row r="217" spans="1:11" ht="15" customHeight="1" x14ac:dyDescent="0.2">
      <c r="A217" s="120" t="s">
        <v>3860</v>
      </c>
      <c r="B217" s="120" t="s">
        <v>3692</v>
      </c>
      <c r="C217" s="98" t="s">
        <v>3533</v>
      </c>
      <c r="D217" s="120" t="s">
        <v>3534</v>
      </c>
      <c r="E217" s="98">
        <v>0</v>
      </c>
      <c r="F217" s="120">
        <v>0</v>
      </c>
      <c r="G217" s="121">
        <v>0</v>
      </c>
      <c r="H217" s="123">
        <v>0</v>
      </c>
      <c r="I217" s="122">
        <v>0</v>
      </c>
      <c r="J217" s="124">
        <f t="shared" si="3"/>
        <v>0</v>
      </c>
    </row>
    <row r="218" spans="1:11" ht="15" customHeight="1" x14ac:dyDescent="0.2">
      <c r="A218" s="120" t="s">
        <v>3861</v>
      </c>
      <c r="B218" s="120" t="s">
        <v>3708</v>
      </c>
      <c r="C218" s="98" t="s">
        <v>3533</v>
      </c>
      <c r="D218" s="120" t="s">
        <v>3534</v>
      </c>
      <c r="E218" s="98">
        <v>0.26900000000000002</v>
      </c>
      <c r="F218" s="120">
        <v>0</v>
      </c>
      <c r="G218" s="121">
        <v>24044</v>
      </c>
      <c r="H218" s="123">
        <v>0.26900000000000002</v>
      </c>
      <c r="I218" s="122">
        <v>6467.8360000000002</v>
      </c>
      <c r="J218" s="124">
        <f t="shared" si="3"/>
        <v>0.26900000000000002</v>
      </c>
      <c r="K218" s="98" t="s">
        <v>3862</v>
      </c>
    </row>
    <row r="219" spans="1:11" ht="15" customHeight="1" x14ac:dyDescent="0.2">
      <c r="A219" s="120" t="s">
        <v>3863</v>
      </c>
      <c r="B219" s="120" t="s">
        <v>3705</v>
      </c>
      <c r="C219" s="98" t="s">
        <v>3533</v>
      </c>
      <c r="D219" s="120" t="s">
        <v>3534</v>
      </c>
      <c r="E219" s="98">
        <v>0.269703703703704</v>
      </c>
      <c r="F219" s="120">
        <v>0</v>
      </c>
      <c r="G219" s="121">
        <v>540</v>
      </c>
      <c r="H219" s="123">
        <v>0.269704</v>
      </c>
      <c r="I219" s="122">
        <v>145.64016000000001</v>
      </c>
      <c r="J219" s="124">
        <f t="shared" si="3"/>
        <v>0.269703703703704</v>
      </c>
      <c r="K219" s="98" t="s">
        <v>3864</v>
      </c>
    </row>
    <row r="220" spans="1:11" ht="15" customHeight="1" x14ac:dyDescent="0.2">
      <c r="A220" s="120" t="s">
        <v>3865</v>
      </c>
      <c r="B220" s="120" t="s">
        <v>3692</v>
      </c>
      <c r="C220" s="98" t="s">
        <v>3533</v>
      </c>
      <c r="D220" s="120" t="s">
        <v>3534</v>
      </c>
      <c r="E220" s="98">
        <v>0.26</v>
      </c>
      <c r="F220" s="120">
        <v>0</v>
      </c>
      <c r="G220" s="121">
        <v>0</v>
      </c>
      <c r="H220" s="123">
        <v>0.26</v>
      </c>
      <c r="I220" s="122">
        <v>0</v>
      </c>
      <c r="J220" s="124">
        <f t="shared" si="3"/>
        <v>0.26</v>
      </c>
      <c r="K220" s="98" t="s">
        <v>3866</v>
      </c>
    </row>
    <row r="221" spans="1:11" ht="15" customHeight="1" x14ac:dyDescent="0.2">
      <c r="A221" s="120" t="s">
        <v>3867</v>
      </c>
      <c r="B221" s="120" t="s">
        <v>3625</v>
      </c>
      <c r="C221" s="98" t="s">
        <v>3533</v>
      </c>
      <c r="D221" s="120" t="s">
        <v>3534</v>
      </c>
      <c r="E221" s="98">
        <v>0.19395000000000001</v>
      </c>
      <c r="F221" s="120">
        <v>0</v>
      </c>
      <c r="G221" s="121">
        <v>0</v>
      </c>
      <c r="H221" s="123">
        <v>0.19395000000000001</v>
      </c>
      <c r="I221" s="122">
        <v>0</v>
      </c>
      <c r="J221" s="124">
        <f t="shared" si="3"/>
        <v>0.19395000000000001</v>
      </c>
    </row>
    <row r="222" spans="1:11" ht="15" customHeight="1" x14ac:dyDescent="0.2">
      <c r="A222" s="120" t="s">
        <v>3868</v>
      </c>
      <c r="B222" s="120" t="s">
        <v>3627</v>
      </c>
      <c r="C222" s="98" t="s">
        <v>3533</v>
      </c>
      <c r="D222" s="120" t="s">
        <v>3534</v>
      </c>
      <c r="E222" s="98">
        <v>0.64059986772486799</v>
      </c>
      <c r="F222" s="120">
        <v>0</v>
      </c>
      <c r="G222" s="121">
        <v>102934</v>
      </c>
      <c r="H222" s="123">
        <v>0.64059999999999995</v>
      </c>
      <c r="I222" s="122">
        <v>65939.520399999994</v>
      </c>
      <c r="J222" s="124">
        <f t="shared" si="3"/>
        <v>0.64059986772486799</v>
      </c>
      <c r="K222" s="98" t="s">
        <v>3869</v>
      </c>
    </row>
    <row r="223" spans="1:11" ht="15" customHeight="1" x14ac:dyDescent="0.2">
      <c r="A223" s="120" t="s">
        <v>3870</v>
      </c>
      <c r="B223" s="120" t="s">
        <v>3629</v>
      </c>
      <c r="C223" s="98" t="s">
        <v>3533</v>
      </c>
      <c r="D223" s="120" t="s">
        <v>3534</v>
      </c>
      <c r="E223" s="98">
        <v>0.54354000000000002</v>
      </c>
      <c r="F223" s="120">
        <v>0</v>
      </c>
      <c r="G223" s="121">
        <v>1247</v>
      </c>
      <c r="H223" s="123">
        <v>0.54354000000000002</v>
      </c>
      <c r="I223" s="122">
        <v>677.79438000000005</v>
      </c>
      <c r="J223" s="124">
        <f t="shared" si="3"/>
        <v>0.54354000000000002</v>
      </c>
    </row>
    <row r="224" spans="1:11" ht="15" customHeight="1" x14ac:dyDescent="0.2">
      <c r="A224" s="120" t="s">
        <v>3871</v>
      </c>
      <c r="B224" s="120" t="s">
        <v>3629</v>
      </c>
      <c r="C224" s="98" t="s">
        <v>3533</v>
      </c>
      <c r="D224" s="120" t="s">
        <v>3534</v>
      </c>
      <c r="E224" s="98">
        <v>0.20879981884057999</v>
      </c>
      <c r="F224" s="120">
        <v>0</v>
      </c>
      <c r="G224" s="121">
        <v>707</v>
      </c>
      <c r="H224" s="123">
        <v>0.20880000000000001</v>
      </c>
      <c r="I224" s="122">
        <v>147.6216</v>
      </c>
      <c r="J224" s="124">
        <f t="shared" si="3"/>
        <v>0.20879981884057999</v>
      </c>
      <c r="K224" s="98" t="s">
        <v>3872</v>
      </c>
    </row>
    <row r="225" spans="1:11" ht="15" customHeight="1" x14ac:dyDescent="0.2">
      <c r="A225" s="120" t="s">
        <v>3873</v>
      </c>
      <c r="B225" s="120" t="s">
        <v>3625</v>
      </c>
      <c r="C225" s="98" t="s">
        <v>3533</v>
      </c>
      <c r="D225" s="120" t="s">
        <v>3534</v>
      </c>
      <c r="E225" s="98">
        <v>0</v>
      </c>
      <c r="F225" s="120">
        <v>0</v>
      </c>
      <c r="G225" s="121">
        <v>0</v>
      </c>
      <c r="H225" s="123">
        <v>0</v>
      </c>
      <c r="I225" s="122">
        <v>0</v>
      </c>
      <c r="J225" s="124">
        <f t="shared" si="3"/>
        <v>0</v>
      </c>
    </row>
    <row r="226" spans="1:11" ht="15" customHeight="1" x14ac:dyDescent="0.2">
      <c r="A226" s="120" t="s">
        <v>3874</v>
      </c>
      <c r="B226" s="120" t="s">
        <v>3692</v>
      </c>
      <c r="C226" s="98" t="s">
        <v>3533</v>
      </c>
      <c r="D226" s="120" t="s">
        <v>3534</v>
      </c>
      <c r="E226" s="98">
        <v>0.2</v>
      </c>
      <c r="F226" s="120">
        <v>0</v>
      </c>
      <c r="G226" s="121">
        <v>1428</v>
      </c>
      <c r="H226" s="123">
        <v>0.2</v>
      </c>
      <c r="I226" s="122">
        <v>285.60000000000002</v>
      </c>
      <c r="J226" s="124">
        <f t="shared" si="3"/>
        <v>0.2</v>
      </c>
    </row>
    <row r="227" spans="1:11" ht="15" customHeight="1" x14ac:dyDescent="0.2">
      <c r="A227" s="120" t="s">
        <v>3875</v>
      </c>
      <c r="B227" s="120" t="s">
        <v>3620</v>
      </c>
      <c r="C227" s="98" t="s">
        <v>3533</v>
      </c>
      <c r="D227" s="120" t="s">
        <v>3534</v>
      </c>
      <c r="E227" s="98">
        <v>0.37524999999999997</v>
      </c>
      <c r="F227" s="120">
        <v>0</v>
      </c>
      <c r="G227" s="121">
        <v>1440</v>
      </c>
      <c r="H227" s="123">
        <v>0</v>
      </c>
      <c r="I227" s="122">
        <v>0</v>
      </c>
      <c r="J227" s="124">
        <f t="shared" si="3"/>
        <v>0.37524999999999997</v>
      </c>
      <c r="K227" s="98" t="s">
        <v>3876</v>
      </c>
    </row>
    <row r="228" spans="1:11" ht="15" customHeight="1" x14ac:dyDescent="0.2">
      <c r="A228" s="120" t="s">
        <v>3877</v>
      </c>
      <c r="B228" s="120" t="s">
        <v>3705</v>
      </c>
      <c r="C228" s="98" t="s">
        <v>3533</v>
      </c>
      <c r="D228" s="120" t="s">
        <v>3534</v>
      </c>
      <c r="E228" s="98">
        <v>0.2036</v>
      </c>
      <c r="F228" s="120">
        <v>0</v>
      </c>
      <c r="G228" s="121">
        <v>12100</v>
      </c>
      <c r="H228" s="123">
        <v>0.2036</v>
      </c>
      <c r="I228" s="122">
        <v>2463.56</v>
      </c>
      <c r="J228" s="124">
        <f t="shared" si="3"/>
        <v>0.2036</v>
      </c>
    </row>
    <row r="229" spans="1:11" ht="15" customHeight="1" x14ac:dyDescent="0.2">
      <c r="A229" s="120" t="s">
        <v>3878</v>
      </c>
      <c r="B229" s="120" t="s">
        <v>3625</v>
      </c>
      <c r="C229" s="98" t="s">
        <v>3533</v>
      </c>
      <c r="D229" s="120" t="s">
        <v>3534</v>
      </c>
      <c r="E229" s="98">
        <v>0.40868989898989899</v>
      </c>
      <c r="F229" s="120">
        <v>0</v>
      </c>
      <c r="G229" s="121">
        <v>14910</v>
      </c>
      <c r="H229" s="123">
        <v>0.40869</v>
      </c>
      <c r="I229" s="122">
        <v>6093.5679</v>
      </c>
      <c r="J229" s="124">
        <f t="shared" si="3"/>
        <v>0.40868989898989899</v>
      </c>
      <c r="K229" s="98" t="s">
        <v>3879</v>
      </c>
    </row>
    <row r="230" spans="1:11" ht="15" customHeight="1" x14ac:dyDescent="0.2">
      <c r="A230" s="120" t="s">
        <v>3880</v>
      </c>
      <c r="B230" s="120" t="s">
        <v>3705</v>
      </c>
      <c r="C230" s="98" t="s">
        <v>3533</v>
      </c>
      <c r="D230" s="120" t="s">
        <v>3534</v>
      </c>
      <c r="E230" s="98">
        <v>0.235895424836601</v>
      </c>
      <c r="F230" s="120">
        <v>0</v>
      </c>
      <c r="G230" s="121">
        <v>6120</v>
      </c>
      <c r="H230" s="123">
        <v>0.23589499999999999</v>
      </c>
      <c r="I230" s="122">
        <v>1443.6774</v>
      </c>
      <c r="J230" s="124">
        <f t="shared" si="3"/>
        <v>0.235895424836601</v>
      </c>
    </row>
    <row r="231" spans="1:11" ht="15" customHeight="1" x14ac:dyDescent="0.2">
      <c r="A231" s="120" t="s">
        <v>3881</v>
      </c>
      <c r="B231" s="120" t="s">
        <v>3705</v>
      </c>
      <c r="C231" s="98" t="s">
        <v>3533</v>
      </c>
      <c r="D231" s="120" t="s">
        <v>3534</v>
      </c>
      <c r="E231" s="98">
        <v>0.232584126984127</v>
      </c>
      <c r="F231" s="120">
        <v>0</v>
      </c>
      <c r="G231" s="121">
        <v>833</v>
      </c>
      <c r="H231" s="123">
        <v>0.23258400000000001</v>
      </c>
      <c r="I231" s="122">
        <v>193.74247200000002</v>
      </c>
      <c r="J231" s="124">
        <f t="shared" si="3"/>
        <v>0.232584126984127</v>
      </c>
    </row>
    <row r="232" spans="1:11" ht="15" customHeight="1" x14ac:dyDescent="0.2">
      <c r="A232" s="120" t="s">
        <v>3882</v>
      </c>
      <c r="B232" s="120" t="s">
        <v>3629</v>
      </c>
      <c r="C232" s="98" t="s">
        <v>3533</v>
      </c>
      <c r="D232" s="120" t="s">
        <v>3534</v>
      </c>
      <c r="E232" s="98">
        <v>0</v>
      </c>
      <c r="F232" s="120">
        <v>0</v>
      </c>
      <c r="G232" s="121">
        <v>0</v>
      </c>
      <c r="H232" s="123">
        <v>0</v>
      </c>
      <c r="I232" s="122">
        <v>0</v>
      </c>
      <c r="J232" s="124">
        <f t="shared" si="3"/>
        <v>0</v>
      </c>
    </row>
    <row r="233" spans="1:11" ht="15" customHeight="1" x14ac:dyDescent="0.2">
      <c r="A233" s="120" t="s">
        <v>3883</v>
      </c>
      <c r="B233" s="120" t="s">
        <v>3599</v>
      </c>
      <c r="C233" s="98" t="s">
        <v>3533</v>
      </c>
      <c r="D233" s="120" t="s">
        <v>3534</v>
      </c>
      <c r="E233" s="98">
        <v>1.1000000000000001</v>
      </c>
      <c r="F233" s="120">
        <v>0</v>
      </c>
      <c r="G233" s="121">
        <v>187</v>
      </c>
      <c r="H233" s="123">
        <v>1.1000000000000001</v>
      </c>
      <c r="I233" s="122">
        <v>205.70000000000002</v>
      </c>
      <c r="J233" s="124">
        <f t="shared" si="3"/>
        <v>1.1000000000000001</v>
      </c>
      <c r="K233" s="98" t="s">
        <v>3884</v>
      </c>
    </row>
    <row r="234" spans="1:11" ht="15" customHeight="1" x14ac:dyDescent="0.2">
      <c r="A234" s="120" t="s">
        <v>3885</v>
      </c>
      <c r="B234" s="120" t="s">
        <v>3886</v>
      </c>
      <c r="C234" s="98" t="s">
        <v>3533</v>
      </c>
      <c r="D234" s="120" t="s">
        <v>3534</v>
      </c>
      <c r="E234" s="98">
        <v>0.42599999999999999</v>
      </c>
      <c r="F234" s="120">
        <v>0</v>
      </c>
      <c r="G234" s="121">
        <v>261</v>
      </c>
      <c r="H234" s="123">
        <v>0.42599999999999999</v>
      </c>
      <c r="I234" s="122">
        <v>111.18599999999999</v>
      </c>
      <c r="J234" s="124">
        <f t="shared" si="3"/>
        <v>0.42599999999999999</v>
      </c>
      <c r="K234" s="98" t="s">
        <v>3887</v>
      </c>
    </row>
    <row r="235" spans="1:11" ht="15" customHeight="1" x14ac:dyDescent="0.2">
      <c r="A235" s="120" t="s">
        <v>3888</v>
      </c>
      <c r="B235" s="120" t="s">
        <v>3532</v>
      </c>
      <c r="C235" s="98" t="s">
        <v>3533</v>
      </c>
      <c r="D235" s="120" t="s">
        <v>3534</v>
      </c>
      <c r="E235" s="98">
        <v>0.105</v>
      </c>
      <c r="F235" s="120">
        <v>0</v>
      </c>
      <c r="G235" s="121">
        <v>0</v>
      </c>
      <c r="H235" s="123">
        <v>0.105</v>
      </c>
      <c r="I235" s="122">
        <v>0</v>
      </c>
      <c r="J235" s="124">
        <f t="shared" si="3"/>
        <v>0.105</v>
      </c>
    </row>
    <row r="236" spans="1:11" ht="15" customHeight="1" x14ac:dyDescent="0.2">
      <c r="A236" s="120" t="s">
        <v>3889</v>
      </c>
      <c r="B236" s="120" t="s">
        <v>3599</v>
      </c>
      <c r="C236" s="98" t="s">
        <v>3533</v>
      </c>
      <c r="D236" s="120" t="s">
        <v>3534</v>
      </c>
      <c r="E236" s="98">
        <v>1.04</v>
      </c>
      <c r="F236" s="120">
        <v>0</v>
      </c>
      <c r="G236" s="121">
        <v>15</v>
      </c>
      <c r="H236" s="123">
        <v>1.04</v>
      </c>
      <c r="I236" s="122">
        <v>15.600000000000001</v>
      </c>
      <c r="J236" s="124">
        <f t="shared" si="3"/>
        <v>1.04</v>
      </c>
      <c r="K236" s="98" t="s">
        <v>3890</v>
      </c>
    </row>
    <row r="237" spans="1:11" ht="15" customHeight="1" x14ac:dyDescent="0.2">
      <c r="A237" s="120" t="s">
        <v>3891</v>
      </c>
      <c r="B237" s="120" t="s">
        <v>3532</v>
      </c>
      <c r="C237" s="98" t="s">
        <v>3533</v>
      </c>
      <c r="D237" s="120" t="s">
        <v>3534</v>
      </c>
      <c r="E237" s="98">
        <v>0.56999999999999995</v>
      </c>
      <c r="F237" s="120">
        <v>0</v>
      </c>
      <c r="G237" s="121">
        <v>0</v>
      </c>
      <c r="H237" s="123">
        <v>0.56999999999999995</v>
      </c>
      <c r="I237" s="122">
        <v>0</v>
      </c>
      <c r="J237" s="124">
        <f t="shared" si="3"/>
        <v>0.56999999999999995</v>
      </c>
    </row>
    <row r="238" spans="1:11" ht="15" customHeight="1" x14ac:dyDescent="0.2">
      <c r="A238" s="120" t="s">
        <v>3892</v>
      </c>
      <c r="B238" s="120" t="s">
        <v>3532</v>
      </c>
      <c r="C238" s="98" t="s">
        <v>3533</v>
      </c>
      <c r="D238" s="120" t="s">
        <v>3534</v>
      </c>
      <c r="E238" s="98">
        <v>1.06</v>
      </c>
      <c r="F238" s="120">
        <v>0</v>
      </c>
      <c r="G238" s="121">
        <v>0</v>
      </c>
      <c r="H238" s="123">
        <v>1.06</v>
      </c>
      <c r="I238" s="122">
        <v>0</v>
      </c>
      <c r="J238" s="124">
        <f t="shared" si="3"/>
        <v>1.06</v>
      </c>
    </row>
    <row r="239" spans="1:11" ht="15" customHeight="1" x14ac:dyDescent="0.2">
      <c r="A239" s="120" t="s">
        <v>3893</v>
      </c>
      <c r="B239" s="120" t="s">
        <v>3532</v>
      </c>
      <c r="C239" s="98" t="s">
        <v>3533</v>
      </c>
      <c r="D239" s="120" t="s">
        <v>3534</v>
      </c>
      <c r="E239" s="98">
        <v>0.83199999999999996</v>
      </c>
      <c r="F239" s="120">
        <v>0</v>
      </c>
      <c r="G239" s="121">
        <v>0</v>
      </c>
      <c r="H239" s="123">
        <v>0.83199999999999996</v>
      </c>
      <c r="I239" s="122">
        <v>0</v>
      </c>
      <c r="J239" s="124">
        <f t="shared" si="3"/>
        <v>0.83199999999999996</v>
      </c>
    </row>
    <row r="240" spans="1:11" ht="15" customHeight="1" x14ac:dyDescent="0.2">
      <c r="A240" s="120" t="s">
        <v>3894</v>
      </c>
      <c r="B240" s="120" t="s">
        <v>3532</v>
      </c>
      <c r="C240" s="98" t="s">
        <v>3533</v>
      </c>
      <c r="D240" s="120" t="s">
        <v>3534</v>
      </c>
      <c r="E240" s="98">
        <v>0.61</v>
      </c>
      <c r="F240" s="120">
        <v>0</v>
      </c>
      <c r="G240" s="121">
        <v>0</v>
      </c>
      <c r="H240" s="123">
        <v>0.61</v>
      </c>
      <c r="I240" s="122">
        <v>0</v>
      </c>
      <c r="J240" s="124">
        <f t="shared" si="3"/>
        <v>0.61</v>
      </c>
    </row>
    <row r="241" spans="1:11" ht="15" customHeight="1" x14ac:dyDescent="0.2">
      <c r="A241" s="120" t="s">
        <v>3895</v>
      </c>
      <c r="B241" s="120" t="s">
        <v>3532</v>
      </c>
      <c r="C241" s="98" t="s">
        <v>3533</v>
      </c>
      <c r="D241" s="120" t="s">
        <v>3534</v>
      </c>
      <c r="E241" s="98">
        <v>1</v>
      </c>
      <c r="F241" s="120">
        <v>0</v>
      </c>
      <c r="G241" s="121">
        <v>30</v>
      </c>
      <c r="H241" s="123">
        <v>1</v>
      </c>
      <c r="I241" s="122">
        <v>30</v>
      </c>
      <c r="J241" s="124">
        <f t="shared" si="3"/>
        <v>1</v>
      </c>
    </row>
    <row r="242" spans="1:11" ht="15" customHeight="1" x14ac:dyDescent="0.2">
      <c r="A242" s="120" t="s">
        <v>3896</v>
      </c>
      <c r="B242" s="120" t="s">
        <v>3532</v>
      </c>
      <c r="C242" s="98" t="s">
        <v>3533</v>
      </c>
      <c r="D242" s="120" t="s">
        <v>3534</v>
      </c>
      <c r="E242" s="98">
        <v>2.5499999999999998</v>
      </c>
      <c r="F242" s="120">
        <v>0</v>
      </c>
      <c r="G242" s="121">
        <v>0</v>
      </c>
      <c r="H242" s="123">
        <v>2.5499999999999998</v>
      </c>
      <c r="I242" s="122">
        <v>0</v>
      </c>
      <c r="J242" s="124">
        <f t="shared" si="3"/>
        <v>2.5499999999999998</v>
      </c>
    </row>
    <row r="243" spans="1:11" ht="15" customHeight="1" x14ac:dyDescent="0.2">
      <c r="A243" s="120" t="s">
        <v>3897</v>
      </c>
      <c r="B243" s="120" t="s">
        <v>3599</v>
      </c>
      <c r="C243" s="98" t="s">
        <v>3533</v>
      </c>
      <c r="D243" s="120" t="s">
        <v>3534</v>
      </c>
      <c r="E243" s="98">
        <v>0.88</v>
      </c>
      <c r="F243" s="120">
        <v>0</v>
      </c>
      <c r="G243" s="121">
        <v>21</v>
      </c>
      <c r="H243" s="123">
        <v>0.88</v>
      </c>
      <c r="I243" s="122">
        <v>18.48</v>
      </c>
      <c r="J243" s="124">
        <f t="shared" si="3"/>
        <v>0.88</v>
      </c>
      <c r="K243" s="98" t="s">
        <v>3898</v>
      </c>
    </row>
    <row r="244" spans="1:11" ht="15" customHeight="1" x14ac:dyDescent="0.2">
      <c r="A244" s="120" t="s">
        <v>3899</v>
      </c>
      <c r="B244" s="120" t="s">
        <v>3900</v>
      </c>
      <c r="C244" s="98" t="s">
        <v>3901</v>
      </c>
      <c r="D244" s="120" t="s">
        <v>3534</v>
      </c>
      <c r="E244" s="98">
        <v>0.3</v>
      </c>
      <c r="F244" s="120">
        <v>0</v>
      </c>
      <c r="G244" s="121">
        <v>0</v>
      </c>
      <c r="H244" s="123">
        <v>0.3</v>
      </c>
      <c r="I244" s="122">
        <v>0</v>
      </c>
      <c r="J244" s="124">
        <f t="shared" si="3"/>
        <v>0.3</v>
      </c>
    </row>
    <row r="245" spans="1:11" ht="15" customHeight="1" x14ac:dyDescent="0.2">
      <c r="A245" s="120" t="s">
        <v>3902</v>
      </c>
      <c r="B245" s="120" t="s">
        <v>3532</v>
      </c>
      <c r="C245" s="98" t="s">
        <v>3533</v>
      </c>
      <c r="D245" s="120" t="s">
        <v>3534</v>
      </c>
      <c r="E245" s="98">
        <v>1.47</v>
      </c>
      <c r="F245" s="120">
        <v>0</v>
      </c>
      <c r="G245" s="121">
        <v>0</v>
      </c>
      <c r="H245" s="123">
        <v>1.47</v>
      </c>
      <c r="I245" s="122">
        <v>0</v>
      </c>
      <c r="J245" s="124">
        <f t="shared" si="3"/>
        <v>1.47</v>
      </c>
    </row>
    <row r="246" spans="1:11" ht="15" customHeight="1" x14ac:dyDescent="0.2">
      <c r="A246" s="120" t="s">
        <v>3903</v>
      </c>
      <c r="B246" s="120" t="s">
        <v>3599</v>
      </c>
      <c r="C246" s="98" t="s">
        <v>3533</v>
      </c>
      <c r="D246" s="120" t="s">
        <v>3534</v>
      </c>
      <c r="E246" s="98">
        <v>2.4300000000000002</v>
      </c>
      <c r="F246" s="120">
        <v>0</v>
      </c>
      <c r="G246" s="121">
        <v>392</v>
      </c>
      <c r="H246" s="123">
        <v>2.4300000000000002</v>
      </c>
      <c r="I246" s="122">
        <v>952.56000000000006</v>
      </c>
      <c r="J246" s="124">
        <f t="shared" si="3"/>
        <v>2.4300000000000002</v>
      </c>
      <c r="K246" s="98" t="s">
        <v>3904</v>
      </c>
    </row>
    <row r="247" spans="1:11" ht="15" customHeight="1" x14ac:dyDescent="0.2">
      <c r="A247" s="120" t="s">
        <v>3905</v>
      </c>
      <c r="B247" s="120" t="s">
        <v>3599</v>
      </c>
      <c r="C247" s="98" t="s">
        <v>3533</v>
      </c>
      <c r="D247" s="120" t="s">
        <v>3534</v>
      </c>
      <c r="E247" s="98">
        <v>0</v>
      </c>
      <c r="F247" s="120">
        <v>0</v>
      </c>
      <c r="G247" s="121">
        <v>2</v>
      </c>
      <c r="H247" s="123">
        <v>0</v>
      </c>
      <c r="I247" s="122">
        <v>0</v>
      </c>
      <c r="J247" s="124">
        <f t="shared" si="3"/>
        <v>0</v>
      </c>
    </row>
    <row r="248" spans="1:11" ht="15" customHeight="1" x14ac:dyDescent="0.2">
      <c r="A248" s="120" t="s">
        <v>3906</v>
      </c>
      <c r="B248" s="120" t="s">
        <v>3907</v>
      </c>
      <c r="C248" s="98" t="s">
        <v>3533</v>
      </c>
      <c r="D248" s="120" t="s">
        <v>3534</v>
      </c>
      <c r="E248" s="98">
        <v>0.3</v>
      </c>
      <c r="F248" s="120">
        <v>0</v>
      </c>
      <c r="G248" s="121">
        <v>0</v>
      </c>
      <c r="H248" s="123">
        <v>0.3</v>
      </c>
      <c r="I248" s="122">
        <v>0</v>
      </c>
      <c r="J248" s="124">
        <f t="shared" si="3"/>
        <v>0.3</v>
      </c>
    </row>
    <row r="249" spans="1:11" ht="15" customHeight="1" x14ac:dyDescent="0.2">
      <c r="A249" s="120" t="s">
        <v>3908</v>
      </c>
      <c r="B249" s="120" t="s">
        <v>3599</v>
      </c>
      <c r="C249" s="98" t="s">
        <v>3533</v>
      </c>
      <c r="D249" s="120" t="s">
        <v>3534</v>
      </c>
      <c r="E249" s="98">
        <v>0.4</v>
      </c>
      <c r="F249" s="120">
        <v>0</v>
      </c>
      <c r="G249" s="121">
        <v>100</v>
      </c>
      <c r="H249" s="123">
        <v>0.4</v>
      </c>
      <c r="I249" s="122">
        <v>40</v>
      </c>
      <c r="J249" s="124">
        <f t="shared" si="3"/>
        <v>0.4</v>
      </c>
      <c r="K249" s="98" t="s">
        <v>3909</v>
      </c>
    </row>
    <row r="250" spans="1:11" ht="15" customHeight="1" x14ac:dyDescent="0.2">
      <c r="A250" s="120" t="s">
        <v>3910</v>
      </c>
      <c r="B250" s="120" t="s">
        <v>3599</v>
      </c>
      <c r="C250" s="98" t="s">
        <v>3533</v>
      </c>
      <c r="D250" s="120" t="s">
        <v>3534</v>
      </c>
      <c r="E250" s="98">
        <v>1.46</v>
      </c>
      <c r="F250" s="120">
        <v>0</v>
      </c>
      <c r="G250" s="121">
        <v>1139</v>
      </c>
      <c r="H250" s="123">
        <v>1.522489</v>
      </c>
      <c r="I250" s="122">
        <v>1734.114971</v>
      </c>
      <c r="J250" s="124">
        <f t="shared" si="3"/>
        <v>1.46</v>
      </c>
      <c r="K250" s="98" t="s">
        <v>3911</v>
      </c>
    </row>
    <row r="251" spans="1:11" ht="15" customHeight="1" x14ac:dyDescent="0.2">
      <c r="A251" s="120" t="s">
        <v>3912</v>
      </c>
      <c r="B251" s="120" t="s">
        <v>3907</v>
      </c>
      <c r="C251" s="98" t="s">
        <v>3533</v>
      </c>
      <c r="D251" s="120" t="s">
        <v>3534</v>
      </c>
      <c r="E251" s="98">
        <v>1.98</v>
      </c>
      <c r="F251" s="120">
        <v>0</v>
      </c>
      <c r="G251" s="121">
        <v>2477</v>
      </c>
      <c r="H251" s="123">
        <v>1.98</v>
      </c>
      <c r="I251" s="122">
        <v>4904.46</v>
      </c>
      <c r="J251" s="124">
        <f t="shared" si="3"/>
        <v>1.98</v>
      </c>
      <c r="K251" s="98" t="s">
        <v>3913</v>
      </c>
    </row>
    <row r="252" spans="1:11" ht="15" customHeight="1" x14ac:dyDescent="0.2">
      <c r="A252" s="120" t="s">
        <v>3914</v>
      </c>
      <c r="B252" s="120" t="s">
        <v>3599</v>
      </c>
      <c r="C252" s="98" t="s">
        <v>3533</v>
      </c>
      <c r="D252" s="120" t="s">
        <v>3534</v>
      </c>
      <c r="E252" s="98">
        <v>0.85</v>
      </c>
      <c r="F252" s="120">
        <v>0</v>
      </c>
      <c r="G252" s="121">
        <v>1407</v>
      </c>
      <c r="H252" s="123">
        <v>0.85</v>
      </c>
      <c r="I252" s="122">
        <v>1195.95</v>
      </c>
      <c r="J252" s="124">
        <f t="shared" si="3"/>
        <v>0.85</v>
      </c>
      <c r="K252" s="98" t="s">
        <v>3915</v>
      </c>
    </row>
    <row r="253" spans="1:11" ht="15" customHeight="1" x14ac:dyDescent="0.2">
      <c r="A253" s="120" t="s">
        <v>3916</v>
      </c>
      <c r="B253" s="120" t="s">
        <v>3532</v>
      </c>
      <c r="C253" s="98" t="s">
        <v>3533</v>
      </c>
      <c r="D253" s="120" t="s">
        <v>3534</v>
      </c>
      <c r="E253" s="98">
        <v>0.38</v>
      </c>
      <c r="F253" s="120">
        <v>0</v>
      </c>
      <c r="G253" s="121">
        <v>0</v>
      </c>
      <c r="H253" s="123">
        <v>0.38</v>
      </c>
      <c r="I253" s="122">
        <v>0</v>
      </c>
      <c r="J253" s="124">
        <f t="shared" si="3"/>
        <v>0.38</v>
      </c>
    </row>
    <row r="254" spans="1:11" ht="15" customHeight="1" x14ac:dyDescent="0.2">
      <c r="A254" s="120" t="s">
        <v>3917</v>
      </c>
      <c r="B254" s="120" t="s">
        <v>3918</v>
      </c>
      <c r="C254" s="98" t="s">
        <v>3566</v>
      </c>
      <c r="D254" s="120" t="s">
        <v>3534</v>
      </c>
      <c r="E254" s="98">
        <v>0.79</v>
      </c>
      <c r="F254" s="120">
        <v>0</v>
      </c>
      <c r="G254" s="121">
        <v>0</v>
      </c>
      <c r="H254" s="123">
        <v>0.79</v>
      </c>
      <c r="I254" s="122">
        <v>0</v>
      </c>
      <c r="J254" s="124">
        <f t="shared" si="3"/>
        <v>0.79</v>
      </c>
    </row>
    <row r="255" spans="1:11" ht="15" customHeight="1" x14ac:dyDescent="0.2">
      <c r="A255" s="120" t="s">
        <v>3919</v>
      </c>
      <c r="B255" s="120" t="s">
        <v>3599</v>
      </c>
      <c r="C255" s="98" t="s">
        <v>3533</v>
      </c>
      <c r="D255" s="120" t="s">
        <v>3534</v>
      </c>
      <c r="E255" s="98">
        <v>1.1200000000000001</v>
      </c>
      <c r="F255" s="120">
        <v>0</v>
      </c>
      <c r="G255" s="121">
        <v>3820</v>
      </c>
      <c r="H255" s="123">
        <v>1.0852360000000001</v>
      </c>
      <c r="I255" s="122">
        <v>4145.6015200000002</v>
      </c>
      <c r="J255" s="124">
        <f t="shared" si="3"/>
        <v>1.1200000000000001</v>
      </c>
      <c r="K255" s="98" t="s">
        <v>3920</v>
      </c>
    </row>
    <row r="256" spans="1:11" ht="15" customHeight="1" x14ac:dyDescent="0.2">
      <c r="A256" s="120" t="s">
        <v>3921</v>
      </c>
      <c r="B256" s="120" t="s">
        <v>3900</v>
      </c>
      <c r="C256" s="98" t="s">
        <v>3901</v>
      </c>
      <c r="D256" s="120" t="s">
        <v>3534</v>
      </c>
      <c r="E256" s="98">
        <v>0.37435000000000002</v>
      </c>
      <c r="F256" s="120">
        <v>0</v>
      </c>
      <c r="G256" s="121">
        <v>0</v>
      </c>
      <c r="H256" s="123">
        <v>0.37435000000000002</v>
      </c>
      <c r="I256" s="122">
        <v>0</v>
      </c>
      <c r="J256" s="124">
        <f t="shared" si="3"/>
        <v>0.37435000000000002</v>
      </c>
    </row>
    <row r="257" spans="1:11" ht="15" customHeight="1" x14ac:dyDescent="0.2">
      <c r="A257" s="120" t="s">
        <v>3922</v>
      </c>
      <c r="B257" s="120" t="s">
        <v>3918</v>
      </c>
      <c r="C257" s="98" t="s">
        <v>3566</v>
      </c>
      <c r="D257" s="120" t="s">
        <v>3534</v>
      </c>
      <c r="E257" s="98">
        <v>1.1499999999999999</v>
      </c>
      <c r="F257" s="120">
        <v>0</v>
      </c>
      <c r="G257" s="121">
        <v>0</v>
      </c>
      <c r="H257" s="123">
        <v>1.1499999999999999</v>
      </c>
      <c r="I257" s="122">
        <v>0</v>
      </c>
      <c r="J257" s="124">
        <f t="shared" si="3"/>
        <v>1.1499999999999999</v>
      </c>
    </row>
    <row r="258" spans="1:11" ht="15" customHeight="1" x14ac:dyDescent="0.2">
      <c r="A258" s="120" t="s">
        <v>3923</v>
      </c>
      <c r="B258" s="120" t="s">
        <v>3532</v>
      </c>
      <c r="C258" s="98" t="s">
        <v>3533</v>
      </c>
      <c r="D258" s="120" t="s">
        <v>3534</v>
      </c>
      <c r="E258" s="98">
        <v>1.9</v>
      </c>
      <c r="F258" s="120">
        <v>0</v>
      </c>
      <c r="G258" s="121">
        <v>0</v>
      </c>
      <c r="H258" s="123">
        <v>1.9</v>
      </c>
      <c r="I258" s="122">
        <v>0</v>
      </c>
      <c r="J258" s="124">
        <f t="shared" ref="J258:J321" si="4">IF(D258="gm", E258*1000,+E258)</f>
        <v>1.9</v>
      </c>
    </row>
    <row r="259" spans="1:11" ht="15" customHeight="1" x14ac:dyDescent="0.2">
      <c r="A259" s="120" t="s">
        <v>3924</v>
      </c>
      <c r="B259" s="120" t="s">
        <v>3907</v>
      </c>
      <c r="C259" s="98" t="s">
        <v>3533</v>
      </c>
      <c r="D259" s="120" t="s">
        <v>3534</v>
      </c>
      <c r="E259" s="98">
        <v>2.57</v>
      </c>
      <c r="F259" s="120">
        <v>0</v>
      </c>
      <c r="G259" s="121">
        <v>424</v>
      </c>
      <c r="H259" s="123">
        <v>2.98</v>
      </c>
      <c r="I259" s="122">
        <v>1263.52</v>
      </c>
      <c r="J259" s="124">
        <f t="shared" si="4"/>
        <v>2.57</v>
      </c>
      <c r="K259" s="98" t="s">
        <v>3925</v>
      </c>
    </row>
    <row r="260" spans="1:11" ht="15" customHeight="1" x14ac:dyDescent="0.2">
      <c r="A260" s="120" t="s">
        <v>3926</v>
      </c>
      <c r="B260" s="120" t="s">
        <v>3599</v>
      </c>
      <c r="C260" s="98" t="s">
        <v>3566</v>
      </c>
      <c r="D260" s="120" t="s">
        <v>3534</v>
      </c>
      <c r="E260" s="98">
        <v>0.52</v>
      </c>
      <c r="F260" s="120">
        <v>0</v>
      </c>
      <c r="G260" s="121">
        <v>0</v>
      </c>
      <c r="H260" s="123">
        <v>0.52</v>
      </c>
      <c r="I260" s="122">
        <v>0</v>
      </c>
      <c r="J260" s="124">
        <f t="shared" si="4"/>
        <v>0.52</v>
      </c>
    </row>
    <row r="261" spans="1:11" ht="15" customHeight="1" x14ac:dyDescent="0.2">
      <c r="A261" s="120" t="s">
        <v>3927</v>
      </c>
      <c r="B261" s="120" t="s">
        <v>3532</v>
      </c>
      <c r="C261" s="98" t="s">
        <v>3533</v>
      </c>
      <c r="D261" s="120" t="s">
        <v>3534</v>
      </c>
      <c r="E261" s="98">
        <v>0.69</v>
      </c>
      <c r="F261" s="120">
        <v>0</v>
      </c>
      <c r="G261" s="121">
        <v>0</v>
      </c>
      <c r="H261" s="123">
        <v>0.69</v>
      </c>
      <c r="I261" s="122">
        <v>0</v>
      </c>
      <c r="J261" s="124">
        <f t="shared" si="4"/>
        <v>0.69</v>
      </c>
    </row>
    <row r="262" spans="1:11" ht="15" customHeight="1" x14ac:dyDescent="0.2">
      <c r="A262" s="120" t="s">
        <v>3928</v>
      </c>
      <c r="B262" s="120" t="s">
        <v>3599</v>
      </c>
      <c r="C262" s="98" t="s">
        <v>3533</v>
      </c>
      <c r="D262" s="120" t="s">
        <v>3534</v>
      </c>
      <c r="E262" s="98">
        <v>3.02</v>
      </c>
      <c r="F262" s="120">
        <v>0</v>
      </c>
      <c r="G262" s="121">
        <v>0</v>
      </c>
      <c r="H262" s="123">
        <v>3.02</v>
      </c>
      <c r="I262" s="122">
        <v>0</v>
      </c>
      <c r="J262" s="124">
        <f t="shared" si="4"/>
        <v>3.02</v>
      </c>
      <c r="K262" s="98" t="s">
        <v>3929</v>
      </c>
    </row>
    <row r="263" spans="1:11" ht="15" customHeight="1" x14ac:dyDescent="0.2">
      <c r="A263" s="120" t="s">
        <v>3930</v>
      </c>
      <c r="B263" s="120" t="s">
        <v>3907</v>
      </c>
      <c r="C263" s="98" t="s">
        <v>3533</v>
      </c>
      <c r="D263" s="120" t="s">
        <v>3534</v>
      </c>
      <c r="E263" s="98">
        <v>0.95</v>
      </c>
      <c r="F263" s="120">
        <v>0</v>
      </c>
      <c r="G263" s="121">
        <v>814</v>
      </c>
      <c r="H263" s="123">
        <v>0.95</v>
      </c>
      <c r="I263" s="122">
        <v>773.3</v>
      </c>
      <c r="J263" s="124">
        <f t="shared" si="4"/>
        <v>0.95</v>
      </c>
      <c r="K263" s="98" t="s">
        <v>3931</v>
      </c>
    </row>
    <row r="264" spans="1:11" ht="15" customHeight="1" x14ac:dyDescent="0.2">
      <c r="A264" s="120" t="s">
        <v>3932</v>
      </c>
      <c r="B264" s="120" t="s">
        <v>3900</v>
      </c>
      <c r="C264" s="98" t="s">
        <v>3533</v>
      </c>
      <c r="D264" s="120" t="s">
        <v>3534</v>
      </c>
      <c r="E264" s="98">
        <v>0.30004999999999998</v>
      </c>
      <c r="F264" s="120">
        <v>0</v>
      </c>
      <c r="G264" s="121">
        <v>947</v>
      </c>
      <c r="H264" s="123">
        <v>0.30004999999999998</v>
      </c>
      <c r="I264" s="122">
        <v>284.14734999999996</v>
      </c>
      <c r="J264" s="124">
        <f t="shared" si="4"/>
        <v>0.30004999999999998</v>
      </c>
      <c r="K264" s="98" t="s">
        <v>3933</v>
      </c>
    </row>
    <row r="265" spans="1:11" ht="15" customHeight="1" x14ac:dyDescent="0.2">
      <c r="A265" s="120" t="s">
        <v>3934</v>
      </c>
      <c r="B265" s="120" t="s">
        <v>3918</v>
      </c>
      <c r="C265" s="98" t="s">
        <v>3566</v>
      </c>
      <c r="D265" s="120" t="s">
        <v>3534</v>
      </c>
      <c r="E265" s="98">
        <v>0.375</v>
      </c>
      <c r="F265" s="120">
        <v>0</v>
      </c>
      <c r="G265" s="121">
        <v>0</v>
      </c>
      <c r="H265" s="123">
        <v>0.375</v>
      </c>
      <c r="I265" s="122">
        <v>0</v>
      </c>
      <c r="J265" s="124">
        <f t="shared" si="4"/>
        <v>0.375</v>
      </c>
    </row>
    <row r="266" spans="1:11" ht="15" customHeight="1" x14ac:dyDescent="0.2">
      <c r="A266" s="120" t="s">
        <v>3935</v>
      </c>
      <c r="B266" s="120" t="s">
        <v>3532</v>
      </c>
      <c r="C266" s="98" t="s">
        <v>3936</v>
      </c>
      <c r="D266" s="120" t="s">
        <v>3534</v>
      </c>
      <c r="E266" s="98">
        <v>1.4670000000000001E-2</v>
      </c>
      <c r="F266" s="120">
        <v>0</v>
      </c>
      <c r="G266" s="121">
        <v>0</v>
      </c>
      <c r="H266" s="123">
        <v>1.4670000000000001E-2</v>
      </c>
      <c r="I266" s="122">
        <v>0</v>
      </c>
      <c r="J266" s="124">
        <f t="shared" si="4"/>
        <v>1.4670000000000001E-2</v>
      </c>
    </row>
    <row r="267" spans="1:11" ht="15" customHeight="1" x14ac:dyDescent="0.2">
      <c r="A267" s="120" t="s">
        <v>3937</v>
      </c>
      <c r="B267" s="120" t="s">
        <v>3599</v>
      </c>
      <c r="C267" s="98" t="s">
        <v>3533</v>
      </c>
      <c r="D267" s="120" t="s">
        <v>3534</v>
      </c>
      <c r="E267" s="98">
        <v>1</v>
      </c>
      <c r="F267" s="120">
        <v>0</v>
      </c>
      <c r="G267" s="121">
        <v>0</v>
      </c>
      <c r="H267" s="123">
        <v>1</v>
      </c>
      <c r="I267" s="122">
        <v>0</v>
      </c>
      <c r="J267" s="124">
        <f t="shared" si="4"/>
        <v>1</v>
      </c>
    </row>
    <row r="268" spans="1:11" ht="15" customHeight="1" x14ac:dyDescent="0.2">
      <c r="A268" s="120" t="s">
        <v>3938</v>
      </c>
      <c r="B268" s="120" t="s">
        <v>3532</v>
      </c>
      <c r="C268" s="98" t="s">
        <v>3533</v>
      </c>
      <c r="D268" s="120" t="s">
        <v>3534</v>
      </c>
      <c r="E268" s="98">
        <v>1.77</v>
      </c>
      <c r="F268" s="120">
        <v>0</v>
      </c>
      <c r="G268" s="121">
        <v>0</v>
      </c>
      <c r="H268" s="123">
        <v>1.77</v>
      </c>
      <c r="I268" s="122">
        <v>0</v>
      </c>
      <c r="J268" s="124">
        <f t="shared" si="4"/>
        <v>1.77</v>
      </c>
    </row>
    <row r="269" spans="1:11" ht="15" customHeight="1" x14ac:dyDescent="0.2">
      <c r="A269" s="120" t="s">
        <v>3939</v>
      </c>
      <c r="B269" s="120" t="s">
        <v>3940</v>
      </c>
      <c r="C269" s="98" t="s">
        <v>3533</v>
      </c>
      <c r="D269" s="120" t="s">
        <v>3534</v>
      </c>
      <c r="E269" s="98">
        <v>66.33</v>
      </c>
      <c r="F269" s="120">
        <v>0</v>
      </c>
      <c r="G269" s="121">
        <v>0</v>
      </c>
      <c r="H269" s="123">
        <v>66.33</v>
      </c>
      <c r="I269" s="122">
        <v>0</v>
      </c>
      <c r="J269" s="124">
        <f t="shared" si="4"/>
        <v>66.33</v>
      </c>
      <c r="K269" s="98" t="s">
        <v>3941</v>
      </c>
    </row>
    <row r="270" spans="1:11" ht="15" customHeight="1" x14ac:dyDescent="0.2">
      <c r="A270" s="120" t="s">
        <v>3942</v>
      </c>
      <c r="B270" s="120" t="s">
        <v>3532</v>
      </c>
      <c r="C270" s="98" t="s">
        <v>3533</v>
      </c>
      <c r="D270" s="120" t="s">
        <v>3534</v>
      </c>
      <c r="E270" s="98">
        <v>1.4670000000000001E-2</v>
      </c>
      <c r="F270" s="120">
        <v>0</v>
      </c>
      <c r="G270" s="121">
        <v>4200</v>
      </c>
      <c r="H270" s="123">
        <v>1.4670000000000001E-2</v>
      </c>
      <c r="I270" s="122">
        <v>61.614000000000004</v>
      </c>
      <c r="J270" s="124">
        <f t="shared" si="4"/>
        <v>1.4670000000000001E-2</v>
      </c>
    </row>
    <row r="271" spans="1:11" ht="15" customHeight="1" x14ac:dyDescent="0.2">
      <c r="A271" s="120" t="s">
        <v>3943</v>
      </c>
      <c r="B271" s="120" t="s">
        <v>3907</v>
      </c>
      <c r="C271" s="98" t="s">
        <v>3533</v>
      </c>
      <c r="D271" s="120" t="s">
        <v>3534</v>
      </c>
      <c r="E271" s="98">
        <v>1.1599999999999999</v>
      </c>
      <c r="F271" s="120">
        <v>0</v>
      </c>
      <c r="G271" s="121">
        <v>868</v>
      </c>
      <c r="H271" s="123">
        <v>1.1599999999999999</v>
      </c>
      <c r="I271" s="122">
        <v>1006.8799999999999</v>
      </c>
      <c r="J271" s="124">
        <f t="shared" si="4"/>
        <v>1.1599999999999999</v>
      </c>
    </row>
    <row r="272" spans="1:11" ht="15" customHeight="1" x14ac:dyDescent="0.2">
      <c r="A272" s="120" t="s">
        <v>3944</v>
      </c>
      <c r="B272" s="120" t="s">
        <v>3599</v>
      </c>
      <c r="C272" s="98" t="s">
        <v>3533</v>
      </c>
      <c r="D272" s="120" t="s">
        <v>3534</v>
      </c>
      <c r="E272" s="98">
        <v>0.28999999999999998</v>
      </c>
      <c r="F272" s="120">
        <v>0</v>
      </c>
      <c r="G272" s="121">
        <v>1687</v>
      </c>
      <c r="H272" s="123">
        <v>0.28999999999999998</v>
      </c>
      <c r="I272" s="122">
        <v>489.22999999999996</v>
      </c>
      <c r="J272" s="124">
        <f t="shared" si="4"/>
        <v>0.28999999999999998</v>
      </c>
      <c r="K272" s="98" t="s">
        <v>3945</v>
      </c>
    </row>
    <row r="273" spans="1:11" ht="15" customHeight="1" x14ac:dyDescent="0.2">
      <c r="A273" s="120" t="s">
        <v>3946</v>
      </c>
      <c r="B273" s="120" t="s">
        <v>3532</v>
      </c>
      <c r="C273" s="98" t="s">
        <v>3533</v>
      </c>
      <c r="D273" s="120" t="s">
        <v>3534</v>
      </c>
      <c r="E273" s="98">
        <v>1.23</v>
      </c>
      <c r="F273" s="120">
        <v>0</v>
      </c>
      <c r="G273" s="121">
        <v>63</v>
      </c>
      <c r="H273" s="123">
        <v>1.23</v>
      </c>
      <c r="I273" s="122">
        <v>77.489999999999995</v>
      </c>
      <c r="J273" s="124">
        <f t="shared" si="4"/>
        <v>1.23</v>
      </c>
    </row>
    <row r="274" spans="1:11" ht="15" customHeight="1" x14ac:dyDescent="0.2">
      <c r="A274" s="120" t="s">
        <v>3947</v>
      </c>
      <c r="B274" s="120" t="s">
        <v>3532</v>
      </c>
      <c r="C274" s="98" t="s">
        <v>3533</v>
      </c>
      <c r="D274" s="120" t="s">
        <v>3534</v>
      </c>
      <c r="E274" s="98">
        <v>1.4</v>
      </c>
      <c r="F274" s="120">
        <v>0</v>
      </c>
      <c r="G274" s="121">
        <v>0</v>
      </c>
      <c r="H274" s="123">
        <v>1.4</v>
      </c>
      <c r="I274" s="122">
        <v>0</v>
      </c>
      <c r="J274" s="124">
        <f t="shared" si="4"/>
        <v>1.4</v>
      </c>
    </row>
    <row r="275" spans="1:11" ht="15" customHeight="1" x14ac:dyDescent="0.2">
      <c r="A275" s="120" t="s">
        <v>3948</v>
      </c>
      <c r="B275" s="120" t="s">
        <v>3918</v>
      </c>
      <c r="C275" s="98" t="s">
        <v>3533</v>
      </c>
      <c r="D275" s="120" t="s">
        <v>3534</v>
      </c>
      <c r="E275" s="98">
        <v>0.71</v>
      </c>
      <c r="F275" s="120">
        <v>0</v>
      </c>
      <c r="G275" s="121">
        <v>0</v>
      </c>
      <c r="H275" s="123">
        <v>0.71</v>
      </c>
      <c r="I275" s="122">
        <v>0</v>
      </c>
      <c r="J275" s="124">
        <f t="shared" si="4"/>
        <v>0.71</v>
      </c>
      <c r="K275" s="98" t="s">
        <v>3949</v>
      </c>
    </row>
    <row r="276" spans="1:11" ht="15" customHeight="1" x14ac:dyDescent="0.2">
      <c r="A276" s="120" t="s">
        <v>3950</v>
      </c>
      <c r="B276" s="120" t="s">
        <v>3900</v>
      </c>
      <c r="C276" s="98" t="s">
        <v>3533</v>
      </c>
      <c r="D276" s="120" t="s">
        <v>3534</v>
      </c>
      <c r="E276" s="98">
        <v>0.45</v>
      </c>
      <c r="F276" s="120">
        <v>0</v>
      </c>
      <c r="G276" s="121">
        <v>2278</v>
      </c>
      <c r="H276" s="123">
        <v>0.45</v>
      </c>
      <c r="I276" s="122">
        <v>1025.1000000000001</v>
      </c>
      <c r="J276" s="124">
        <f t="shared" si="4"/>
        <v>0.45</v>
      </c>
    </row>
    <row r="277" spans="1:11" ht="15" customHeight="1" x14ac:dyDescent="0.2">
      <c r="A277" s="120" t="s">
        <v>3951</v>
      </c>
      <c r="B277" s="120" t="s">
        <v>3599</v>
      </c>
      <c r="C277" s="98" t="s">
        <v>3533</v>
      </c>
      <c r="D277" s="120" t="s">
        <v>3534</v>
      </c>
      <c r="E277" s="98">
        <v>0.92</v>
      </c>
      <c r="F277" s="120">
        <v>0</v>
      </c>
      <c r="G277" s="121">
        <v>25</v>
      </c>
      <c r="H277" s="123">
        <v>0.92</v>
      </c>
      <c r="I277" s="122">
        <v>23</v>
      </c>
      <c r="J277" s="124">
        <f t="shared" si="4"/>
        <v>0.92</v>
      </c>
      <c r="K277" s="98" t="s">
        <v>3952</v>
      </c>
    </row>
    <row r="278" spans="1:11" ht="15" customHeight="1" x14ac:dyDescent="0.2">
      <c r="A278" s="120" t="s">
        <v>3953</v>
      </c>
      <c r="B278" s="120" t="s">
        <v>3599</v>
      </c>
      <c r="C278" s="98" t="s">
        <v>3533</v>
      </c>
      <c r="D278" s="120" t="s">
        <v>3534</v>
      </c>
      <c r="E278" s="98">
        <v>1.34</v>
      </c>
      <c r="F278" s="120">
        <v>0</v>
      </c>
      <c r="G278" s="121">
        <v>0</v>
      </c>
      <c r="H278" s="123">
        <v>1.34</v>
      </c>
      <c r="I278" s="122">
        <v>0</v>
      </c>
      <c r="J278" s="124">
        <f t="shared" si="4"/>
        <v>1.34</v>
      </c>
      <c r="K278" s="98" t="s">
        <v>3954</v>
      </c>
    </row>
    <row r="279" spans="1:11" ht="15" customHeight="1" x14ac:dyDescent="0.2">
      <c r="A279" s="120" t="s">
        <v>3955</v>
      </c>
      <c r="B279" s="120" t="s">
        <v>3532</v>
      </c>
      <c r="C279" s="98" t="s">
        <v>3533</v>
      </c>
      <c r="D279" s="120" t="s">
        <v>3534</v>
      </c>
      <c r="E279" s="98">
        <v>1.1499999999999999</v>
      </c>
      <c r="F279" s="120">
        <v>0</v>
      </c>
      <c r="G279" s="121">
        <v>0</v>
      </c>
      <c r="H279" s="123">
        <v>1.1499999999999999</v>
      </c>
      <c r="I279" s="122">
        <v>0</v>
      </c>
      <c r="J279" s="124">
        <f t="shared" si="4"/>
        <v>1.1499999999999999</v>
      </c>
    </row>
    <row r="280" spans="1:11" ht="15" customHeight="1" x14ac:dyDescent="0.2">
      <c r="A280" s="120" t="s">
        <v>3956</v>
      </c>
      <c r="B280" s="120" t="s">
        <v>3900</v>
      </c>
      <c r="C280" s="98" t="s">
        <v>3901</v>
      </c>
      <c r="D280" s="120" t="s">
        <v>3534</v>
      </c>
      <c r="E280" s="98">
        <v>1.4670000000000001E-2</v>
      </c>
      <c r="F280" s="120">
        <v>0</v>
      </c>
      <c r="G280" s="121">
        <v>8</v>
      </c>
      <c r="H280" s="123">
        <v>1.4670000000000001E-2</v>
      </c>
      <c r="I280" s="122">
        <v>0.11736000000000001</v>
      </c>
      <c r="J280" s="124">
        <f t="shared" si="4"/>
        <v>1.4670000000000001E-2</v>
      </c>
    </row>
    <row r="281" spans="1:11" ht="15" customHeight="1" x14ac:dyDescent="0.2">
      <c r="A281" s="120" t="s">
        <v>3957</v>
      </c>
      <c r="B281" s="120" t="s">
        <v>3599</v>
      </c>
      <c r="C281" s="98" t="s">
        <v>3533</v>
      </c>
      <c r="D281" s="120" t="s">
        <v>3534</v>
      </c>
      <c r="E281" s="98">
        <v>0.75</v>
      </c>
      <c r="F281" s="120">
        <v>0</v>
      </c>
      <c r="G281" s="121">
        <v>0</v>
      </c>
      <c r="H281" s="123">
        <v>0.75</v>
      </c>
      <c r="I281" s="122">
        <v>0</v>
      </c>
      <c r="J281" s="124">
        <f t="shared" si="4"/>
        <v>0.75</v>
      </c>
    </row>
    <row r="282" spans="1:11" ht="15" customHeight="1" x14ac:dyDescent="0.2">
      <c r="A282" s="120" t="s">
        <v>3958</v>
      </c>
      <c r="B282" s="120" t="s">
        <v>3918</v>
      </c>
      <c r="C282" s="98" t="s">
        <v>3566</v>
      </c>
      <c r="D282" s="120" t="s">
        <v>3534</v>
      </c>
      <c r="E282" s="98">
        <v>0.48</v>
      </c>
      <c r="F282" s="120">
        <v>0</v>
      </c>
      <c r="G282" s="121">
        <v>0</v>
      </c>
      <c r="H282" s="123">
        <v>0.48</v>
      </c>
      <c r="I282" s="122">
        <v>0</v>
      </c>
      <c r="J282" s="124">
        <f t="shared" si="4"/>
        <v>0.48</v>
      </c>
    </row>
    <row r="283" spans="1:11" ht="15" customHeight="1" x14ac:dyDescent="0.2">
      <c r="A283" s="120" t="s">
        <v>3959</v>
      </c>
      <c r="B283" s="120" t="s">
        <v>3532</v>
      </c>
      <c r="C283" s="98" t="s">
        <v>3533</v>
      </c>
      <c r="D283" s="120" t="s">
        <v>3534</v>
      </c>
      <c r="E283" s="98">
        <v>1.23</v>
      </c>
      <c r="F283" s="120">
        <v>0</v>
      </c>
      <c r="G283" s="121">
        <v>0</v>
      </c>
      <c r="H283" s="123">
        <v>1.23</v>
      </c>
      <c r="I283" s="122">
        <v>0</v>
      </c>
      <c r="J283" s="124">
        <f t="shared" si="4"/>
        <v>1.23</v>
      </c>
    </row>
    <row r="284" spans="1:11" ht="15" customHeight="1" x14ac:dyDescent="0.2">
      <c r="A284" s="120" t="s">
        <v>3960</v>
      </c>
      <c r="B284" s="120" t="s">
        <v>3599</v>
      </c>
      <c r="C284" s="98" t="s">
        <v>3533</v>
      </c>
      <c r="D284" s="120" t="s">
        <v>3534</v>
      </c>
      <c r="E284" s="98">
        <v>0.94</v>
      </c>
      <c r="F284" s="120">
        <v>0</v>
      </c>
      <c r="G284" s="121">
        <v>497</v>
      </c>
      <c r="H284" s="123">
        <v>0.94</v>
      </c>
      <c r="I284" s="122">
        <v>467.17999999999995</v>
      </c>
      <c r="J284" s="124">
        <f t="shared" si="4"/>
        <v>0.94</v>
      </c>
      <c r="K284" s="98" t="s">
        <v>3961</v>
      </c>
    </row>
    <row r="285" spans="1:11" ht="15" customHeight="1" x14ac:dyDescent="0.2">
      <c r="A285" s="120" t="s">
        <v>3962</v>
      </c>
      <c r="B285" s="120" t="s">
        <v>3599</v>
      </c>
      <c r="C285" s="98" t="s">
        <v>3566</v>
      </c>
      <c r="D285" s="120" t="s">
        <v>3534</v>
      </c>
      <c r="E285" s="98">
        <v>1.1000000000000001</v>
      </c>
      <c r="F285" s="120">
        <v>0</v>
      </c>
      <c r="G285" s="121">
        <v>0</v>
      </c>
      <c r="H285" s="123">
        <v>1.1000000000000001</v>
      </c>
      <c r="I285" s="122">
        <v>0</v>
      </c>
      <c r="J285" s="124">
        <f t="shared" si="4"/>
        <v>1.1000000000000001</v>
      </c>
    </row>
    <row r="286" spans="1:11" ht="15" customHeight="1" x14ac:dyDescent="0.2">
      <c r="A286" s="120" t="s">
        <v>3963</v>
      </c>
      <c r="B286" s="120" t="s">
        <v>3599</v>
      </c>
      <c r="C286" s="98" t="s">
        <v>3533</v>
      </c>
      <c r="D286" s="120" t="s">
        <v>3534</v>
      </c>
      <c r="E286" s="98">
        <v>2.38</v>
      </c>
      <c r="F286" s="120">
        <v>0</v>
      </c>
      <c r="G286" s="121">
        <v>100</v>
      </c>
      <c r="H286" s="123">
        <v>2.38</v>
      </c>
      <c r="I286" s="122">
        <v>238</v>
      </c>
      <c r="J286" s="124">
        <f t="shared" si="4"/>
        <v>2.38</v>
      </c>
      <c r="K286" s="98" t="s">
        <v>3964</v>
      </c>
    </row>
    <row r="287" spans="1:11" ht="15" customHeight="1" x14ac:dyDescent="0.2">
      <c r="A287" s="120" t="s">
        <v>3965</v>
      </c>
      <c r="B287" s="120" t="s">
        <v>3918</v>
      </c>
      <c r="C287" s="98" t="s">
        <v>3533</v>
      </c>
      <c r="D287" s="120" t="s">
        <v>3534</v>
      </c>
      <c r="E287" s="98">
        <v>0.88</v>
      </c>
      <c r="F287" s="120">
        <v>0</v>
      </c>
      <c r="G287" s="121">
        <v>0</v>
      </c>
      <c r="H287" s="123">
        <v>0.88</v>
      </c>
      <c r="I287" s="122">
        <v>0</v>
      </c>
      <c r="J287" s="124">
        <f t="shared" si="4"/>
        <v>0.88</v>
      </c>
      <c r="K287" s="98" t="s">
        <v>3949</v>
      </c>
    </row>
    <row r="288" spans="1:11" ht="15" customHeight="1" x14ac:dyDescent="0.2">
      <c r="A288" s="120" t="s">
        <v>3966</v>
      </c>
      <c r="B288" s="120" t="s">
        <v>3967</v>
      </c>
      <c r="C288" s="98" t="s">
        <v>3533</v>
      </c>
      <c r="D288" s="120" t="s">
        <v>3534</v>
      </c>
      <c r="E288" s="98">
        <v>0.45</v>
      </c>
      <c r="F288" s="120">
        <v>0</v>
      </c>
      <c r="G288" s="121">
        <v>212</v>
      </c>
      <c r="H288" s="123">
        <v>0.45</v>
      </c>
      <c r="I288" s="122">
        <v>95.4</v>
      </c>
      <c r="J288" s="124">
        <f t="shared" si="4"/>
        <v>0.45</v>
      </c>
    </row>
    <row r="289" spans="1:11" ht="15" customHeight="1" x14ac:dyDescent="0.2">
      <c r="A289" s="120" t="s">
        <v>3968</v>
      </c>
      <c r="B289" s="120" t="s">
        <v>3532</v>
      </c>
      <c r="C289" s="98" t="s">
        <v>3533</v>
      </c>
      <c r="D289" s="120" t="s">
        <v>3534</v>
      </c>
      <c r="E289" s="98">
        <v>3.27</v>
      </c>
      <c r="F289" s="120">
        <v>0</v>
      </c>
      <c r="G289" s="121">
        <v>0</v>
      </c>
      <c r="H289" s="123">
        <v>3.27</v>
      </c>
      <c r="I289" s="122">
        <v>0</v>
      </c>
      <c r="J289" s="124">
        <f t="shared" si="4"/>
        <v>3.27</v>
      </c>
    </row>
    <row r="290" spans="1:11" ht="15" customHeight="1" x14ac:dyDescent="0.2">
      <c r="A290" s="120" t="s">
        <v>3969</v>
      </c>
      <c r="B290" s="120" t="s">
        <v>3918</v>
      </c>
      <c r="C290" s="98" t="s">
        <v>3533</v>
      </c>
      <c r="D290" s="120" t="s">
        <v>3534</v>
      </c>
      <c r="E290" s="98">
        <v>0.45</v>
      </c>
      <c r="F290" s="120">
        <v>0</v>
      </c>
      <c r="G290" s="121">
        <v>0</v>
      </c>
      <c r="H290" s="123">
        <v>0.45</v>
      </c>
      <c r="I290" s="122">
        <v>0</v>
      </c>
      <c r="J290" s="124">
        <f t="shared" si="4"/>
        <v>0.45</v>
      </c>
      <c r="K290" s="98" t="s">
        <v>3949</v>
      </c>
    </row>
    <row r="291" spans="1:11" ht="15" customHeight="1" x14ac:dyDescent="0.2">
      <c r="A291" s="120" t="s">
        <v>3970</v>
      </c>
      <c r="B291" s="120" t="s">
        <v>3918</v>
      </c>
      <c r="C291" s="98" t="s">
        <v>3533</v>
      </c>
      <c r="D291" s="120" t="s">
        <v>3534</v>
      </c>
      <c r="E291" s="98">
        <v>0.59</v>
      </c>
      <c r="F291" s="120">
        <v>0</v>
      </c>
      <c r="G291" s="121">
        <v>0</v>
      </c>
      <c r="H291" s="123">
        <v>0.59</v>
      </c>
      <c r="I291" s="122">
        <v>0</v>
      </c>
      <c r="J291" s="124">
        <f t="shared" si="4"/>
        <v>0.59</v>
      </c>
      <c r="K291" s="98" t="s">
        <v>3949</v>
      </c>
    </row>
    <row r="292" spans="1:11" ht="15" customHeight="1" x14ac:dyDescent="0.2">
      <c r="A292" s="120" t="s">
        <v>3971</v>
      </c>
      <c r="B292" s="120" t="s">
        <v>3918</v>
      </c>
      <c r="C292" s="98" t="s">
        <v>3533</v>
      </c>
      <c r="D292" s="120" t="s">
        <v>3534</v>
      </c>
      <c r="E292" s="98">
        <v>1.01</v>
      </c>
      <c r="F292" s="120">
        <v>0</v>
      </c>
      <c r="G292" s="121">
        <v>0</v>
      </c>
      <c r="H292" s="123">
        <v>1.01</v>
      </c>
      <c r="I292" s="122">
        <v>0</v>
      </c>
      <c r="J292" s="124">
        <f t="shared" si="4"/>
        <v>1.01</v>
      </c>
      <c r="K292" s="98" t="s">
        <v>3949</v>
      </c>
    </row>
    <row r="293" spans="1:11" ht="15" customHeight="1" x14ac:dyDescent="0.2">
      <c r="A293" s="120" t="s">
        <v>3972</v>
      </c>
      <c r="B293" s="120" t="s">
        <v>3599</v>
      </c>
      <c r="C293" s="98" t="s">
        <v>3533</v>
      </c>
      <c r="D293" s="120" t="s">
        <v>3534</v>
      </c>
      <c r="E293" s="98">
        <v>0.67</v>
      </c>
      <c r="F293" s="120">
        <v>0</v>
      </c>
      <c r="G293" s="121">
        <v>42</v>
      </c>
      <c r="H293" s="123">
        <v>0.67</v>
      </c>
      <c r="I293" s="122">
        <v>28.14</v>
      </c>
      <c r="J293" s="124">
        <f t="shared" si="4"/>
        <v>0.67</v>
      </c>
      <c r="K293" s="98" t="s">
        <v>3973</v>
      </c>
    </row>
    <row r="294" spans="1:11" ht="15" customHeight="1" x14ac:dyDescent="0.2">
      <c r="A294" s="120" t="s">
        <v>3974</v>
      </c>
      <c r="B294" s="120" t="s">
        <v>3907</v>
      </c>
      <c r="C294" s="98" t="s">
        <v>3533</v>
      </c>
      <c r="D294" s="120" t="s">
        <v>3534</v>
      </c>
      <c r="E294" s="98">
        <v>1.6</v>
      </c>
      <c r="F294" s="120">
        <v>0</v>
      </c>
      <c r="G294" s="121">
        <v>0</v>
      </c>
      <c r="H294" s="123">
        <v>1.6</v>
      </c>
      <c r="I294" s="122">
        <v>0</v>
      </c>
      <c r="J294" s="124">
        <f t="shared" si="4"/>
        <v>1.6</v>
      </c>
      <c r="K294" s="98" t="s">
        <v>3975</v>
      </c>
    </row>
    <row r="295" spans="1:11" ht="15" customHeight="1" x14ac:dyDescent="0.2">
      <c r="A295" s="120" t="s">
        <v>3976</v>
      </c>
      <c r="B295" s="120" t="s">
        <v>3599</v>
      </c>
      <c r="C295" s="98" t="s">
        <v>3533</v>
      </c>
      <c r="D295" s="120" t="s">
        <v>3534</v>
      </c>
      <c r="E295" s="98">
        <v>0.66</v>
      </c>
      <c r="F295" s="120">
        <v>0</v>
      </c>
      <c r="G295" s="121">
        <v>0</v>
      </c>
      <c r="H295" s="123">
        <v>0.66</v>
      </c>
      <c r="I295" s="122">
        <v>0</v>
      </c>
      <c r="J295" s="124">
        <f t="shared" si="4"/>
        <v>0.66</v>
      </c>
    </row>
    <row r="296" spans="1:11" ht="15" customHeight="1" x14ac:dyDescent="0.2">
      <c r="A296" s="120" t="s">
        <v>3977</v>
      </c>
      <c r="B296" s="120" t="s">
        <v>3599</v>
      </c>
      <c r="C296" s="98" t="s">
        <v>3533</v>
      </c>
      <c r="D296" s="120" t="s">
        <v>3534</v>
      </c>
      <c r="E296" s="98">
        <v>1.07</v>
      </c>
      <c r="F296" s="120">
        <v>0</v>
      </c>
      <c r="G296" s="121">
        <v>0</v>
      </c>
      <c r="H296" s="123">
        <v>1.07</v>
      </c>
      <c r="I296" s="122">
        <v>0</v>
      </c>
      <c r="J296" s="124">
        <f t="shared" si="4"/>
        <v>1.07</v>
      </c>
      <c r="K296" s="98" t="s">
        <v>3978</v>
      </c>
    </row>
    <row r="297" spans="1:11" ht="15" customHeight="1" x14ac:dyDescent="0.2">
      <c r="A297" s="120" t="s">
        <v>3979</v>
      </c>
      <c r="B297" s="120" t="s">
        <v>3980</v>
      </c>
      <c r="C297" s="98" t="s">
        <v>3533</v>
      </c>
      <c r="D297" s="120" t="s">
        <v>3534</v>
      </c>
      <c r="E297" s="98">
        <v>0</v>
      </c>
      <c r="F297" s="120">
        <v>0</v>
      </c>
      <c r="G297" s="121">
        <v>2876</v>
      </c>
      <c r="H297" s="123">
        <v>0</v>
      </c>
      <c r="I297" s="122">
        <v>0</v>
      </c>
      <c r="J297" s="124">
        <f t="shared" si="4"/>
        <v>0</v>
      </c>
    </row>
    <row r="298" spans="1:11" ht="15" customHeight="1" x14ac:dyDescent="0.2">
      <c r="A298" s="120" t="s">
        <v>3981</v>
      </c>
      <c r="B298" s="120" t="s">
        <v>3599</v>
      </c>
      <c r="C298" s="98" t="s">
        <v>3533</v>
      </c>
      <c r="D298" s="120" t="s">
        <v>3534</v>
      </c>
      <c r="E298" s="98">
        <v>1.1399999999999999</v>
      </c>
      <c r="F298" s="120">
        <v>0</v>
      </c>
      <c r="G298" s="121">
        <v>0</v>
      </c>
      <c r="H298" s="123">
        <v>1.1399999999999999</v>
      </c>
      <c r="I298" s="122">
        <v>0</v>
      </c>
      <c r="J298" s="124">
        <f t="shared" si="4"/>
        <v>1.1399999999999999</v>
      </c>
    </row>
    <row r="299" spans="1:11" ht="15" customHeight="1" x14ac:dyDescent="0.2">
      <c r="A299" s="120" t="s">
        <v>3982</v>
      </c>
      <c r="B299" s="120" t="s">
        <v>3599</v>
      </c>
      <c r="C299" s="98" t="s">
        <v>3533</v>
      </c>
      <c r="D299" s="120" t="s">
        <v>3534</v>
      </c>
      <c r="E299" s="98">
        <v>1.55</v>
      </c>
      <c r="F299" s="120">
        <v>0</v>
      </c>
      <c r="G299" s="121">
        <v>2113</v>
      </c>
      <c r="H299" s="123">
        <v>1.55</v>
      </c>
      <c r="I299" s="122">
        <v>3275.15</v>
      </c>
      <c r="J299" s="124">
        <f t="shared" si="4"/>
        <v>1.55</v>
      </c>
      <c r="K299" s="98" t="s">
        <v>3983</v>
      </c>
    </row>
    <row r="300" spans="1:11" ht="15" customHeight="1" x14ac:dyDescent="0.2">
      <c r="A300" s="120" t="s">
        <v>3984</v>
      </c>
      <c r="B300" s="120" t="s">
        <v>3599</v>
      </c>
      <c r="C300" s="98" t="s">
        <v>3533</v>
      </c>
      <c r="D300" s="120" t="s">
        <v>3534</v>
      </c>
      <c r="E300" s="98">
        <v>2.04</v>
      </c>
      <c r="F300" s="120">
        <v>0</v>
      </c>
      <c r="G300" s="121">
        <v>416</v>
      </c>
      <c r="H300" s="123">
        <v>2.04</v>
      </c>
      <c r="I300" s="122">
        <v>848.64</v>
      </c>
      <c r="J300" s="124">
        <f t="shared" si="4"/>
        <v>2.04</v>
      </c>
      <c r="K300" s="98" t="s">
        <v>3985</v>
      </c>
    </row>
    <row r="301" spans="1:11" ht="15" customHeight="1" x14ac:dyDescent="0.2">
      <c r="A301" s="120" t="s">
        <v>3986</v>
      </c>
      <c r="B301" s="120" t="s">
        <v>3907</v>
      </c>
      <c r="C301" s="98" t="s">
        <v>3533</v>
      </c>
      <c r="D301" s="120" t="s">
        <v>3534</v>
      </c>
      <c r="E301" s="98">
        <v>1.8981969999999999</v>
      </c>
      <c r="F301" s="120">
        <v>0</v>
      </c>
      <c r="G301" s="121">
        <v>1041</v>
      </c>
      <c r="H301" s="123">
        <v>1.8981969999999999</v>
      </c>
      <c r="I301" s="122">
        <v>1976.0230769999998</v>
      </c>
      <c r="J301" s="124">
        <f t="shared" si="4"/>
        <v>1.8981969999999999</v>
      </c>
    </row>
    <row r="302" spans="1:11" ht="15" customHeight="1" x14ac:dyDescent="0.2">
      <c r="A302" s="120" t="s">
        <v>3987</v>
      </c>
      <c r="B302" s="120" t="s">
        <v>3988</v>
      </c>
      <c r="C302" s="98" t="s">
        <v>3533</v>
      </c>
      <c r="D302" s="120" t="s">
        <v>3534</v>
      </c>
      <c r="E302" s="98">
        <v>0.35</v>
      </c>
      <c r="F302" s="120">
        <v>0</v>
      </c>
      <c r="G302" s="121">
        <v>0</v>
      </c>
      <c r="H302" s="123">
        <v>0.35</v>
      </c>
      <c r="I302" s="122">
        <v>0</v>
      </c>
      <c r="J302" s="124">
        <f t="shared" si="4"/>
        <v>0.35</v>
      </c>
    </row>
    <row r="303" spans="1:11" ht="15" customHeight="1" x14ac:dyDescent="0.2">
      <c r="A303" s="120" t="s">
        <v>3989</v>
      </c>
      <c r="B303" s="120" t="s">
        <v>3918</v>
      </c>
      <c r="C303" s="98" t="s">
        <v>3533</v>
      </c>
      <c r="D303" s="120" t="s">
        <v>3534</v>
      </c>
      <c r="E303" s="98">
        <v>0.73</v>
      </c>
      <c r="F303" s="120">
        <v>0</v>
      </c>
      <c r="G303" s="121">
        <v>0</v>
      </c>
      <c r="H303" s="123">
        <v>0.73</v>
      </c>
      <c r="I303" s="122">
        <v>0</v>
      </c>
      <c r="J303" s="124">
        <f t="shared" si="4"/>
        <v>0.73</v>
      </c>
      <c r="K303" s="98" t="s">
        <v>3949</v>
      </c>
    </row>
    <row r="304" spans="1:11" ht="15" customHeight="1" x14ac:dyDescent="0.2">
      <c r="A304" s="120" t="s">
        <v>3990</v>
      </c>
      <c r="B304" s="120" t="s">
        <v>3988</v>
      </c>
      <c r="C304" s="98" t="s">
        <v>3533</v>
      </c>
      <c r="D304" s="120" t="s">
        <v>3534</v>
      </c>
      <c r="E304" s="98">
        <v>0.63</v>
      </c>
      <c r="F304" s="120">
        <v>0</v>
      </c>
      <c r="G304" s="121">
        <v>0</v>
      </c>
      <c r="H304" s="123">
        <v>0.63</v>
      </c>
      <c r="I304" s="122">
        <v>0</v>
      </c>
      <c r="J304" s="124">
        <f t="shared" si="4"/>
        <v>0.63</v>
      </c>
    </row>
    <row r="305" spans="1:11" ht="15" customHeight="1" x14ac:dyDescent="0.2">
      <c r="A305" s="120" t="s">
        <v>3991</v>
      </c>
      <c r="B305" s="120" t="s">
        <v>3980</v>
      </c>
      <c r="C305" s="98" t="s">
        <v>3533</v>
      </c>
      <c r="D305" s="120" t="s">
        <v>3534</v>
      </c>
      <c r="E305" s="98">
        <v>0.35759999999999997</v>
      </c>
      <c r="F305" s="120">
        <v>0</v>
      </c>
      <c r="G305" s="121">
        <v>615</v>
      </c>
      <c r="H305" s="123">
        <v>0.35759999999999997</v>
      </c>
      <c r="I305" s="122">
        <v>219.92399999999998</v>
      </c>
      <c r="J305" s="124">
        <f t="shared" si="4"/>
        <v>0.35759999999999997</v>
      </c>
    </row>
    <row r="306" spans="1:11" ht="15" customHeight="1" x14ac:dyDescent="0.2">
      <c r="A306" s="120" t="s">
        <v>3951</v>
      </c>
      <c r="B306" s="120" t="s">
        <v>3599</v>
      </c>
      <c r="C306" s="98" t="s">
        <v>3533</v>
      </c>
      <c r="D306" s="120" t="s">
        <v>3534</v>
      </c>
      <c r="E306" s="98">
        <v>0.96</v>
      </c>
      <c r="F306" s="120">
        <v>0</v>
      </c>
      <c r="G306" s="121">
        <v>2025</v>
      </c>
      <c r="H306" s="123">
        <v>0.99400500000000003</v>
      </c>
      <c r="I306" s="122">
        <v>2012.8601250000002</v>
      </c>
      <c r="J306" s="124">
        <f t="shared" si="4"/>
        <v>0.96</v>
      </c>
      <c r="K306" s="98" t="s">
        <v>3992</v>
      </c>
    </row>
    <row r="307" spans="1:11" ht="15" customHeight="1" x14ac:dyDescent="0.2">
      <c r="A307" s="120" t="s">
        <v>3993</v>
      </c>
      <c r="B307" s="120" t="s">
        <v>3907</v>
      </c>
      <c r="C307" s="98" t="s">
        <v>3533</v>
      </c>
      <c r="D307" s="120" t="s">
        <v>3534</v>
      </c>
      <c r="E307" s="98">
        <v>0.75</v>
      </c>
      <c r="F307" s="120">
        <v>0</v>
      </c>
      <c r="G307" s="121">
        <v>2050</v>
      </c>
      <c r="H307" s="123">
        <v>0.75</v>
      </c>
      <c r="I307" s="122">
        <v>1537.5</v>
      </c>
      <c r="J307" s="124">
        <f t="shared" si="4"/>
        <v>0.75</v>
      </c>
    </row>
    <row r="308" spans="1:11" ht="15" customHeight="1" x14ac:dyDescent="0.2">
      <c r="A308" s="120" t="s">
        <v>3994</v>
      </c>
      <c r="B308" s="120" t="s">
        <v>3980</v>
      </c>
      <c r="C308" s="98" t="s">
        <v>3533</v>
      </c>
      <c r="D308" s="120" t="s">
        <v>3534</v>
      </c>
      <c r="E308" s="98">
        <v>0.35759999999999997</v>
      </c>
      <c r="F308" s="120">
        <v>0</v>
      </c>
      <c r="G308" s="121">
        <v>1645</v>
      </c>
      <c r="H308" s="123">
        <v>0.35759999999999997</v>
      </c>
      <c r="I308" s="122">
        <v>588.25199999999995</v>
      </c>
      <c r="J308" s="124">
        <f t="shared" si="4"/>
        <v>0.35759999999999997</v>
      </c>
    </row>
    <row r="309" spans="1:11" ht="15" customHeight="1" x14ac:dyDescent="0.2">
      <c r="A309" s="120" t="s">
        <v>3995</v>
      </c>
      <c r="B309" s="120" t="s">
        <v>3980</v>
      </c>
      <c r="C309" s="98" t="s">
        <v>3533</v>
      </c>
      <c r="D309" s="120" t="s">
        <v>3534</v>
      </c>
      <c r="E309" s="98">
        <v>0.35759999999999997</v>
      </c>
      <c r="F309" s="120">
        <v>0</v>
      </c>
      <c r="G309" s="121">
        <v>777</v>
      </c>
      <c r="H309" s="123">
        <v>0.35759999999999997</v>
      </c>
      <c r="I309" s="122">
        <v>277.85519999999997</v>
      </c>
      <c r="J309" s="124">
        <f t="shared" si="4"/>
        <v>0.35759999999999997</v>
      </c>
    </row>
    <row r="310" spans="1:11" ht="15" customHeight="1" x14ac:dyDescent="0.2">
      <c r="A310" s="120" t="s">
        <v>3996</v>
      </c>
      <c r="B310" s="120" t="s">
        <v>3980</v>
      </c>
      <c r="C310" s="98" t="s">
        <v>3533</v>
      </c>
      <c r="D310" s="120" t="s">
        <v>3534</v>
      </c>
      <c r="E310" s="98">
        <v>0.35775200000000001</v>
      </c>
      <c r="F310" s="120">
        <v>0</v>
      </c>
      <c r="G310" s="121">
        <v>6571</v>
      </c>
      <c r="H310" s="123">
        <v>0.35775200000000001</v>
      </c>
      <c r="I310" s="122">
        <v>2350.7883919999999</v>
      </c>
      <c r="J310" s="124">
        <f t="shared" si="4"/>
        <v>0.35775200000000001</v>
      </c>
    </row>
    <row r="311" spans="1:11" ht="15" customHeight="1" x14ac:dyDescent="0.2">
      <c r="A311" s="120" t="s">
        <v>3997</v>
      </c>
      <c r="B311" s="120" t="s">
        <v>3998</v>
      </c>
      <c r="C311" s="98" t="s">
        <v>3533</v>
      </c>
      <c r="D311" s="120" t="s">
        <v>3534</v>
      </c>
      <c r="E311" s="98">
        <v>0.65</v>
      </c>
      <c r="F311" s="120">
        <v>0</v>
      </c>
      <c r="G311" s="121">
        <v>0</v>
      </c>
      <c r="H311" s="123">
        <v>0.65</v>
      </c>
      <c r="I311" s="122">
        <v>0</v>
      </c>
      <c r="J311" s="124">
        <f t="shared" si="4"/>
        <v>0.65</v>
      </c>
    </row>
    <row r="312" spans="1:11" ht="15" customHeight="1" x14ac:dyDescent="0.2">
      <c r="A312" s="120" t="s">
        <v>3999</v>
      </c>
      <c r="B312" s="120" t="s">
        <v>3918</v>
      </c>
      <c r="C312" s="98" t="s">
        <v>3533</v>
      </c>
      <c r="D312" s="120" t="s">
        <v>3534</v>
      </c>
      <c r="E312" s="98">
        <v>0.73</v>
      </c>
      <c r="F312" s="120">
        <v>0</v>
      </c>
      <c r="G312" s="121">
        <v>0</v>
      </c>
      <c r="H312" s="123">
        <v>0.73</v>
      </c>
      <c r="I312" s="122">
        <v>0</v>
      </c>
      <c r="J312" s="124">
        <f t="shared" si="4"/>
        <v>0.73</v>
      </c>
      <c r="K312" s="98" t="s">
        <v>3949</v>
      </c>
    </row>
    <row r="313" spans="1:11" ht="15" customHeight="1" x14ac:dyDescent="0.2">
      <c r="A313" s="120" t="s">
        <v>4000</v>
      </c>
      <c r="B313" s="120" t="s">
        <v>4001</v>
      </c>
      <c r="C313" s="98" t="s">
        <v>3533</v>
      </c>
      <c r="D313" s="120" t="s">
        <v>3534</v>
      </c>
      <c r="E313" s="98">
        <v>0.48899999999999999</v>
      </c>
      <c r="F313" s="120">
        <v>0</v>
      </c>
      <c r="G313" s="121">
        <v>0</v>
      </c>
      <c r="H313" s="123">
        <v>0.48899999999999999</v>
      </c>
      <c r="I313" s="122">
        <v>0</v>
      </c>
      <c r="J313" s="124">
        <f t="shared" si="4"/>
        <v>0.48899999999999999</v>
      </c>
    </row>
    <row r="314" spans="1:11" ht="15" customHeight="1" x14ac:dyDescent="0.2">
      <c r="A314" s="120" t="s">
        <v>4002</v>
      </c>
      <c r="B314" s="120" t="s">
        <v>3599</v>
      </c>
      <c r="C314" s="98" t="s">
        <v>3533</v>
      </c>
      <c r="D314" s="120" t="s">
        <v>3534</v>
      </c>
      <c r="E314" s="98">
        <v>0.62</v>
      </c>
      <c r="F314" s="120">
        <v>0</v>
      </c>
      <c r="G314" s="121">
        <v>0</v>
      </c>
      <c r="H314" s="123">
        <v>0.62</v>
      </c>
      <c r="I314" s="122">
        <v>0</v>
      </c>
      <c r="J314" s="124">
        <f t="shared" si="4"/>
        <v>0.62</v>
      </c>
    </row>
    <row r="315" spans="1:11" ht="15" customHeight="1" x14ac:dyDescent="0.2">
      <c r="A315" s="120" t="s">
        <v>4003</v>
      </c>
      <c r="B315" s="120" t="s">
        <v>3940</v>
      </c>
      <c r="C315" s="98" t="s">
        <v>3533</v>
      </c>
      <c r="D315" s="120" t="s">
        <v>3534</v>
      </c>
      <c r="E315" s="98">
        <v>6.25</v>
      </c>
      <c r="F315" s="120">
        <v>0</v>
      </c>
      <c r="G315" s="121">
        <v>0</v>
      </c>
      <c r="H315" s="123">
        <v>6.25</v>
      </c>
      <c r="I315" s="122">
        <v>0</v>
      </c>
      <c r="J315" s="124">
        <f t="shared" si="4"/>
        <v>6.25</v>
      </c>
      <c r="K315" s="98" t="s">
        <v>4004</v>
      </c>
    </row>
    <row r="316" spans="1:11" ht="15" customHeight="1" x14ac:dyDescent="0.2">
      <c r="A316" s="120" t="s">
        <v>4005</v>
      </c>
      <c r="B316" s="120" t="s">
        <v>3940</v>
      </c>
      <c r="C316" s="98" t="s">
        <v>3533</v>
      </c>
      <c r="D316" s="120" t="s">
        <v>3534</v>
      </c>
      <c r="E316" s="98">
        <v>79.849999999999994</v>
      </c>
      <c r="F316" s="120">
        <v>0</v>
      </c>
      <c r="G316" s="121">
        <v>0</v>
      </c>
      <c r="H316" s="123">
        <v>79.849999999999994</v>
      </c>
      <c r="I316" s="122">
        <v>0</v>
      </c>
      <c r="J316" s="124">
        <f t="shared" si="4"/>
        <v>79.849999999999994</v>
      </c>
      <c r="K316" s="98" t="s">
        <v>4006</v>
      </c>
    </row>
    <row r="317" spans="1:11" ht="15" customHeight="1" x14ac:dyDescent="0.2">
      <c r="A317" s="120" t="s">
        <v>4007</v>
      </c>
      <c r="B317" s="120" t="s">
        <v>3599</v>
      </c>
      <c r="C317" s="98" t="s">
        <v>3533</v>
      </c>
      <c r="D317" s="120" t="s">
        <v>3534</v>
      </c>
      <c r="E317" s="98">
        <v>0.48</v>
      </c>
      <c r="F317" s="120">
        <v>0</v>
      </c>
      <c r="G317" s="121">
        <v>134</v>
      </c>
      <c r="H317" s="123">
        <v>0.48</v>
      </c>
      <c r="I317" s="122">
        <v>64.319999999999993</v>
      </c>
      <c r="J317" s="124">
        <f t="shared" si="4"/>
        <v>0.48</v>
      </c>
      <c r="K317" s="98" t="s">
        <v>4008</v>
      </c>
    </row>
    <row r="318" spans="1:11" ht="15" customHeight="1" x14ac:dyDescent="0.2">
      <c r="A318" s="120" t="s">
        <v>4009</v>
      </c>
      <c r="B318" s="120" t="s">
        <v>3599</v>
      </c>
      <c r="C318" s="98" t="s">
        <v>3566</v>
      </c>
      <c r="D318" s="120" t="s">
        <v>3534</v>
      </c>
      <c r="E318" s="98">
        <v>52.5</v>
      </c>
      <c r="F318" s="120">
        <v>0</v>
      </c>
      <c r="G318" s="121">
        <v>0</v>
      </c>
      <c r="H318" s="123">
        <v>52.5</v>
      </c>
      <c r="I318" s="122">
        <v>0</v>
      </c>
      <c r="J318" s="124">
        <f t="shared" si="4"/>
        <v>52.5</v>
      </c>
    </row>
    <row r="319" spans="1:11" ht="15" customHeight="1" x14ac:dyDescent="0.2">
      <c r="A319" s="120" t="s">
        <v>4010</v>
      </c>
      <c r="B319" s="120" t="s">
        <v>3532</v>
      </c>
      <c r="C319" s="98" t="s">
        <v>3533</v>
      </c>
      <c r="D319" s="120" t="s">
        <v>3534</v>
      </c>
      <c r="E319" s="98">
        <v>0.95</v>
      </c>
      <c r="F319" s="120">
        <v>0</v>
      </c>
      <c r="G319" s="121">
        <v>500</v>
      </c>
      <c r="H319" s="123">
        <v>0.95</v>
      </c>
      <c r="I319" s="122">
        <v>475</v>
      </c>
      <c r="J319" s="124">
        <f t="shared" si="4"/>
        <v>0.95</v>
      </c>
    </row>
    <row r="320" spans="1:11" ht="15" customHeight="1" x14ac:dyDescent="0.2">
      <c r="A320" s="120" t="s">
        <v>4011</v>
      </c>
      <c r="B320" s="120" t="s">
        <v>3599</v>
      </c>
      <c r="C320" s="98" t="s">
        <v>3533</v>
      </c>
      <c r="D320" s="120" t="s">
        <v>3534</v>
      </c>
      <c r="E320" s="98">
        <v>1.53</v>
      </c>
      <c r="F320" s="120">
        <v>0</v>
      </c>
      <c r="G320" s="121">
        <v>0</v>
      </c>
      <c r="H320" s="123">
        <v>1.53</v>
      </c>
      <c r="I320" s="122">
        <v>0</v>
      </c>
      <c r="J320" s="124">
        <f t="shared" si="4"/>
        <v>1.53</v>
      </c>
      <c r="K320" s="98" t="s">
        <v>4012</v>
      </c>
    </row>
    <row r="321" spans="1:11" ht="15" customHeight="1" x14ac:dyDescent="0.2">
      <c r="A321" s="120" t="s">
        <v>4013</v>
      </c>
      <c r="B321" s="120" t="s">
        <v>3599</v>
      </c>
      <c r="C321" s="98" t="s">
        <v>3566</v>
      </c>
      <c r="D321" s="120" t="s">
        <v>3534</v>
      </c>
      <c r="E321" s="98">
        <v>0.2</v>
      </c>
      <c r="F321" s="120">
        <v>0</v>
      </c>
      <c r="G321" s="121">
        <v>0</v>
      </c>
      <c r="H321" s="123">
        <v>0.2</v>
      </c>
      <c r="I321" s="122">
        <v>0</v>
      </c>
      <c r="J321" s="124">
        <f t="shared" si="4"/>
        <v>0.2</v>
      </c>
    </row>
    <row r="322" spans="1:11" ht="15" customHeight="1" x14ac:dyDescent="0.2">
      <c r="A322" s="120" t="s">
        <v>4014</v>
      </c>
      <c r="B322" s="120" t="s">
        <v>3599</v>
      </c>
      <c r="C322" s="98" t="s">
        <v>3533</v>
      </c>
      <c r="D322" s="120" t="s">
        <v>3534</v>
      </c>
      <c r="E322" s="98">
        <v>0.5</v>
      </c>
      <c r="F322" s="120">
        <v>0</v>
      </c>
      <c r="G322" s="121">
        <v>1453</v>
      </c>
      <c r="H322" s="123">
        <v>0.5</v>
      </c>
      <c r="I322" s="122">
        <v>726.5</v>
      </c>
      <c r="J322" s="124">
        <f t="shared" ref="J322:J385" si="5">IF(D322="gm", E322*1000,+E322)</f>
        <v>0.5</v>
      </c>
      <c r="K322" s="98" t="s">
        <v>4015</v>
      </c>
    </row>
    <row r="323" spans="1:11" ht="15" customHeight="1" x14ac:dyDescent="0.2">
      <c r="A323" s="120" t="s">
        <v>4016</v>
      </c>
      <c r="B323" s="120" t="s">
        <v>3599</v>
      </c>
      <c r="C323" s="98" t="s">
        <v>3533</v>
      </c>
      <c r="D323" s="120" t="s">
        <v>3534</v>
      </c>
      <c r="E323" s="98">
        <v>0.7</v>
      </c>
      <c r="F323" s="120">
        <v>0</v>
      </c>
      <c r="G323" s="121">
        <v>591</v>
      </c>
      <c r="H323" s="123">
        <v>0.7</v>
      </c>
      <c r="I323" s="122">
        <v>413.7</v>
      </c>
      <c r="J323" s="124">
        <f t="shared" si="5"/>
        <v>0.7</v>
      </c>
      <c r="K323" s="98" t="s">
        <v>4017</v>
      </c>
    </row>
    <row r="324" spans="1:11" ht="15" customHeight="1" x14ac:dyDescent="0.2">
      <c r="A324" s="120" t="s">
        <v>4018</v>
      </c>
      <c r="B324" s="120" t="s">
        <v>3599</v>
      </c>
      <c r="C324" s="98" t="s">
        <v>3566</v>
      </c>
      <c r="D324" s="120" t="s">
        <v>3534</v>
      </c>
      <c r="E324" s="98">
        <v>2.64</v>
      </c>
      <c r="F324" s="120">
        <v>0</v>
      </c>
      <c r="G324" s="121">
        <v>0</v>
      </c>
      <c r="H324" s="123">
        <v>2.64</v>
      </c>
      <c r="I324" s="122">
        <v>0</v>
      </c>
      <c r="J324" s="124">
        <f t="shared" si="5"/>
        <v>2.64</v>
      </c>
    </row>
    <row r="325" spans="1:11" ht="15" customHeight="1" x14ac:dyDescent="0.2">
      <c r="A325" s="120" t="s">
        <v>4019</v>
      </c>
      <c r="B325" s="120" t="s">
        <v>3532</v>
      </c>
      <c r="C325" s="98" t="s">
        <v>3566</v>
      </c>
      <c r="D325" s="120" t="s">
        <v>3534</v>
      </c>
      <c r="E325" s="98">
        <v>0.36</v>
      </c>
      <c r="F325" s="120">
        <v>0</v>
      </c>
      <c r="G325" s="121">
        <v>0</v>
      </c>
      <c r="H325" s="123">
        <v>0.36</v>
      </c>
      <c r="I325" s="122">
        <v>0</v>
      </c>
      <c r="J325" s="124">
        <f t="shared" si="5"/>
        <v>0.36</v>
      </c>
    </row>
    <row r="326" spans="1:11" ht="15" customHeight="1" x14ac:dyDescent="0.2">
      <c r="A326" s="120" t="s">
        <v>4020</v>
      </c>
      <c r="B326" s="120" t="s">
        <v>3599</v>
      </c>
      <c r="C326" s="98" t="s">
        <v>3533</v>
      </c>
      <c r="D326" s="120" t="s">
        <v>3534</v>
      </c>
      <c r="E326" s="98">
        <v>2.76</v>
      </c>
      <c r="F326" s="120">
        <v>0</v>
      </c>
      <c r="G326" s="121">
        <v>603</v>
      </c>
      <c r="H326" s="123">
        <v>2.76</v>
      </c>
      <c r="I326" s="122">
        <v>1664.28</v>
      </c>
      <c r="J326" s="124">
        <f t="shared" si="5"/>
        <v>2.76</v>
      </c>
      <c r="K326" s="98" t="s">
        <v>4021</v>
      </c>
    </row>
    <row r="327" spans="1:11" ht="15" customHeight="1" x14ac:dyDescent="0.2">
      <c r="A327" s="120" t="s">
        <v>4022</v>
      </c>
      <c r="B327" s="120" t="s">
        <v>3599</v>
      </c>
      <c r="C327" s="98" t="s">
        <v>3566</v>
      </c>
      <c r="D327" s="120" t="s">
        <v>3534</v>
      </c>
      <c r="E327" s="98">
        <v>1</v>
      </c>
      <c r="F327" s="120">
        <v>0</v>
      </c>
      <c r="G327" s="121">
        <v>167</v>
      </c>
      <c r="H327" s="123">
        <v>1</v>
      </c>
      <c r="I327" s="122">
        <v>167</v>
      </c>
      <c r="J327" s="124">
        <f t="shared" si="5"/>
        <v>1</v>
      </c>
    </row>
    <row r="328" spans="1:11" ht="15" customHeight="1" x14ac:dyDescent="0.2">
      <c r="A328" s="120" t="s">
        <v>4023</v>
      </c>
      <c r="B328" s="120" t="s">
        <v>3532</v>
      </c>
      <c r="C328" s="98" t="s">
        <v>3533</v>
      </c>
      <c r="D328" s="120" t="s">
        <v>3534</v>
      </c>
      <c r="E328" s="98">
        <v>0</v>
      </c>
      <c r="F328" s="120">
        <v>0</v>
      </c>
      <c r="G328" s="121">
        <v>128</v>
      </c>
      <c r="H328" s="123">
        <v>0</v>
      </c>
      <c r="I328" s="122">
        <v>0</v>
      </c>
      <c r="J328" s="124">
        <f t="shared" si="5"/>
        <v>0</v>
      </c>
    </row>
    <row r="329" spans="1:11" ht="15" customHeight="1" x14ac:dyDescent="0.2">
      <c r="A329" s="120" t="s">
        <v>4024</v>
      </c>
      <c r="B329" s="120" t="s">
        <v>3532</v>
      </c>
      <c r="C329" s="98" t="s">
        <v>3566</v>
      </c>
      <c r="D329" s="120" t="s">
        <v>3534</v>
      </c>
      <c r="E329" s="98">
        <v>1.6</v>
      </c>
      <c r="F329" s="120">
        <v>0</v>
      </c>
      <c r="G329" s="121">
        <v>0</v>
      </c>
      <c r="H329" s="123">
        <v>1.6</v>
      </c>
      <c r="I329" s="122">
        <v>0</v>
      </c>
      <c r="J329" s="124">
        <f t="shared" si="5"/>
        <v>1.6</v>
      </c>
    </row>
    <row r="330" spans="1:11" ht="15" customHeight="1" x14ac:dyDescent="0.2">
      <c r="A330" s="120" t="s">
        <v>4025</v>
      </c>
      <c r="B330" s="120" t="s">
        <v>3599</v>
      </c>
      <c r="C330" s="98" t="s">
        <v>3533</v>
      </c>
      <c r="D330" s="120" t="s">
        <v>3534</v>
      </c>
      <c r="E330" s="98">
        <v>1.72</v>
      </c>
      <c r="F330" s="120">
        <v>0</v>
      </c>
      <c r="G330" s="121">
        <v>66</v>
      </c>
      <c r="H330" s="123">
        <v>1.72</v>
      </c>
      <c r="I330" s="122">
        <v>113.52</v>
      </c>
      <c r="J330" s="124">
        <f t="shared" si="5"/>
        <v>1.72</v>
      </c>
      <c r="K330" s="98" t="s">
        <v>4026</v>
      </c>
    </row>
    <row r="331" spans="1:11" ht="15" customHeight="1" x14ac:dyDescent="0.2">
      <c r="A331" s="120" t="s">
        <v>4027</v>
      </c>
      <c r="B331" s="120" t="s">
        <v>3599</v>
      </c>
      <c r="C331" s="98" t="s">
        <v>3533</v>
      </c>
      <c r="D331" s="120" t="s">
        <v>3534</v>
      </c>
      <c r="E331" s="98">
        <v>0.6</v>
      </c>
      <c r="F331" s="120">
        <v>0</v>
      </c>
      <c r="G331" s="121">
        <v>89</v>
      </c>
      <c r="H331" s="123">
        <v>0.6</v>
      </c>
      <c r="I331" s="122">
        <v>53.4</v>
      </c>
      <c r="J331" s="124">
        <f t="shared" si="5"/>
        <v>0.6</v>
      </c>
      <c r="K331" s="98" t="s">
        <v>4028</v>
      </c>
    </row>
    <row r="332" spans="1:11" ht="15" customHeight="1" x14ac:dyDescent="0.2">
      <c r="A332" s="120" t="s">
        <v>4029</v>
      </c>
      <c r="B332" s="120" t="s">
        <v>3599</v>
      </c>
      <c r="C332" s="98" t="s">
        <v>3533</v>
      </c>
      <c r="D332" s="120" t="s">
        <v>3534</v>
      </c>
      <c r="E332" s="98">
        <v>0.56000000000000005</v>
      </c>
      <c r="F332" s="120">
        <v>0</v>
      </c>
      <c r="G332" s="121">
        <v>196</v>
      </c>
      <c r="H332" s="123">
        <v>0.56000000000000005</v>
      </c>
      <c r="I332" s="122">
        <v>109.76</v>
      </c>
      <c r="J332" s="124">
        <f t="shared" si="5"/>
        <v>0.56000000000000005</v>
      </c>
      <c r="K332" s="98" t="s">
        <v>4030</v>
      </c>
    </row>
    <row r="333" spans="1:11" ht="15" customHeight="1" x14ac:dyDescent="0.2">
      <c r="A333" s="120" t="s">
        <v>4031</v>
      </c>
      <c r="B333" s="120" t="s">
        <v>3599</v>
      </c>
      <c r="C333" s="98" t="s">
        <v>3533</v>
      </c>
      <c r="D333" s="120" t="s">
        <v>3534</v>
      </c>
      <c r="E333" s="98">
        <v>1.65</v>
      </c>
      <c r="F333" s="120">
        <v>0</v>
      </c>
      <c r="G333" s="121">
        <v>163</v>
      </c>
      <c r="H333" s="123">
        <v>1.65</v>
      </c>
      <c r="I333" s="122">
        <v>268.95</v>
      </c>
      <c r="J333" s="124">
        <f t="shared" si="5"/>
        <v>1.65</v>
      </c>
      <c r="K333" s="98" t="s">
        <v>4032</v>
      </c>
    </row>
    <row r="334" spans="1:11" ht="15" customHeight="1" x14ac:dyDescent="0.2">
      <c r="A334" s="120" t="s">
        <v>4033</v>
      </c>
      <c r="B334" s="120" t="s">
        <v>3632</v>
      </c>
      <c r="C334" s="98" t="s">
        <v>3533</v>
      </c>
      <c r="D334" s="120" t="s">
        <v>3534</v>
      </c>
      <c r="E334" s="98">
        <v>1.69</v>
      </c>
      <c r="F334" s="120">
        <v>0</v>
      </c>
      <c r="G334" s="121">
        <v>0</v>
      </c>
      <c r="H334" s="123">
        <v>1.69</v>
      </c>
      <c r="I334" s="122">
        <v>0</v>
      </c>
      <c r="J334" s="124">
        <f t="shared" si="5"/>
        <v>1.69</v>
      </c>
      <c r="K334" s="98" t="s">
        <v>4034</v>
      </c>
    </row>
    <row r="335" spans="1:11" ht="15" customHeight="1" x14ac:dyDescent="0.2">
      <c r="A335" s="120" t="s">
        <v>4035</v>
      </c>
      <c r="B335" s="120" t="s">
        <v>3632</v>
      </c>
      <c r="C335" s="98" t="s">
        <v>3533</v>
      </c>
      <c r="D335" s="120" t="s">
        <v>3534</v>
      </c>
      <c r="E335" s="98">
        <v>2.4109357798165099</v>
      </c>
      <c r="F335" s="120">
        <v>0</v>
      </c>
      <c r="G335" s="121">
        <v>694</v>
      </c>
      <c r="H335" s="123">
        <v>2.410936</v>
      </c>
      <c r="I335" s="122">
        <v>1673.189584</v>
      </c>
      <c r="J335" s="124">
        <f t="shared" si="5"/>
        <v>2.4109357798165099</v>
      </c>
    </row>
    <row r="336" spans="1:11" ht="15" customHeight="1" x14ac:dyDescent="0.2">
      <c r="A336" s="120" t="s">
        <v>4036</v>
      </c>
      <c r="B336" s="120" t="s">
        <v>4037</v>
      </c>
      <c r="C336" s="98" t="s">
        <v>3533</v>
      </c>
      <c r="D336" s="120" t="s">
        <v>3534</v>
      </c>
      <c r="E336" s="98">
        <v>1.143</v>
      </c>
      <c r="F336" s="120">
        <v>0</v>
      </c>
      <c r="G336" s="121">
        <v>924</v>
      </c>
      <c r="H336" s="123">
        <v>1.143</v>
      </c>
      <c r="I336" s="122">
        <v>1056.1320000000001</v>
      </c>
      <c r="J336" s="124">
        <f t="shared" si="5"/>
        <v>1.143</v>
      </c>
      <c r="K336" s="98" t="s">
        <v>4038</v>
      </c>
    </row>
    <row r="337" spans="1:11" ht="15" customHeight="1" x14ac:dyDescent="0.2">
      <c r="A337" s="120" t="s">
        <v>4039</v>
      </c>
      <c r="B337" s="120" t="s">
        <v>4037</v>
      </c>
      <c r="C337" s="98" t="s">
        <v>3533</v>
      </c>
      <c r="D337" s="120" t="s">
        <v>3534</v>
      </c>
      <c r="E337" s="98">
        <v>1.42</v>
      </c>
      <c r="F337" s="120">
        <v>0</v>
      </c>
      <c r="G337" s="121">
        <v>720</v>
      </c>
      <c r="H337" s="123">
        <v>1.42</v>
      </c>
      <c r="I337" s="122">
        <v>1022.4</v>
      </c>
      <c r="J337" s="124">
        <f t="shared" si="5"/>
        <v>1.42</v>
      </c>
      <c r="K337" s="98" t="s">
        <v>4040</v>
      </c>
    </row>
    <row r="338" spans="1:11" ht="15" customHeight="1" x14ac:dyDescent="0.2">
      <c r="A338" s="120" t="s">
        <v>4041</v>
      </c>
      <c r="B338" s="120" t="s">
        <v>4037</v>
      </c>
      <c r="C338" s="98" t="s">
        <v>3533</v>
      </c>
      <c r="D338" s="120" t="s">
        <v>3534</v>
      </c>
      <c r="E338" s="98">
        <v>1.3860008798944099</v>
      </c>
      <c r="F338" s="120">
        <v>0</v>
      </c>
      <c r="G338" s="121">
        <v>2038</v>
      </c>
      <c r="H338" s="123">
        <v>1.386001</v>
      </c>
      <c r="I338" s="122">
        <v>2824.6700380000002</v>
      </c>
      <c r="J338" s="124">
        <f t="shared" si="5"/>
        <v>1.3860008798944099</v>
      </c>
      <c r="K338" s="98" t="s">
        <v>4042</v>
      </c>
    </row>
    <row r="339" spans="1:11" ht="15" customHeight="1" x14ac:dyDescent="0.2">
      <c r="A339" s="120" t="s">
        <v>4043</v>
      </c>
      <c r="B339" s="120" t="s">
        <v>3599</v>
      </c>
      <c r="C339" s="98" t="s">
        <v>3533</v>
      </c>
      <c r="D339" s="120" t="s">
        <v>3534</v>
      </c>
      <c r="E339" s="98">
        <v>0</v>
      </c>
      <c r="F339" s="120">
        <v>0</v>
      </c>
      <c r="G339" s="121">
        <v>0</v>
      </c>
      <c r="H339" s="123">
        <v>0</v>
      </c>
      <c r="I339" s="122">
        <v>0</v>
      </c>
      <c r="J339" s="124">
        <f t="shared" si="5"/>
        <v>0</v>
      </c>
      <c r="K339" s="98" t="s">
        <v>4044</v>
      </c>
    </row>
    <row r="340" spans="1:11" ht="15" customHeight="1" x14ac:dyDescent="0.2">
      <c r="A340" s="120" t="s">
        <v>4045</v>
      </c>
      <c r="B340" s="120" t="s">
        <v>3599</v>
      </c>
      <c r="C340" s="98" t="s">
        <v>3533</v>
      </c>
      <c r="D340" s="120" t="s">
        <v>3534</v>
      </c>
      <c r="E340" s="98">
        <v>0.54</v>
      </c>
      <c r="F340" s="120">
        <v>0</v>
      </c>
      <c r="G340" s="121">
        <v>0</v>
      </c>
      <c r="H340" s="123">
        <v>0.54</v>
      </c>
      <c r="I340" s="122">
        <v>0</v>
      </c>
      <c r="J340" s="124">
        <f t="shared" si="5"/>
        <v>0.54</v>
      </c>
      <c r="K340" s="98" t="s">
        <v>4046</v>
      </c>
    </row>
    <row r="341" spans="1:11" ht="15" customHeight="1" x14ac:dyDescent="0.2">
      <c r="A341" s="120" t="s">
        <v>4047</v>
      </c>
      <c r="B341" s="120" t="s">
        <v>3532</v>
      </c>
      <c r="C341" s="98" t="s">
        <v>3533</v>
      </c>
      <c r="D341" s="120" t="s">
        <v>3534</v>
      </c>
      <c r="E341" s="98">
        <v>0.56000000000000005</v>
      </c>
      <c r="F341" s="120">
        <v>0</v>
      </c>
      <c r="G341" s="121">
        <v>207</v>
      </c>
      <c r="H341" s="123">
        <v>0.56000000000000005</v>
      </c>
      <c r="I341" s="122">
        <v>115.92000000000002</v>
      </c>
      <c r="J341" s="124">
        <f t="shared" si="5"/>
        <v>0.56000000000000005</v>
      </c>
    </row>
    <row r="342" spans="1:11" ht="15" customHeight="1" x14ac:dyDescent="0.2">
      <c r="A342" s="120" t="s">
        <v>4048</v>
      </c>
      <c r="B342" s="120" t="s">
        <v>3599</v>
      </c>
      <c r="C342" s="98" t="s">
        <v>3533</v>
      </c>
      <c r="D342" s="120" t="s">
        <v>3534</v>
      </c>
      <c r="E342" s="98">
        <v>0.54</v>
      </c>
      <c r="F342" s="120">
        <v>0</v>
      </c>
      <c r="G342" s="121">
        <v>1549</v>
      </c>
      <c r="H342" s="123">
        <v>0.54</v>
      </c>
      <c r="I342" s="122">
        <v>836.46</v>
      </c>
      <c r="J342" s="124">
        <f t="shared" si="5"/>
        <v>0.54</v>
      </c>
      <c r="K342" s="98" t="s">
        <v>4049</v>
      </c>
    </row>
    <row r="343" spans="1:11" ht="15" customHeight="1" x14ac:dyDescent="0.2">
      <c r="A343" s="120" t="s">
        <v>4050</v>
      </c>
      <c r="B343" s="120" t="s">
        <v>3532</v>
      </c>
      <c r="C343" s="98" t="s">
        <v>3533</v>
      </c>
      <c r="D343" s="120" t="s">
        <v>3534</v>
      </c>
      <c r="E343" s="98">
        <v>0.35</v>
      </c>
      <c r="F343" s="120">
        <v>0</v>
      </c>
      <c r="G343" s="121">
        <v>0</v>
      </c>
      <c r="H343" s="123">
        <v>0.35</v>
      </c>
      <c r="I343" s="122">
        <v>0</v>
      </c>
      <c r="J343" s="124">
        <f t="shared" si="5"/>
        <v>0.35</v>
      </c>
    </row>
    <row r="344" spans="1:11" ht="15" customHeight="1" x14ac:dyDescent="0.2">
      <c r="A344" s="120" t="s">
        <v>4051</v>
      </c>
      <c r="B344" s="120" t="s">
        <v>3599</v>
      </c>
      <c r="C344" s="98" t="s">
        <v>3533</v>
      </c>
      <c r="D344" s="120" t="s">
        <v>3534</v>
      </c>
      <c r="E344" s="98">
        <v>1.56</v>
      </c>
      <c r="F344" s="120">
        <v>0</v>
      </c>
      <c r="G344" s="121">
        <v>275</v>
      </c>
      <c r="H344" s="123">
        <v>1.56</v>
      </c>
      <c r="I344" s="122">
        <v>429</v>
      </c>
      <c r="J344" s="124">
        <f t="shared" si="5"/>
        <v>1.56</v>
      </c>
      <c r="K344" s="98" t="s">
        <v>4052</v>
      </c>
    </row>
    <row r="345" spans="1:11" ht="15" customHeight="1" x14ac:dyDescent="0.2">
      <c r="A345" s="120" t="s">
        <v>4053</v>
      </c>
      <c r="B345" s="120" t="s">
        <v>3599</v>
      </c>
      <c r="C345" s="98" t="s">
        <v>3533</v>
      </c>
      <c r="D345" s="120" t="s">
        <v>3534</v>
      </c>
      <c r="E345" s="98">
        <v>0.6</v>
      </c>
      <c r="F345" s="120">
        <v>0</v>
      </c>
      <c r="G345" s="121">
        <v>136</v>
      </c>
      <c r="H345" s="123">
        <v>0.6</v>
      </c>
      <c r="I345" s="122">
        <v>81.599999999999994</v>
      </c>
      <c r="J345" s="124">
        <f t="shared" si="5"/>
        <v>0.6</v>
      </c>
      <c r="K345" s="98" t="s">
        <v>4054</v>
      </c>
    </row>
    <row r="346" spans="1:11" ht="15" customHeight="1" x14ac:dyDescent="0.2">
      <c r="A346" s="120" t="s">
        <v>4055</v>
      </c>
      <c r="B346" s="120" t="s">
        <v>3599</v>
      </c>
      <c r="C346" s="98" t="s">
        <v>3533</v>
      </c>
      <c r="D346" s="120" t="s">
        <v>3534</v>
      </c>
      <c r="E346" s="98">
        <v>6.37</v>
      </c>
      <c r="F346" s="120">
        <v>0</v>
      </c>
      <c r="G346" s="121">
        <v>20</v>
      </c>
      <c r="H346" s="123">
        <v>6.37</v>
      </c>
      <c r="I346" s="122">
        <v>127.4</v>
      </c>
      <c r="J346" s="124">
        <f t="shared" si="5"/>
        <v>6.37</v>
      </c>
      <c r="K346" s="98" t="s">
        <v>4056</v>
      </c>
    </row>
    <row r="347" spans="1:11" ht="15" customHeight="1" x14ac:dyDescent="0.2">
      <c r="A347" s="120" t="s">
        <v>4057</v>
      </c>
      <c r="B347" s="120" t="s">
        <v>3599</v>
      </c>
      <c r="C347" s="98" t="s">
        <v>3566</v>
      </c>
      <c r="D347" s="120" t="s">
        <v>3534</v>
      </c>
      <c r="E347" s="98">
        <v>4.04</v>
      </c>
      <c r="F347" s="120">
        <v>0</v>
      </c>
      <c r="G347" s="121">
        <v>0</v>
      </c>
      <c r="H347" s="123">
        <v>4.04</v>
      </c>
      <c r="I347" s="122">
        <v>0</v>
      </c>
      <c r="J347" s="124">
        <f t="shared" si="5"/>
        <v>4.04</v>
      </c>
    </row>
    <row r="348" spans="1:11" ht="15" customHeight="1" x14ac:dyDescent="0.2">
      <c r="A348" s="120" t="s">
        <v>4058</v>
      </c>
      <c r="B348" s="120" t="s">
        <v>3532</v>
      </c>
      <c r="C348" s="98" t="s">
        <v>3533</v>
      </c>
      <c r="D348" s="120" t="s">
        <v>3534</v>
      </c>
      <c r="E348" s="98">
        <v>0</v>
      </c>
      <c r="F348" s="120">
        <v>0</v>
      </c>
      <c r="G348" s="121">
        <v>0</v>
      </c>
      <c r="H348" s="123">
        <v>0</v>
      </c>
      <c r="I348" s="122">
        <v>0</v>
      </c>
      <c r="J348" s="124">
        <f t="shared" si="5"/>
        <v>0</v>
      </c>
    </row>
    <row r="349" spans="1:11" ht="15" customHeight="1" x14ac:dyDescent="0.2">
      <c r="A349" s="120" t="s">
        <v>4059</v>
      </c>
      <c r="B349" s="120" t="s">
        <v>3599</v>
      </c>
      <c r="C349" s="98" t="s">
        <v>3533</v>
      </c>
      <c r="D349" s="120" t="s">
        <v>3534</v>
      </c>
      <c r="E349" s="98">
        <v>1.81</v>
      </c>
      <c r="F349" s="120">
        <v>0</v>
      </c>
      <c r="G349" s="121">
        <v>2666</v>
      </c>
      <c r="H349" s="123">
        <v>1.81</v>
      </c>
      <c r="I349" s="122">
        <v>4825.46</v>
      </c>
      <c r="J349" s="124">
        <f t="shared" si="5"/>
        <v>1.81</v>
      </c>
      <c r="K349" s="98" t="s">
        <v>4060</v>
      </c>
    </row>
    <row r="350" spans="1:11" ht="15" customHeight="1" x14ac:dyDescent="0.2">
      <c r="A350" s="120" t="s">
        <v>4061</v>
      </c>
      <c r="B350" s="120" t="s">
        <v>3599</v>
      </c>
      <c r="C350" s="98" t="s">
        <v>3533</v>
      </c>
      <c r="D350" s="120" t="s">
        <v>3534</v>
      </c>
      <c r="E350" s="98">
        <v>0.52</v>
      </c>
      <c r="F350" s="120">
        <v>0</v>
      </c>
      <c r="G350" s="121">
        <v>355</v>
      </c>
      <c r="H350" s="123">
        <v>0.52</v>
      </c>
      <c r="I350" s="122">
        <v>184.6</v>
      </c>
      <c r="J350" s="124">
        <f t="shared" si="5"/>
        <v>0.52</v>
      </c>
      <c r="K350" s="98" t="s">
        <v>4062</v>
      </c>
    </row>
    <row r="351" spans="1:11" ht="15" customHeight="1" x14ac:dyDescent="0.2">
      <c r="A351" s="120" t="s">
        <v>4063</v>
      </c>
      <c r="B351" s="120" t="s">
        <v>3599</v>
      </c>
      <c r="C351" s="98" t="s">
        <v>3533</v>
      </c>
      <c r="D351" s="120" t="s">
        <v>3534</v>
      </c>
      <c r="E351" s="98">
        <v>0.95</v>
      </c>
      <c r="F351" s="120">
        <v>0</v>
      </c>
      <c r="G351" s="121">
        <v>200</v>
      </c>
      <c r="H351" s="123">
        <v>0.95</v>
      </c>
      <c r="I351" s="122">
        <v>190</v>
      </c>
      <c r="J351" s="124">
        <f t="shared" si="5"/>
        <v>0.95</v>
      </c>
      <c r="K351" s="98" t="s">
        <v>4064</v>
      </c>
    </row>
    <row r="352" spans="1:11" ht="15" customHeight="1" x14ac:dyDescent="0.2">
      <c r="A352" s="120" t="s">
        <v>4065</v>
      </c>
      <c r="B352" s="120" t="s">
        <v>3599</v>
      </c>
      <c r="C352" s="98" t="s">
        <v>4066</v>
      </c>
      <c r="D352" s="120" t="s">
        <v>3534</v>
      </c>
      <c r="E352" s="98">
        <v>0.71</v>
      </c>
      <c r="F352" s="120">
        <v>0</v>
      </c>
      <c r="G352" s="121">
        <v>0</v>
      </c>
      <c r="H352" s="123">
        <v>0.71</v>
      </c>
      <c r="I352" s="122">
        <v>0</v>
      </c>
      <c r="J352" s="124">
        <f t="shared" si="5"/>
        <v>0.71</v>
      </c>
    </row>
    <row r="353" spans="1:11" ht="15" customHeight="1" x14ac:dyDescent="0.2">
      <c r="A353" s="120" t="s">
        <v>4067</v>
      </c>
      <c r="B353" s="120" t="s">
        <v>3599</v>
      </c>
      <c r="C353" s="98" t="s">
        <v>3533</v>
      </c>
      <c r="D353" s="120" t="s">
        <v>3534</v>
      </c>
      <c r="E353" s="98">
        <v>0.45</v>
      </c>
      <c r="F353" s="120">
        <v>0</v>
      </c>
      <c r="G353" s="121">
        <v>50</v>
      </c>
      <c r="H353" s="123">
        <v>0.45</v>
      </c>
      <c r="I353" s="122">
        <v>22.5</v>
      </c>
      <c r="J353" s="124">
        <f t="shared" si="5"/>
        <v>0.45</v>
      </c>
      <c r="K353" s="98" t="s">
        <v>4068</v>
      </c>
    </row>
    <row r="354" spans="1:11" ht="15" customHeight="1" x14ac:dyDescent="0.2">
      <c r="A354" s="120" t="s">
        <v>4069</v>
      </c>
      <c r="B354" s="120" t="s">
        <v>3599</v>
      </c>
      <c r="C354" s="98" t="s">
        <v>3533</v>
      </c>
      <c r="D354" s="120" t="s">
        <v>3534</v>
      </c>
      <c r="E354" s="98">
        <v>0.35</v>
      </c>
      <c r="F354" s="120">
        <v>0</v>
      </c>
      <c r="G354" s="121">
        <v>23</v>
      </c>
      <c r="H354" s="123">
        <v>0.35</v>
      </c>
      <c r="I354" s="122">
        <v>8.0499999999999989</v>
      </c>
      <c r="J354" s="124">
        <f t="shared" si="5"/>
        <v>0.35</v>
      </c>
      <c r="K354" s="98" t="s">
        <v>4070</v>
      </c>
    </row>
    <row r="355" spans="1:11" ht="15" customHeight="1" x14ac:dyDescent="0.2">
      <c r="A355" s="120" t="s">
        <v>4071</v>
      </c>
      <c r="B355" s="120" t="s">
        <v>3599</v>
      </c>
      <c r="C355" s="98" t="s">
        <v>3533</v>
      </c>
      <c r="D355" s="120" t="s">
        <v>3534</v>
      </c>
      <c r="E355" s="98">
        <v>1.58</v>
      </c>
      <c r="F355" s="120">
        <v>0</v>
      </c>
      <c r="G355" s="121">
        <v>200</v>
      </c>
      <c r="H355" s="123">
        <v>1.58</v>
      </c>
      <c r="I355" s="122">
        <v>316</v>
      </c>
      <c r="J355" s="124">
        <f t="shared" si="5"/>
        <v>1.58</v>
      </c>
      <c r="K355" s="98" t="s">
        <v>4072</v>
      </c>
    </row>
    <row r="356" spans="1:11" ht="15" customHeight="1" x14ac:dyDescent="0.2">
      <c r="A356" s="120" t="s">
        <v>4073</v>
      </c>
      <c r="B356" s="120" t="s">
        <v>3599</v>
      </c>
      <c r="C356" s="98" t="s">
        <v>3533</v>
      </c>
      <c r="D356" s="120" t="s">
        <v>3534</v>
      </c>
      <c r="E356" s="98">
        <v>1.52</v>
      </c>
      <c r="F356" s="120">
        <v>0</v>
      </c>
      <c r="G356" s="121">
        <v>0</v>
      </c>
      <c r="H356" s="123">
        <v>1.52</v>
      </c>
      <c r="I356" s="122">
        <v>0</v>
      </c>
      <c r="J356" s="124">
        <f t="shared" si="5"/>
        <v>1.52</v>
      </c>
      <c r="K356" s="98" t="s">
        <v>4074</v>
      </c>
    </row>
    <row r="357" spans="1:11" ht="15" customHeight="1" x14ac:dyDescent="0.2">
      <c r="A357" s="120" t="s">
        <v>4075</v>
      </c>
      <c r="B357" s="120" t="s">
        <v>3532</v>
      </c>
      <c r="C357" s="98" t="s">
        <v>3533</v>
      </c>
      <c r="D357" s="120" t="s">
        <v>3534</v>
      </c>
      <c r="E357" s="98">
        <v>1.08</v>
      </c>
      <c r="F357" s="120">
        <v>0</v>
      </c>
      <c r="G357" s="121">
        <v>86</v>
      </c>
      <c r="H357" s="123">
        <v>1.08</v>
      </c>
      <c r="I357" s="122">
        <v>92.88000000000001</v>
      </c>
      <c r="J357" s="124">
        <f t="shared" si="5"/>
        <v>1.08</v>
      </c>
    </row>
    <row r="358" spans="1:11" ht="15" customHeight="1" x14ac:dyDescent="0.2">
      <c r="A358" s="120" t="s">
        <v>4076</v>
      </c>
      <c r="B358" s="120" t="s">
        <v>3599</v>
      </c>
      <c r="C358" s="98" t="s">
        <v>3533</v>
      </c>
      <c r="D358" s="120" t="s">
        <v>3534</v>
      </c>
      <c r="E358" s="98">
        <v>1.07</v>
      </c>
      <c r="F358" s="120">
        <v>0</v>
      </c>
      <c r="G358" s="121">
        <v>16</v>
      </c>
      <c r="H358" s="123">
        <v>1.07</v>
      </c>
      <c r="I358" s="122">
        <v>17.12</v>
      </c>
      <c r="J358" s="124">
        <f t="shared" si="5"/>
        <v>1.07</v>
      </c>
      <c r="K358" s="98" t="s">
        <v>4077</v>
      </c>
    </row>
    <row r="359" spans="1:11" ht="15" customHeight="1" x14ac:dyDescent="0.2">
      <c r="A359" s="120" t="s">
        <v>4078</v>
      </c>
      <c r="B359" s="120" t="s">
        <v>3599</v>
      </c>
      <c r="C359" s="98" t="s">
        <v>3533</v>
      </c>
      <c r="D359" s="120" t="s">
        <v>3534</v>
      </c>
      <c r="E359" s="98">
        <v>2.0099999999999998</v>
      </c>
      <c r="F359" s="120">
        <v>0</v>
      </c>
      <c r="G359" s="121">
        <v>48</v>
      </c>
      <c r="H359" s="123">
        <v>2.0099999999999998</v>
      </c>
      <c r="I359" s="122">
        <v>96.47999999999999</v>
      </c>
      <c r="J359" s="124">
        <f t="shared" si="5"/>
        <v>2.0099999999999998</v>
      </c>
      <c r="K359" s="98" t="s">
        <v>4079</v>
      </c>
    </row>
    <row r="360" spans="1:11" ht="15" customHeight="1" x14ac:dyDescent="0.2">
      <c r="A360" s="120" t="s">
        <v>4080</v>
      </c>
      <c r="B360" s="120" t="s">
        <v>3599</v>
      </c>
      <c r="C360" s="98" t="s">
        <v>3533</v>
      </c>
      <c r="D360" s="120" t="s">
        <v>3534</v>
      </c>
      <c r="E360" s="98">
        <v>0.39</v>
      </c>
      <c r="F360" s="120">
        <v>0</v>
      </c>
      <c r="G360" s="121">
        <v>4</v>
      </c>
      <c r="H360" s="123">
        <v>0.39</v>
      </c>
      <c r="I360" s="122">
        <v>1.56</v>
      </c>
      <c r="J360" s="124">
        <f t="shared" si="5"/>
        <v>0.39</v>
      </c>
      <c r="K360" s="98" t="s">
        <v>4081</v>
      </c>
    </row>
    <row r="361" spans="1:11" ht="15" customHeight="1" x14ac:dyDescent="0.2">
      <c r="A361" s="120" t="s">
        <v>4082</v>
      </c>
      <c r="B361" s="120" t="s">
        <v>3599</v>
      </c>
      <c r="C361" s="98" t="s">
        <v>3533</v>
      </c>
      <c r="D361" s="120" t="s">
        <v>3534</v>
      </c>
      <c r="E361" s="98">
        <v>1.29</v>
      </c>
      <c r="F361" s="120">
        <v>0</v>
      </c>
      <c r="G361" s="121">
        <v>9</v>
      </c>
      <c r="H361" s="123">
        <v>1.29</v>
      </c>
      <c r="I361" s="122">
        <v>11.61</v>
      </c>
      <c r="J361" s="124">
        <f t="shared" si="5"/>
        <v>1.29</v>
      </c>
      <c r="K361" s="98" t="s">
        <v>4083</v>
      </c>
    </row>
    <row r="362" spans="1:11" ht="15" customHeight="1" x14ac:dyDescent="0.2">
      <c r="A362" s="120" t="s">
        <v>4084</v>
      </c>
      <c r="B362" s="120" t="s">
        <v>3599</v>
      </c>
      <c r="C362" s="98" t="s">
        <v>3533</v>
      </c>
      <c r="D362" s="120" t="s">
        <v>3534</v>
      </c>
      <c r="E362" s="98">
        <v>1.54</v>
      </c>
      <c r="F362" s="120">
        <v>0</v>
      </c>
      <c r="G362" s="121">
        <v>775</v>
      </c>
      <c r="H362" s="123">
        <v>1.54</v>
      </c>
      <c r="I362" s="122">
        <v>1193.5</v>
      </c>
      <c r="J362" s="124">
        <f t="shared" si="5"/>
        <v>1.54</v>
      </c>
      <c r="K362" s="98" t="s">
        <v>4085</v>
      </c>
    </row>
    <row r="363" spans="1:11" ht="15" customHeight="1" x14ac:dyDescent="0.2">
      <c r="A363" s="120" t="s">
        <v>4086</v>
      </c>
      <c r="B363" s="120" t="s">
        <v>3967</v>
      </c>
      <c r="C363" s="98" t="s">
        <v>3533</v>
      </c>
      <c r="D363" s="120" t="s">
        <v>3534</v>
      </c>
      <c r="E363" s="98">
        <v>0.38662600000000003</v>
      </c>
      <c r="F363" s="120">
        <v>0</v>
      </c>
      <c r="G363" s="121">
        <v>7921</v>
      </c>
      <c r="H363" s="123">
        <v>0.38662600000000003</v>
      </c>
      <c r="I363" s="122">
        <v>3062.4645460000002</v>
      </c>
      <c r="J363" s="124">
        <f t="shared" si="5"/>
        <v>0.38662600000000003</v>
      </c>
      <c r="K363" s="98" t="s">
        <v>4087</v>
      </c>
    </row>
    <row r="364" spans="1:11" ht="15" customHeight="1" x14ac:dyDescent="0.2">
      <c r="A364" s="120" t="s">
        <v>4088</v>
      </c>
      <c r="B364" s="120" t="s">
        <v>3599</v>
      </c>
      <c r="C364" s="98" t="s">
        <v>3533</v>
      </c>
      <c r="D364" s="120" t="s">
        <v>3534</v>
      </c>
      <c r="E364" s="98">
        <v>1.04</v>
      </c>
      <c r="F364" s="120">
        <v>0</v>
      </c>
      <c r="G364" s="121">
        <v>99</v>
      </c>
      <c r="H364" s="123">
        <v>1.04</v>
      </c>
      <c r="I364" s="122">
        <v>102.96000000000001</v>
      </c>
      <c r="J364" s="124">
        <f t="shared" si="5"/>
        <v>1.04</v>
      </c>
      <c r="K364" s="98" t="s">
        <v>4089</v>
      </c>
    </row>
    <row r="365" spans="1:11" ht="15" customHeight="1" x14ac:dyDescent="0.2">
      <c r="A365" s="120" t="s">
        <v>4090</v>
      </c>
      <c r="B365" s="120" t="s">
        <v>4091</v>
      </c>
      <c r="C365" s="98" t="s">
        <v>3533</v>
      </c>
      <c r="D365" s="120" t="s">
        <v>3534</v>
      </c>
      <c r="E365" s="98">
        <v>0</v>
      </c>
      <c r="F365" s="120">
        <v>0</v>
      </c>
      <c r="G365" s="121">
        <v>0</v>
      </c>
      <c r="H365" s="123">
        <v>0</v>
      </c>
      <c r="I365" s="122">
        <v>0</v>
      </c>
      <c r="J365" s="124">
        <f t="shared" si="5"/>
        <v>0</v>
      </c>
    </row>
    <row r="366" spans="1:11" ht="15" customHeight="1" x14ac:dyDescent="0.2">
      <c r="A366" s="120" t="s">
        <v>4092</v>
      </c>
      <c r="B366" s="120" t="s">
        <v>3967</v>
      </c>
      <c r="C366" s="98" t="s">
        <v>3533</v>
      </c>
      <c r="D366" s="120" t="s">
        <v>3534</v>
      </c>
      <c r="E366" s="98">
        <v>0.19</v>
      </c>
      <c r="F366" s="120">
        <v>0</v>
      </c>
      <c r="G366" s="121">
        <v>0</v>
      </c>
      <c r="H366" s="123">
        <v>0.19</v>
      </c>
      <c r="I366" s="122">
        <v>0</v>
      </c>
      <c r="J366" s="124">
        <f t="shared" si="5"/>
        <v>0.19</v>
      </c>
    </row>
    <row r="367" spans="1:11" ht="15" customHeight="1" x14ac:dyDescent="0.2">
      <c r="A367" s="120" t="s">
        <v>4093</v>
      </c>
      <c r="B367" s="120" t="s">
        <v>3599</v>
      </c>
      <c r="C367" s="98" t="s">
        <v>3533</v>
      </c>
      <c r="D367" s="120" t="s">
        <v>3534</v>
      </c>
      <c r="E367" s="98">
        <v>0.96</v>
      </c>
      <c r="F367" s="120">
        <v>0</v>
      </c>
      <c r="G367" s="121">
        <v>6986</v>
      </c>
      <c r="H367" s="123">
        <v>0.96</v>
      </c>
      <c r="I367" s="122">
        <v>6706.5599999999995</v>
      </c>
      <c r="J367" s="124">
        <f t="shared" si="5"/>
        <v>0.96</v>
      </c>
      <c r="K367" s="98" t="s">
        <v>4094</v>
      </c>
    </row>
    <row r="368" spans="1:11" ht="15" customHeight="1" x14ac:dyDescent="0.2">
      <c r="A368" s="120" t="s">
        <v>4095</v>
      </c>
      <c r="B368" s="120" t="s">
        <v>3967</v>
      </c>
      <c r="C368" s="98" t="s">
        <v>3533</v>
      </c>
      <c r="D368" s="120" t="s">
        <v>3534</v>
      </c>
      <c r="E368" s="98">
        <v>0.19</v>
      </c>
      <c r="F368" s="120">
        <v>0</v>
      </c>
      <c r="G368" s="121">
        <v>0</v>
      </c>
      <c r="H368" s="123">
        <v>0.19</v>
      </c>
      <c r="I368" s="122">
        <v>0</v>
      </c>
      <c r="J368" s="124">
        <f t="shared" si="5"/>
        <v>0.19</v>
      </c>
      <c r="K368" s="98" t="s">
        <v>4096</v>
      </c>
    </row>
    <row r="369" spans="1:11" ht="15" customHeight="1" x14ac:dyDescent="0.2">
      <c r="A369" s="120" t="s">
        <v>4097</v>
      </c>
      <c r="B369" s="120" t="s">
        <v>3599</v>
      </c>
      <c r="C369" s="98" t="s">
        <v>3533</v>
      </c>
      <c r="D369" s="120" t="s">
        <v>3534</v>
      </c>
      <c r="E369" s="98">
        <v>0.7</v>
      </c>
      <c r="F369" s="120">
        <v>0</v>
      </c>
      <c r="G369" s="121">
        <v>32</v>
      </c>
      <c r="H369" s="123">
        <v>0.7</v>
      </c>
      <c r="I369" s="122">
        <v>22.4</v>
      </c>
      <c r="J369" s="124">
        <f t="shared" si="5"/>
        <v>0.7</v>
      </c>
      <c r="K369" s="98" t="s">
        <v>4098</v>
      </c>
    </row>
    <row r="370" spans="1:11" ht="15" customHeight="1" x14ac:dyDescent="0.2">
      <c r="A370" s="120" t="s">
        <v>4099</v>
      </c>
      <c r="B370" s="120" t="s">
        <v>3599</v>
      </c>
      <c r="C370" s="98" t="s">
        <v>3533</v>
      </c>
      <c r="D370" s="120" t="s">
        <v>3534</v>
      </c>
      <c r="E370" s="98">
        <v>1.52</v>
      </c>
      <c r="F370" s="120">
        <v>0</v>
      </c>
      <c r="G370" s="121">
        <v>43</v>
      </c>
      <c r="H370" s="123">
        <v>1.52</v>
      </c>
      <c r="I370" s="122">
        <v>65.36</v>
      </c>
      <c r="J370" s="124">
        <f t="shared" si="5"/>
        <v>1.52</v>
      </c>
      <c r="K370" s="98" t="s">
        <v>4100</v>
      </c>
    </row>
    <row r="371" spans="1:11" ht="15" customHeight="1" x14ac:dyDescent="0.2">
      <c r="A371" s="120" t="s">
        <v>4101</v>
      </c>
      <c r="B371" s="120" t="s">
        <v>3532</v>
      </c>
      <c r="C371" s="98" t="s">
        <v>3533</v>
      </c>
      <c r="D371" s="120" t="s">
        <v>3534</v>
      </c>
      <c r="E371" s="98">
        <v>0</v>
      </c>
      <c r="F371" s="120">
        <v>0</v>
      </c>
      <c r="G371" s="121">
        <v>0</v>
      </c>
      <c r="H371" s="123">
        <v>0</v>
      </c>
      <c r="I371" s="122">
        <v>0</v>
      </c>
      <c r="J371" s="124">
        <f t="shared" si="5"/>
        <v>0</v>
      </c>
    </row>
    <row r="372" spans="1:11" ht="15" customHeight="1" x14ac:dyDescent="0.2">
      <c r="A372" s="120" t="s">
        <v>4102</v>
      </c>
      <c r="B372" s="120" t="s">
        <v>3599</v>
      </c>
      <c r="C372" s="98" t="s">
        <v>3533</v>
      </c>
      <c r="D372" s="120" t="s">
        <v>3534</v>
      </c>
      <c r="E372" s="98">
        <v>0.55000000000000004</v>
      </c>
      <c r="F372" s="120">
        <v>0</v>
      </c>
      <c r="G372" s="121">
        <v>166</v>
      </c>
      <c r="H372" s="123">
        <v>0.55000000000000004</v>
      </c>
      <c r="I372" s="122">
        <v>91.300000000000011</v>
      </c>
      <c r="J372" s="124">
        <f t="shared" si="5"/>
        <v>0.55000000000000004</v>
      </c>
      <c r="K372" s="98" t="s">
        <v>4103</v>
      </c>
    </row>
    <row r="373" spans="1:11" ht="15" customHeight="1" x14ac:dyDescent="0.2">
      <c r="A373" s="120" t="s">
        <v>4104</v>
      </c>
      <c r="B373" s="120" t="s">
        <v>3599</v>
      </c>
      <c r="C373" s="98" t="s">
        <v>3533</v>
      </c>
      <c r="D373" s="120" t="s">
        <v>3534</v>
      </c>
      <c r="E373" s="98">
        <v>1.1000000000000001</v>
      </c>
      <c r="F373" s="120">
        <v>0</v>
      </c>
      <c r="G373" s="121">
        <v>0</v>
      </c>
      <c r="H373" s="123">
        <v>1.1000000000000001</v>
      </c>
      <c r="I373" s="122">
        <v>0</v>
      </c>
      <c r="J373" s="124">
        <f t="shared" si="5"/>
        <v>1.1000000000000001</v>
      </c>
      <c r="K373" s="98" t="s">
        <v>4105</v>
      </c>
    </row>
    <row r="374" spans="1:11" ht="15" customHeight="1" x14ac:dyDescent="0.2">
      <c r="A374" s="120" t="s">
        <v>4106</v>
      </c>
      <c r="B374" s="120" t="s">
        <v>3599</v>
      </c>
      <c r="C374" s="98" t="s">
        <v>3533</v>
      </c>
      <c r="D374" s="120" t="s">
        <v>3534</v>
      </c>
      <c r="E374" s="98">
        <v>1.18</v>
      </c>
      <c r="F374" s="120">
        <v>0</v>
      </c>
      <c r="G374" s="121">
        <v>33</v>
      </c>
      <c r="H374" s="123">
        <v>1.18</v>
      </c>
      <c r="I374" s="122">
        <v>38.94</v>
      </c>
      <c r="J374" s="124">
        <f t="shared" si="5"/>
        <v>1.18</v>
      </c>
    </row>
    <row r="375" spans="1:11" ht="15" customHeight="1" x14ac:dyDescent="0.2">
      <c r="A375" s="120" t="s">
        <v>4107</v>
      </c>
      <c r="B375" s="120" t="s">
        <v>3599</v>
      </c>
      <c r="C375" s="98" t="s">
        <v>3533</v>
      </c>
      <c r="D375" s="120" t="s">
        <v>3534</v>
      </c>
      <c r="E375" s="98">
        <v>0.4</v>
      </c>
      <c r="F375" s="120">
        <v>0</v>
      </c>
      <c r="G375" s="121">
        <v>234</v>
      </c>
      <c r="H375" s="123">
        <v>0.4</v>
      </c>
      <c r="I375" s="122">
        <v>93.600000000000009</v>
      </c>
      <c r="J375" s="124">
        <f t="shared" si="5"/>
        <v>0.4</v>
      </c>
    </row>
    <row r="376" spans="1:11" ht="15" customHeight="1" x14ac:dyDescent="0.2">
      <c r="A376" s="120" t="s">
        <v>4108</v>
      </c>
      <c r="B376" s="120" t="s">
        <v>3599</v>
      </c>
      <c r="C376" s="98" t="s">
        <v>3533</v>
      </c>
      <c r="D376" s="120" t="s">
        <v>3534</v>
      </c>
      <c r="E376" s="98">
        <v>0.79</v>
      </c>
      <c r="F376" s="120">
        <v>0</v>
      </c>
      <c r="G376" s="121">
        <v>974</v>
      </c>
      <c r="H376" s="123">
        <v>0.75248899999999996</v>
      </c>
      <c r="I376" s="122">
        <v>732.92428599999994</v>
      </c>
      <c r="J376" s="124">
        <f t="shared" si="5"/>
        <v>0.79</v>
      </c>
      <c r="K376" s="98" t="s">
        <v>4109</v>
      </c>
    </row>
    <row r="377" spans="1:11" ht="15" customHeight="1" x14ac:dyDescent="0.2">
      <c r="A377" s="120" t="s">
        <v>4110</v>
      </c>
      <c r="B377" s="120" t="s">
        <v>3599</v>
      </c>
      <c r="C377" s="98" t="s">
        <v>3533</v>
      </c>
      <c r="D377" s="120" t="s">
        <v>3534</v>
      </c>
      <c r="E377" s="98">
        <v>0.63</v>
      </c>
      <c r="F377" s="120">
        <v>0</v>
      </c>
      <c r="G377" s="121">
        <v>0</v>
      </c>
      <c r="H377" s="123">
        <v>0.63</v>
      </c>
      <c r="I377" s="122">
        <v>0</v>
      </c>
      <c r="J377" s="124">
        <f t="shared" si="5"/>
        <v>0.63</v>
      </c>
      <c r="K377" s="98" t="s">
        <v>4111</v>
      </c>
    </row>
    <row r="378" spans="1:11" ht="15" customHeight="1" x14ac:dyDescent="0.2">
      <c r="A378" s="120" t="s">
        <v>4112</v>
      </c>
      <c r="B378" s="120" t="s">
        <v>3599</v>
      </c>
      <c r="C378" s="98" t="s">
        <v>3533</v>
      </c>
      <c r="D378" s="120" t="s">
        <v>3534</v>
      </c>
      <c r="E378" s="98">
        <v>0.37</v>
      </c>
      <c r="F378" s="120">
        <v>0</v>
      </c>
      <c r="G378" s="121">
        <v>368</v>
      </c>
      <c r="H378" s="123">
        <v>0.37</v>
      </c>
      <c r="I378" s="122">
        <v>136.16</v>
      </c>
      <c r="J378" s="124">
        <f t="shared" si="5"/>
        <v>0.37</v>
      </c>
      <c r="K378" s="98" t="s">
        <v>4113</v>
      </c>
    </row>
    <row r="379" spans="1:11" ht="15" customHeight="1" x14ac:dyDescent="0.2">
      <c r="A379" s="120" t="s">
        <v>4114</v>
      </c>
      <c r="B379" s="120" t="s">
        <v>3599</v>
      </c>
      <c r="C379" s="98" t="s">
        <v>3533</v>
      </c>
      <c r="D379" s="120" t="s">
        <v>3534</v>
      </c>
      <c r="E379" s="98">
        <v>1.33</v>
      </c>
      <c r="F379" s="120">
        <v>0</v>
      </c>
      <c r="G379" s="121">
        <v>718</v>
      </c>
      <c r="H379" s="123">
        <v>1.33</v>
      </c>
      <c r="I379" s="122">
        <v>954.94</v>
      </c>
      <c r="J379" s="124">
        <f t="shared" si="5"/>
        <v>1.33</v>
      </c>
      <c r="K379" s="98" t="s">
        <v>4115</v>
      </c>
    </row>
    <row r="380" spans="1:11" ht="15" customHeight="1" x14ac:dyDescent="0.2">
      <c r="A380" s="120" t="s">
        <v>4116</v>
      </c>
      <c r="B380" s="120" t="s">
        <v>3599</v>
      </c>
      <c r="C380" s="98" t="s">
        <v>3533</v>
      </c>
      <c r="D380" s="120" t="s">
        <v>3534</v>
      </c>
      <c r="E380" s="98">
        <v>0</v>
      </c>
      <c r="F380" s="120">
        <v>0</v>
      </c>
      <c r="G380" s="121">
        <v>399</v>
      </c>
      <c r="H380" s="123">
        <v>0</v>
      </c>
      <c r="I380" s="122">
        <v>0</v>
      </c>
      <c r="J380" s="124">
        <f t="shared" si="5"/>
        <v>0</v>
      </c>
    </row>
    <row r="381" spans="1:11" ht="15" customHeight="1" x14ac:dyDescent="0.2">
      <c r="A381" s="120" t="s">
        <v>4117</v>
      </c>
      <c r="B381" s="120" t="s">
        <v>3599</v>
      </c>
      <c r="C381" s="98" t="s">
        <v>3533</v>
      </c>
      <c r="D381" s="120" t="s">
        <v>3534</v>
      </c>
      <c r="E381" s="98">
        <v>3.13</v>
      </c>
      <c r="F381" s="120">
        <v>0</v>
      </c>
      <c r="G381" s="121">
        <v>1190</v>
      </c>
      <c r="H381" s="123">
        <v>3.13</v>
      </c>
      <c r="I381" s="122">
        <v>3724.7</v>
      </c>
      <c r="J381" s="124">
        <f t="shared" si="5"/>
        <v>3.13</v>
      </c>
      <c r="K381" s="98" t="s">
        <v>4118</v>
      </c>
    </row>
    <row r="382" spans="1:11" ht="15" customHeight="1" x14ac:dyDescent="0.2">
      <c r="A382" s="120" t="s">
        <v>4119</v>
      </c>
      <c r="B382" s="120" t="s">
        <v>3532</v>
      </c>
      <c r="C382" s="98" t="s">
        <v>3533</v>
      </c>
      <c r="D382" s="120" t="s">
        <v>3534</v>
      </c>
      <c r="E382" s="98">
        <v>2.83</v>
      </c>
      <c r="F382" s="120">
        <v>0</v>
      </c>
      <c r="G382" s="121">
        <v>30</v>
      </c>
      <c r="H382" s="123">
        <v>2.83</v>
      </c>
      <c r="I382" s="122">
        <v>84.9</v>
      </c>
      <c r="J382" s="124">
        <f t="shared" si="5"/>
        <v>2.83</v>
      </c>
    </row>
    <row r="383" spans="1:11" ht="15" customHeight="1" x14ac:dyDescent="0.2">
      <c r="A383" s="120" t="s">
        <v>4120</v>
      </c>
      <c r="B383" s="120" t="s">
        <v>3599</v>
      </c>
      <c r="C383" s="98" t="s">
        <v>3533</v>
      </c>
      <c r="D383" s="120" t="s">
        <v>3534</v>
      </c>
      <c r="E383" s="98">
        <v>0</v>
      </c>
      <c r="F383" s="120">
        <v>0</v>
      </c>
      <c r="G383" s="121">
        <v>0</v>
      </c>
      <c r="H383" s="123">
        <v>0</v>
      </c>
      <c r="I383" s="122">
        <v>0</v>
      </c>
      <c r="J383" s="124">
        <f t="shared" si="5"/>
        <v>0</v>
      </c>
    </row>
    <row r="384" spans="1:11" ht="15" customHeight="1" x14ac:dyDescent="0.2">
      <c r="A384" s="120" t="s">
        <v>4121</v>
      </c>
      <c r="B384" s="120" t="s">
        <v>3599</v>
      </c>
      <c r="C384" s="98" t="s">
        <v>3533</v>
      </c>
      <c r="D384" s="120" t="s">
        <v>3534</v>
      </c>
      <c r="E384" s="98">
        <v>0.56999999999999995</v>
      </c>
      <c r="F384" s="120">
        <v>0</v>
      </c>
      <c r="G384" s="121">
        <v>1380</v>
      </c>
      <c r="H384" s="123">
        <v>0.56999999999999995</v>
      </c>
      <c r="I384" s="122">
        <v>786.59999999999991</v>
      </c>
      <c r="J384" s="124">
        <f t="shared" si="5"/>
        <v>0.56999999999999995</v>
      </c>
      <c r="K384" s="98" t="s">
        <v>4122</v>
      </c>
    </row>
    <row r="385" spans="1:11" ht="15" customHeight="1" x14ac:dyDescent="0.2">
      <c r="A385" s="120" t="s">
        <v>4123</v>
      </c>
      <c r="B385" s="120" t="s">
        <v>3599</v>
      </c>
      <c r="C385" s="98" t="s">
        <v>3533</v>
      </c>
      <c r="D385" s="120" t="s">
        <v>3534</v>
      </c>
      <c r="E385" s="98">
        <v>0.86</v>
      </c>
      <c r="F385" s="120">
        <v>0</v>
      </c>
      <c r="G385" s="121">
        <v>18</v>
      </c>
      <c r="H385" s="123">
        <v>0.86</v>
      </c>
      <c r="I385" s="122">
        <v>15.48</v>
      </c>
      <c r="J385" s="124">
        <f t="shared" si="5"/>
        <v>0.86</v>
      </c>
      <c r="K385" s="98" t="s">
        <v>4124</v>
      </c>
    </row>
    <row r="386" spans="1:11" ht="15" customHeight="1" x14ac:dyDescent="0.2">
      <c r="A386" s="120" t="s">
        <v>4125</v>
      </c>
      <c r="B386" s="120" t="s">
        <v>3599</v>
      </c>
      <c r="C386" s="98" t="s">
        <v>3533</v>
      </c>
      <c r="D386" s="120" t="s">
        <v>3534</v>
      </c>
      <c r="E386" s="98">
        <v>1.05</v>
      </c>
      <c r="F386" s="120">
        <v>0</v>
      </c>
      <c r="G386" s="121">
        <v>268</v>
      </c>
      <c r="H386" s="123">
        <v>1.0473129999999999</v>
      </c>
      <c r="I386" s="122">
        <v>280.67988399999996</v>
      </c>
      <c r="J386" s="124">
        <f t="shared" ref="J386:J449" si="6">IF(D386="gm", E386*1000,+E386)</f>
        <v>1.05</v>
      </c>
      <c r="K386" s="98" t="s">
        <v>4126</v>
      </c>
    </row>
    <row r="387" spans="1:11" ht="15" customHeight="1" x14ac:dyDescent="0.2">
      <c r="A387" s="120" t="s">
        <v>4127</v>
      </c>
      <c r="B387" s="120" t="s">
        <v>3599</v>
      </c>
      <c r="C387" s="98" t="s">
        <v>3533</v>
      </c>
      <c r="D387" s="120" t="s">
        <v>3534</v>
      </c>
      <c r="E387" s="98">
        <v>2.15</v>
      </c>
      <c r="F387" s="120">
        <v>0</v>
      </c>
      <c r="G387" s="121">
        <v>69</v>
      </c>
      <c r="H387" s="123">
        <v>2.15</v>
      </c>
      <c r="I387" s="122">
        <v>148.35</v>
      </c>
      <c r="J387" s="124">
        <f t="shared" si="6"/>
        <v>2.15</v>
      </c>
      <c r="K387" s="98" t="s">
        <v>4128</v>
      </c>
    </row>
    <row r="388" spans="1:11" ht="15" customHeight="1" x14ac:dyDescent="0.2">
      <c r="A388" s="120" t="s">
        <v>4129</v>
      </c>
      <c r="B388" s="120" t="s">
        <v>3599</v>
      </c>
      <c r="C388" s="98" t="s">
        <v>3533</v>
      </c>
      <c r="D388" s="120" t="s">
        <v>3534</v>
      </c>
      <c r="E388" s="98">
        <v>2.39</v>
      </c>
      <c r="F388" s="120">
        <v>0</v>
      </c>
      <c r="G388" s="121">
        <v>60</v>
      </c>
      <c r="H388" s="123">
        <v>2.39</v>
      </c>
      <c r="I388" s="122">
        <v>143.4</v>
      </c>
      <c r="J388" s="124">
        <f t="shared" si="6"/>
        <v>2.39</v>
      </c>
      <c r="K388" s="98" t="s">
        <v>4130</v>
      </c>
    </row>
    <row r="389" spans="1:11" ht="15" customHeight="1" x14ac:dyDescent="0.2">
      <c r="A389" s="120" t="s">
        <v>4131</v>
      </c>
      <c r="B389" s="120" t="s">
        <v>3599</v>
      </c>
      <c r="C389" s="98" t="s">
        <v>3533</v>
      </c>
      <c r="D389" s="120" t="s">
        <v>3534</v>
      </c>
      <c r="E389" s="98">
        <v>1.3</v>
      </c>
      <c r="F389" s="120">
        <v>0</v>
      </c>
      <c r="G389" s="121">
        <v>33</v>
      </c>
      <c r="H389" s="123">
        <v>1.3</v>
      </c>
      <c r="I389" s="122">
        <v>42.9</v>
      </c>
      <c r="J389" s="124">
        <f t="shared" si="6"/>
        <v>1.3</v>
      </c>
      <c r="K389" s="98" t="s">
        <v>4132</v>
      </c>
    </row>
    <row r="390" spans="1:11" ht="15" customHeight="1" x14ac:dyDescent="0.2">
      <c r="A390" s="120" t="s">
        <v>4133</v>
      </c>
      <c r="B390" s="120" t="s">
        <v>3599</v>
      </c>
      <c r="C390" s="98" t="s">
        <v>3533</v>
      </c>
      <c r="D390" s="120" t="s">
        <v>3534</v>
      </c>
      <c r="E390" s="98">
        <v>2.88</v>
      </c>
      <c r="F390" s="120">
        <v>0</v>
      </c>
      <c r="G390" s="121">
        <v>216</v>
      </c>
      <c r="H390" s="123">
        <v>2.88</v>
      </c>
      <c r="I390" s="122">
        <v>622.07999999999993</v>
      </c>
      <c r="J390" s="124">
        <f t="shared" si="6"/>
        <v>2.88</v>
      </c>
      <c r="K390" s="98" t="s">
        <v>4134</v>
      </c>
    </row>
    <row r="391" spans="1:11" ht="15" customHeight="1" x14ac:dyDescent="0.2">
      <c r="A391" s="120" t="s">
        <v>4135</v>
      </c>
      <c r="B391" s="120" t="s">
        <v>3599</v>
      </c>
      <c r="C391" s="98" t="s">
        <v>3533</v>
      </c>
      <c r="D391" s="120" t="s">
        <v>3534</v>
      </c>
      <c r="E391" s="98">
        <v>1.07</v>
      </c>
      <c r="F391" s="120">
        <v>0</v>
      </c>
      <c r="G391" s="121">
        <v>17</v>
      </c>
      <c r="H391" s="123">
        <v>1.07</v>
      </c>
      <c r="I391" s="122">
        <v>18.190000000000001</v>
      </c>
      <c r="J391" s="124">
        <f t="shared" si="6"/>
        <v>1.07</v>
      </c>
      <c r="K391" s="98" t="s">
        <v>4136</v>
      </c>
    </row>
    <row r="392" spans="1:11" ht="15" customHeight="1" x14ac:dyDescent="0.2">
      <c r="A392" s="120" t="s">
        <v>4137</v>
      </c>
      <c r="B392" s="120" t="s">
        <v>3599</v>
      </c>
      <c r="C392" s="98" t="s">
        <v>3533</v>
      </c>
      <c r="D392" s="120" t="s">
        <v>3534</v>
      </c>
      <c r="E392" s="98">
        <v>2.61</v>
      </c>
      <c r="F392" s="120">
        <v>0</v>
      </c>
      <c r="G392" s="121">
        <v>98</v>
      </c>
      <c r="H392" s="123">
        <v>2.61</v>
      </c>
      <c r="I392" s="122">
        <v>255.78</v>
      </c>
      <c r="J392" s="124">
        <f t="shared" si="6"/>
        <v>2.61</v>
      </c>
      <c r="K392" s="98" t="s">
        <v>4138</v>
      </c>
    </row>
    <row r="393" spans="1:11" ht="15" customHeight="1" x14ac:dyDescent="0.2">
      <c r="A393" s="120" t="s">
        <v>4139</v>
      </c>
      <c r="B393" s="120" t="s">
        <v>3907</v>
      </c>
      <c r="C393" s="98" t="s">
        <v>3533</v>
      </c>
      <c r="D393" s="120" t="s">
        <v>3534</v>
      </c>
      <c r="E393" s="98">
        <v>0.92</v>
      </c>
      <c r="F393" s="120">
        <v>0</v>
      </c>
      <c r="G393" s="121">
        <v>1077</v>
      </c>
      <c r="H393" s="123">
        <v>0.92</v>
      </c>
      <c r="I393" s="122">
        <v>990.84</v>
      </c>
      <c r="J393" s="124">
        <f t="shared" si="6"/>
        <v>0.92</v>
      </c>
      <c r="K393" s="98" t="s">
        <v>4140</v>
      </c>
    </row>
    <row r="394" spans="1:11" ht="15" customHeight="1" x14ac:dyDescent="0.2">
      <c r="A394" s="120" t="s">
        <v>4141</v>
      </c>
      <c r="B394" s="120" t="s">
        <v>3599</v>
      </c>
      <c r="C394" s="98" t="s">
        <v>3533</v>
      </c>
      <c r="D394" s="120" t="s">
        <v>3534</v>
      </c>
      <c r="E394" s="98">
        <v>1.65</v>
      </c>
      <c r="F394" s="120">
        <v>0</v>
      </c>
      <c r="G394" s="121">
        <v>53</v>
      </c>
      <c r="H394" s="123">
        <v>1.65</v>
      </c>
      <c r="I394" s="122">
        <v>87.449999999999989</v>
      </c>
      <c r="J394" s="124">
        <f t="shared" si="6"/>
        <v>1.65</v>
      </c>
      <c r="K394" s="98" t="s">
        <v>4142</v>
      </c>
    </row>
    <row r="395" spans="1:11" ht="15" customHeight="1" x14ac:dyDescent="0.2">
      <c r="A395" s="120" t="s">
        <v>4143</v>
      </c>
      <c r="B395" s="120" t="s">
        <v>3599</v>
      </c>
      <c r="C395" s="98" t="s">
        <v>3533</v>
      </c>
      <c r="D395" s="120" t="s">
        <v>3534</v>
      </c>
      <c r="E395" s="98">
        <v>0.77</v>
      </c>
      <c r="F395" s="120">
        <v>0</v>
      </c>
      <c r="G395" s="121">
        <v>348</v>
      </c>
      <c r="H395" s="123">
        <v>0.78241400000000005</v>
      </c>
      <c r="I395" s="122">
        <v>272.28007200000002</v>
      </c>
      <c r="J395" s="124">
        <f t="shared" si="6"/>
        <v>0.77</v>
      </c>
      <c r="K395" s="98" t="s">
        <v>4144</v>
      </c>
    </row>
    <row r="396" spans="1:11" ht="15" customHeight="1" x14ac:dyDescent="0.2">
      <c r="A396" s="120" t="s">
        <v>4145</v>
      </c>
      <c r="B396" s="120" t="s">
        <v>4146</v>
      </c>
      <c r="C396" s="98" t="s">
        <v>3533</v>
      </c>
      <c r="D396" s="120" t="s">
        <v>3534</v>
      </c>
      <c r="E396" s="98">
        <v>0.23</v>
      </c>
      <c r="F396" s="120">
        <v>0</v>
      </c>
      <c r="G396" s="121">
        <v>17490</v>
      </c>
      <c r="H396" s="123">
        <v>0.23</v>
      </c>
      <c r="I396" s="122">
        <v>4022.7000000000003</v>
      </c>
      <c r="J396" s="124">
        <f t="shared" si="6"/>
        <v>0.23</v>
      </c>
      <c r="K396" s="98" t="s">
        <v>4147</v>
      </c>
    </row>
    <row r="397" spans="1:11" ht="15" customHeight="1" x14ac:dyDescent="0.2">
      <c r="A397" s="120" t="s">
        <v>4148</v>
      </c>
      <c r="B397" s="120" t="s">
        <v>3532</v>
      </c>
      <c r="C397" s="98" t="s">
        <v>3533</v>
      </c>
      <c r="D397" s="120" t="s">
        <v>3534</v>
      </c>
      <c r="E397" s="98">
        <v>0</v>
      </c>
      <c r="F397" s="120">
        <v>0</v>
      </c>
      <c r="G397" s="121">
        <v>0</v>
      </c>
      <c r="H397" s="123">
        <v>0</v>
      </c>
      <c r="I397" s="122">
        <v>0</v>
      </c>
      <c r="J397" s="124">
        <f t="shared" si="6"/>
        <v>0</v>
      </c>
    </row>
    <row r="398" spans="1:11" ht="15" customHeight="1" x14ac:dyDescent="0.2">
      <c r="A398" s="120" t="s">
        <v>4149</v>
      </c>
      <c r="B398" s="120" t="s">
        <v>3918</v>
      </c>
      <c r="C398" s="98" t="s">
        <v>3533</v>
      </c>
      <c r="D398" s="120" t="s">
        <v>3534</v>
      </c>
      <c r="E398" s="98">
        <v>0.75</v>
      </c>
      <c r="F398" s="120">
        <v>0</v>
      </c>
      <c r="G398" s="121">
        <v>10</v>
      </c>
      <c r="H398" s="123">
        <v>0.75</v>
      </c>
      <c r="I398" s="122">
        <v>7.5</v>
      </c>
      <c r="J398" s="124">
        <f t="shared" si="6"/>
        <v>0.75</v>
      </c>
      <c r="K398" s="98" t="s">
        <v>3949</v>
      </c>
    </row>
    <row r="399" spans="1:11" ht="15" customHeight="1" x14ac:dyDescent="0.2">
      <c r="A399" s="120" t="s">
        <v>4150</v>
      </c>
      <c r="B399" s="120" t="s">
        <v>3599</v>
      </c>
      <c r="C399" s="98" t="s">
        <v>3533</v>
      </c>
      <c r="D399" s="120" t="s">
        <v>3534</v>
      </c>
      <c r="E399" s="98">
        <v>1.34</v>
      </c>
      <c r="F399" s="120">
        <v>0</v>
      </c>
      <c r="G399" s="121">
        <v>2549</v>
      </c>
      <c r="H399" s="123">
        <v>1.282942</v>
      </c>
      <c r="I399" s="122">
        <v>3270.2191579999999</v>
      </c>
      <c r="J399" s="124">
        <f t="shared" si="6"/>
        <v>1.34</v>
      </c>
      <c r="K399" s="98" t="s">
        <v>4151</v>
      </c>
    </row>
    <row r="400" spans="1:11" ht="15" customHeight="1" x14ac:dyDescent="0.2">
      <c r="A400" s="120" t="s">
        <v>4152</v>
      </c>
      <c r="B400" s="120" t="s">
        <v>3620</v>
      </c>
      <c r="C400" s="98" t="s">
        <v>3533</v>
      </c>
      <c r="D400" s="120" t="s">
        <v>3534</v>
      </c>
      <c r="E400" s="98">
        <v>2.615E-2</v>
      </c>
      <c r="F400" s="120">
        <v>0</v>
      </c>
      <c r="G400" s="121">
        <v>0</v>
      </c>
      <c r="H400" s="123">
        <v>2.615E-2</v>
      </c>
      <c r="I400" s="122">
        <v>0</v>
      </c>
      <c r="J400" s="124">
        <f t="shared" si="6"/>
        <v>2.615E-2</v>
      </c>
    </row>
    <row r="401" spans="1:11" ht="15" customHeight="1" x14ac:dyDescent="0.2">
      <c r="A401" s="120" t="s">
        <v>4153</v>
      </c>
      <c r="B401" s="120" t="s">
        <v>3532</v>
      </c>
      <c r="C401" s="98" t="s">
        <v>3533</v>
      </c>
      <c r="D401" s="120" t="s">
        <v>3534</v>
      </c>
      <c r="E401" s="98">
        <v>9.6629999999999994E-2</v>
      </c>
      <c r="F401" s="120">
        <v>0</v>
      </c>
      <c r="G401" s="121">
        <v>0</v>
      </c>
      <c r="H401" s="123">
        <v>9.6629999999999994E-2</v>
      </c>
      <c r="I401" s="122">
        <v>0</v>
      </c>
      <c r="J401" s="124">
        <f t="shared" si="6"/>
        <v>9.6629999999999994E-2</v>
      </c>
    </row>
    <row r="402" spans="1:11" ht="15" customHeight="1" x14ac:dyDescent="0.2">
      <c r="A402" s="120" t="s">
        <v>4154</v>
      </c>
      <c r="B402" s="120" t="s">
        <v>3632</v>
      </c>
      <c r="C402" s="98" t="s">
        <v>3533</v>
      </c>
      <c r="D402" s="120" t="s">
        <v>3534</v>
      </c>
      <c r="E402" s="98">
        <v>0.1716</v>
      </c>
      <c r="F402" s="120">
        <v>0</v>
      </c>
      <c r="G402" s="121">
        <v>5179</v>
      </c>
      <c r="H402" s="123">
        <v>0.1716</v>
      </c>
      <c r="I402" s="122">
        <v>888.71640000000002</v>
      </c>
      <c r="J402" s="124">
        <f t="shared" si="6"/>
        <v>0.1716</v>
      </c>
    </row>
    <row r="403" spans="1:11" ht="15" customHeight="1" x14ac:dyDescent="0.2">
      <c r="A403" s="120" t="s">
        <v>4155</v>
      </c>
      <c r="B403" s="120" t="s">
        <v>4156</v>
      </c>
      <c r="C403" s="98" t="s">
        <v>3533</v>
      </c>
      <c r="D403" s="120" t="s">
        <v>3534</v>
      </c>
      <c r="E403" s="98">
        <v>5.7200000000000001E-2</v>
      </c>
      <c r="F403" s="120">
        <v>0</v>
      </c>
      <c r="G403" s="121">
        <v>1100</v>
      </c>
      <c r="H403" s="123">
        <v>5.7200000000000001E-2</v>
      </c>
      <c r="I403" s="122">
        <v>62.92</v>
      </c>
      <c r="J403" s="124">
        <f t="shared" si="6"/>
        <v>5.7200000000000001E-2</v>
      </c>
      <c r="K403" s="98" t="s">
        <v>4157</v>
      </c>
    </row>
    <row r="404" spans="1:11" ht="15" customHeight="1" x14ac:dyDescent="0.2">
      <c r="A404" s="120" t="s">
        <v>4158</v>
      </c>
      <c r="B404" s="120" t="s">
        <v>3532</v>
      </c>
      <c r="C404" s="98" t="s">
        <v>3533</v>
      </c>
      <c r="D404" s="120" t="s">
        <v>3534</v>
      </c>
      <c r="E404" s="98">
        <v>2.6499999999999999E-2</v>
      </c>
      <c r="F404" s="120">
        <v>0</v>
      </c>
      <c r="G404" s="121">
        <v>2487</v>
      </c>
      <c r="H404" s="123">
        <v>2.6499999999999999E-2</v>
      </c>
      <c r="I404" s="122">
        <v>65.905500000000004</v>
      </c>
      <c r="J404" s="124">
        <f t="shared" si="6"/>
        <v>2.6499999999999999E-2</v>
      </c>
    </row>
    <row r="405" spans="1:11" ht="15" customHeight="1" x14ac:dyDescent="0.2">
      <c r="A405" s="120" t="s">
        <v>4159</v>
      </c>
      <c r="B405" s="120" t="s">
        <v>3532</v>
      </c>
      <c r="C405" s="98" t="s">
        <v>3533</v>
      </c>
      <c r="D405" s="120" t="s">
        <v>3534</v>
      </c>
      <c r="E405" s="98">
        <v>0.188</v>
      </c>
      <c r="F405" s="120">
        <v>0</v>
      </c>
      <c r="G405" s="121">
        <v>0</v>
      </c>
      <c r="H405" s="123">
        <v>0.188</v>
      </c>
      <c r="I405" s="122">
        <v>0</v>
      </c>
      <c r="J405" s="124">
        <f t="shared" si="6"/>
        <v>0.188</v>
      </c>
    </row>
    <row r="406" spans="1:11" ht="15" customHeight="1" x14ac:dyDescent="0.2">
      <c r="A406" s="120" t="s">
        <v>4160</v>
      </c>
      <c r="B406" s="120" t="s">
        <v>3532</v>
      </c>
      <c r="C406" s="98" t="s">
        <v>3533</v>
      </c>
      <c r="D406" s="120" t="s">
        <v>3534</v>
      </c>
      <c r="E406" s="98">
        <v>0</v>
      </c>
      <c r="F406" s="120">
        <v>0</v>
      </c>
      <c r="G406" s="121">
        <v>2366</v>
      </c>
      <c r="H406" s="123">
        <v>0</v>
      </c>
      <c r="I406" s="122">
        <v>0</v>
      </c>
      <c r="J406" s="124">
        <f t="shared" si="6"/>
        <v>0</v>
      </c>
    </row>
    <row r="407" spans="1:11" ht="15" customHeight="1" x14ac:dyDescent="0.2">
      <c r="A407" s="120" t="s">
        <v>4161</v>
      </c>
      <c r="B407" s="120" t="s">
        <v>4162</v>
      </c>
      <c r="C407" s="98" t="s">
        <v>3533</v>
      </c>
      <c r="D407" s="120" t="s">
        <v>3534</v>
      </c>
      <c r="E407" s="98">
        <v>2.7E-2</v>
      </c>
      <c r="F407" s="120">
        <v>0</v>
      </c>
      <c r="G407" s="121">
        <v>0</v>
      </c>
      <c r="H407" s="123">
        <v>2.7E-2</v>
      </c>
      <c r="I407" s="122">
        <v>0</v>
      </c>
      <c r="J407" s="124">
        <f t="shared" si="6"/>
        <v>2.7E-2</v>
      </c>
      <c r="K407" s="98" t="s">
        <v>4163</v>
      </c>
    </row>
    <row r="408" spans="1:11" ht="15" customHeight="1" x14ac:dyDescent="0.2">
      <c r="A408" s="120" t="s">
        <v>4164</v>
      </c>
      <c r="B408" s="120" t="s">
        <v>3532</v>
      </c>
      <c r="C408" s="98" t="s">
        <v>3533</v>
      </c>
      <c r="D408" s="120" t="s">
        <v>3534</v>
      </c>
      <c r="E408" s="98">
        <v>3.1050000000000001E-2</v>
      </c>
      <c r="F408" s="120">
        <v>0</v>
      </c>
      <c r="G408" s="121">
        <v>620</v>
      </c>
      <c r="H408" s="123">
        <v>3.1050000000000001E-2</v>
      </c>
      <c r="I408" s="122">
        <v>19.251000000000001</v>
      </c>
      <c r="J408" s="124">
        <f t="shared" si="6"/>
        <v>3.1050000000000001E-2</v>
      </c>
    </row>
    <row r="409" spans="1:11" ht="15" customHeight="1" x14ac:dyDescent="0.2">
      <c r="A409" s="120" t="s">
        <v>4165</v>
      </c>
      <c r="B409" s="120" t="s">
        <v>3625</v>
      </c>
      <c r="C409" s="98" t="s">
        <v>3533</v>
      </c>
      <c r="D409" s="120" t="s">
        <v>3534</v>
      </c>
      <c r="E409" s="98">
        <v>0.39689200000000002</v>
      </c>
      <c r="F409" s="120">
        <v>0</v>
      </c>
      <c r="G409" s="121">
        <v>8920</v>
      </c>
      <c r="H409" s="123">
        <v>0.39689200000000002</v>
      </c>
      <c r="I409" s="122">
        <v>3540.27664</v>
      </c>
      <c r="J409" s="124">
        <f t="shared" si="6"/>
        <v>0.39689200000000002</v>
      </c>
      <c r="K409" s="98" t="s">
        <v>4166</v>
      </c>
    </row>
    <row r="410" spans="1:11" ht="15" customHeight="1" x14ac:dyDescent="0.2">
      <c r="A410" s="120" t="s">
        <v>4167</v>
      </c>
      <c r="B410" s="120" t="s">
        <v>3532</v>
      </c>
      <c r="C410" s="98" t="s">
        <v>3533</v>
      </c>
      <c r="D410" s="120" t="s">
        <v>3534</v>
      </c>
      <c r="E410" s="98">
        <v>3.6130000000000002E-2</v>
      </c>
      <c r="F410" s="120">
        <v>0</v>
      </c>
      <c r="G410" s="121">
        <v>0</v>
      </c>
      <c r="H410" s="123">
        <v>3.6130000000000002E-2</v>
      </c>
      <c r="I410" s="122">
        <v>0</v>
      </c>
      <c r="J410" s="124">
        <f t="shared" si="6"/>
        <v>3.6130000000000002E-2</v>
      </c>
    </row>
    <row r="411" spans="1:11" ht="15" customHeight="1" x14ac:dyDescent="0.2">
      <c r="A411" s="120" t="s">
        <v>4168</v>
      </c>
      <c r="B411" s="120" t="s">
        <v>3532</v>
      </c>
      <c r="C411" s="98" t="s">
        <v>3533</v>
      </c>
      <c r="D411" s="120" t="s">
        <v>3534</v>
      </c>
      <c r="E411" s="98">
        <v>0.105</v>
      </c>
      <c r="F411" s="120">
        <v>0</v>
      </c>
      <c r="G411" s="121">
        <v>0</v>
      </c>
      <c r="H411" s="123">
        <v>0.105</v>
      </c>
      <c r="I411" s="122">
        <v>0</v>
      </c>
      <c r="J411" s="124">
        <f t="shared" si="6"/>
        <v>0.105</v>
      </c>
    </row>
    <row r="412" spans="1:11" ht="15" customHeight="1" x14ac:dyDescent="0.2">
      <c r="A412" s="120" t="s">
        <v>4169</v>
      </c>
      <c r="B412" s="120" t="s">
        <v>3643</v>
      </c>
      <c r="C412" s="98" t="s">
        <v>3533</v>
      </c>
      <c r="D412" s="120" t="s">
        <v>3534</v>
      </c>
      <c r="E412" s="98">
        <v>0.17599999999999999</v>
      </c>
      <c r="F412" s="120">
        <v>0</v>
      </c>
      <c r="G412" s="121">
        <v>5649</v>
      </c>
      <c r="H412" s="123">
        <v>0.17599999999999999</v>
      </c>
      <c r="I412" s="122">
        <v>994.22399999999993</v>
      </c>
      <c r="J412" s="124">
        <f t="shared" si="6"/>
        <v>0.17599999999999999</v>
      </c>
    </row>
    <row r="413" spans="1:11" ht="15" customHeight="1" x14ac:dyDescent="0.2">
      <c r="A413" s="120" t="s">
        <v>4170</v>
      </c>
      <c r="B413" s="120" t="s">
        <v>3532</v>
      </c>
      <c r="C413" s="98" t="s">
        <v>3533</v>
      </c>
      <c r="D413" s="120" t="s">
        <v>3534</v>
      </c>
      <c r="E413" s="98">
        <v>2.4729999999999999E-2</v>
      </c>
      <c r="F413" s="120">
        <v>0</v>
      </c>
      <c r="G413" s="121">
        <v>8340</v>
      </c>
      <c r="H413" s="123">
        <v>2.4729999999999999E-2</v>
      </c>
      <c r="I413" s="122">
        <v>206.2482</v>
      </c>
      <c r="J413" s="124">
        <f t="shared" si="6"/>
        <v>2.4729999999999999E-2</v>
      </c>
    </row>
    <row r="414" spans="1:11" ht="15" customHeight="1" x14ac:dyDescent="0.2">
      <c r="A414" s="120" t="s">
        <v>4171</v>
      </c>
      <c r="B414" s="120" t="s">
        <v>3620</v>
      </c>
      <c r="C414" s="98" t="s">
        <v>3533</v>
      </c>
      <c r="D414" s="120" t="s">
        <v>3534</v>
      </c>
      <c r="E414" s="98">
        <v>0.20499999999999999</v>
      </c>
      <c r="F414" s="120">
        <v>5000</v>
      </c>
      <c r="G414" s="121">
        <v>18772</v>
      </c>
      <c r="H414" s="123">
        <v>0.20499999999999999</v>
      </c>
      <c r="I414" s="122">
        <v>3848.2599999999998</v>
      </c>
      <c r="J414" s="124">
        <f t="shared" si="6"/>
        <v>0.20499999999999999</v>
      </c>
      <c r="K414" s="98" t="s">
        <v>4172</v>
      </c>
    </row>
    <row r="415" spans="1:11" ht="15" customHeight="1" x14ac:dyDescent="0.2">
      <c r="A415" s="120" t="s">
        <v>4173</v>
      </c>
      <c r="B415" s="120" t="s">
        <v>3532</v>
      </c>
      <c r="C415" s="98" t="s">
        <v>3533</v>
      </c>
      <c r="D415" s="120" t="s">
        <v>3534</v>
      </c>
      <c r="E415" s="98">
        <v>2.5000000000000001E-2</v>
      </c>
      <c r="F415" s="120">
        <v>0</v>
      </c>
      <c r="G415" s="121">
        <v>0</v>
      </c>
      <c r="H415" s="123">
        <v>2.5000000000000001E-2</v>
      </c>
      <c r="I415" s="122">
        <v>0</v>
      </c>
      <c r="J415" s="124">
        <f t="shared" si="6"/>
        <v>2.5000000000000001E-2</v>
      </c>
    </row>
    <row r="416" spans="1:11" ht="15" customHeight="1" x14ac:dyDescent="0.2">
      <c r="A416" s="120" t="s">
        <v>4174</v>
      </c>
      <c r="B416" s="120" t="s">
        <v>3532</v>
      </c>
      <c r="C416" s="98" t="s">
        <v>3533</v>
      </c>
      <c r="D416" s="120" t="s">
        <v>3534</v>
      </c>
      <c r="E416" s="98">
        <v>2.5000000000000001E-2</v>
      </c>
      <c r="F416" s="120">
        <v>0</v>
      </c>
      <c r="G416" s="121">
        <v>9823</v>
      </c>
      <c r="H416" s="123">
        <v>2.5000000000000001E-2</v>
      </c>
      <c r="I416" s="122">
        <v>245.57500000000002</v>
      </c>
      <c r="J416" s="124">
        <f t="shared" si="6"/>
        <v>2.5000000000000001E-2</v>
      </c>
    </row>
    <row r="417" spans="1:11" ht="15" customHeight="1" x14ac:dyDescent="0.2">
      <c r="A417" s="120" t="s">
        <v>4175</v>
      </c>
      <c r="B417" s="120" t="s">
        <v>3532</v>
      </c>
      <c r="C417" s="98" t="s">
        <v>3533</v>
      </c>
      <c r="D417" s="120" t="s">
        <v>3534</v>
      </c>
      <c r="E417" s="98">
        <v>0</v>
      </c>
      <c r="F417" s="120">
        <v>0</v>
      </c>
      <c r="G417" s="121">
        <v>624</v>
      </c>
      <c r="H417" s="123">
        <v>0</v>
      </c>
      <c r="I417" s="122">
        <v>0</v>
      </c>
      <c r="J417" s="124">
        <f t="shared" si="6"/>
        <v>0</v>
      </c>
    </row>
    <row r="418" spans="1:11" ht="15" customHeight="1" x14ac:dyDescent="0.2">
      <c r="A418" s="120" t="s">
        <v>4176</v>
      </c>
      <c r="B418" s="120" t="s">
        <v>3532</v>
      </c>
      <c r="C418" s="98" t="s">
        <v>3533</v>
      </c>
      <c r="D418" s="120" t="s">
        <v>3534</v>
      </c>
      <c r="E418" s="98">
        <v>1.4250000000000001E-2</v>
      </c>
      <c r="F418" s="120">
        <v>0</v>
      </c>
      <c r="G418" s="121">
        <v>56156</v>
      </c>
      <c r="H418" s="123">
        <v>1.4250000000000001E-2</v>
      </c>
      <c r="I418" s="122">
        <v>800.22300000000007</v>
      </c>
      <c r="J418" s="124">
        <f t="shared" si="6"/>
        <v>1.4250000000000001E-2</v>
      </c>
    </row>
    <row r="419" spans="1:11" ht="15" customHeight="1" x14ac:dyDescent="0.2">
      <c r="A419" s="120" t="s">
        <v>4177</v>
      </c>
      <c r="B419" s="120" t="s">
        <v>3532</v>
      </c>
      <c r="C419" s="98" t="s">
        <v>3533</v>
      </c>
      <c r="D419" s="120" t="s">
        <v>3534</v>
      </c>
      <c r="E419" s="98">
        <v>2.29E-2</v>
      </c>
      <c r="F419" s="120">
        <v>0</v>
      </c>
      <c r="G419" s="121">
        <v>11130</v>
      </c>
      <c r="H419" s="123">
        <v>2.29E-2</v>
      </c>
      <c r="I419" s="122">
        <v>254.87700000000001</v>
      </c>
      <c r="J419" s="124">
        <f t="shared" si="6"/>
        <v>2.29E-2</v>
      </c>
    </row>
    <row r="420" spans="1:11" ht="15" customHeight="1" x14ac:dyDescent="0.2">
      <c r="A420" s="120" t="s">
        <v>4178</v>
      </c>
      <c r="B420" s="120" t="s">
        <v>3632</v>
      </c>
      <c r="C420" s="98" t="s">
        <v>3533</v>
      </c>
      <c r="D420" s="120" t="s">
        <v>3534</v>
      </c>
      <c r="E420" s="98">
        <v>4.7399999999999998E-2</v>
      </c>
      <c r="F420" s="120">
        <v>5000</v>
      </c>
      <c r="G420" s="121">
        <v>3770</v>
      </c>
      <c r="H420" s="123">
        <v>4.7399999999999998E-2</v>
      </c>
      <c r="I420" s="122">
        <v>178.69799999999998</v>
      </c>
      <c r="J420" s="124">
        <f t="shared" si="6"/>
        <v>4.7399999999999998E-2</v>
      </c>
      <c r="K420" s="98" t="s">
        <v>4179</v>
      </c>
    </row>
    <row r="421" spans="1:11" ht="15" customHeight="1" x14ac:dyDescent="0.2">
      <c r="A421" s="120" t="s">
        <v>4180</v>
      </c>
      <c r="B421" s="120" t="s">
        <v>3532</v>
      </c>
      <c r="C421" s="98" t="s">
        <v>3533</v>
      </c>
      <c r="D421" s="120" t="s">
        <v>3534</v>
      </c>
      <c r="E421" s="98">
        <v>0</v>
      </c>
      <c r="F421" s="120">
        <v>0</v>
      </c>
      <c r="G421" s="121">
        <v>994</v>
      </c>
      <c r="H421" s="123">
        <v>0</v>
      </c>
      <c r="I421" s="122">
        <v>0</v>
      </c>
      <c r="J421" s="124">
        <f t="shared" si="6"/>
        <v>0</v>
      </c>
    </row>
    <row r="422" spans="1:11" ht="15" customHeight="1" x14ac:dyDescent="0.2">
      <c r="A422" s="120" t="s">
        <v>4181</v>
      </c>
      <c r="B422" s="120" t="s">
        <v>3620</v>
      </c>
      <c r="C422" s="98" t="s">
        <v>3533</v>
      </c>
      <c r="D422" s="120" t="s">
        <v>3534</v>
      </c>
      <c r="E422" s="98">
        <v>0.215</v>
      </c>
      <c r="F422" s="120">
        <v>0</v>
      </c>
      <c r="G422" s="121">
        <v>0</v>
      </c>
      <c r="H422" s="123">
        <v>0.215</v>
      </c>
      <c r="I422" s="122">
        <v>0</v>
      </c>
      <c r="J422" s="124">
        <f t="shared" si="6"/>
        <v>0.215</v>
      </c>
      <c r="K422" s="98" t="s">
        <v>4182</v>
      </c>
    </row>
    <row r="423" spans="1:11" ht="15" customHeight="1" x14ac:dyDescent="0.2">
      <c r="A423" s="120" t="s">
        <v>4183</v>
      </c>
      <c r="B423" s="120" t="s">
        <v>3620</v>
      </c>
      <c r="C423" s="98" t="s">
        <v>3533</v>
      </c>
      <c r="D423" s="120" t="s">
        <v>3534</v>
      </c>
      <c r="E423" s="98">
        <v>0.215</v>
      </c>
      <c r="F423" s="120">
        <v>0</v>
      </c>
      <c r="G423" s="121">
        <v>0</v>
      </c>
      <c r="H423" s="123">
        <v>0.215</v>
      </c>
      <c r="I423" s="122">
        <v>0</v>
      </c>
      <c r="J423" s="124">
        <f t="shared" si="6"/>
        <v>0.215</v>
      </c>
      <c r="K423" s="98" t="s">
        <v>4184</v>
      </c>
    </row>
    <row r="424" spans="1:11" ht="15" customHeight="1" x14ac:dyDescent="0.2">
      <c r="A424" s="120" t="s">
        <v>4185</v>
      </c>
      <c r="B424" s="120" t="s">
        <v>3620</v>
      </c>
      <c r="C424" s="98" t="s">
        <v>3533</v>
      </c>
      <c r="D424" s="120" t="s">
        <v>3534</v>
      </c>
      <c r="E424" s="98">
        <v>0.115</v>
      </c>
      <c r="F424" s="120">
        <v>0</v>
      </c>
      <c r="G424" s="121">
        <v>0</v>
      </c>
      <c r="H424" s="123">
        <v>0.115</v>
      </c>
      <c r="I424" s="122">
        <v>0</v>
      </c>
      <c r="J424" s="124">
        <f t="shared" si="6"/>
        <v>0.115</v>
      </c>
      <c r="K424" s="98" t="s">
        <v>4186</v>
      </c>
    </row>
    <row r="425" spans="1:11" ht="15" customHeight="1" x14ac:dyDescent="0.2">
      <c r="A425" s="120" t="s">
        <v>4187</v>
      </c>
      <c r="B425" s="120" t="s">
        <v>3532</v>
      </c>
      <c r="C425" s="98" t="s">
        <v>3533</v>
      </c>
      <c r="D425" s="120" t="s">
        <v>3534</v>
      </c>
      <c r="E425" s="98">
        <v>7.4999999999999997E-2</v>
      </c>
      <c r="F425" s="120">
        <v>0</v>
      </c>
      <c r="G425" s="121">
        <v>2871</v>
      </c>
      <c r="H425" s="123">
        <v>7.4999999999999997E-2</v>
      </c>
      <c r="I425" s="122">
        <v>215.32499999999999</v>
      </c>
      <c r="J425" s="124">
        <f t="shared" si="6"/>
        <v>7.4999999999999997E-2</v>
      </c>
    </row>
    <row r="426" spans="1:11" ht="15" customHeight="1" x14ac:dyDescent="0.2">
      <c r="A426" s="120" t="s">
        <v>4188</v>
      </c>
      <c r="B426" s="120" t="s">
        <v>3532</v>
      </c>
      <c r="C426" s="98" t="s">
        <v>3533</v>
      </c>
      <c r="D426" s="120" t="s">
        <v>3534</v>
      </c>
      <c r="E426" s="98">
        <v>5.5300000000000002E-2</v>
      </c>
      <c r="F426" s="120">
        <v>0</v>
      </c>
      <c r="G426" s="121">
        <v>6439</v>
      </c>
      <c r="H426" s="123">
        <v>5.5300000000000002E-2</v>
      </c>
      <c r="I426" s="122">
        <v>356.07670000000002</v>
      </c>
      <c r="J426" s="124">
        <f t="shared" si="6"/>
        <v>5.5300000000000002E-2</v>
      </c>
    </row>
    <row r="427" spans="1:11" ht="15" customHeight="1" x14ac:dyDescent="0.2">
      <c r="A427" s="120" t="s">
        <v>4189</v>
      </c>
      <c r="B427" s="120" t="s">
        <v>4190</v>
      </c>
      <c r="C427" s="98" t="s">
        <v>3533</v>
      </c>
      <c r="D427" s="120" t="s">
        <v>3534</v>
      </c>
      <c r="E427" s="98">
        <v>0.13900000000000001</v>
      </c>
      <c r="F427" s="120">
        <v>0</v>
      </c>
      <c r="G427" s="121">
        <v>830</v>
      </c>
      <c r="H427" s="123">
        <v>0.13900000000000001</v>
      </c>
      <c r="I427" s="122">
        <v>115.37</v>
      </c>
      <c r="J427" s="124">
        <f t="shared" si="6"/>
        <v>0.13900000000000001</v>
      </c>
      <c r="K427" s="98" t="s">
        <v>4191</v>
      </c>
    </row>
    <row r="428" spans="1:11" ht="15" customHeight="1" x14ac:dyDescent="0.2">
      <c r="A428" s="120" t="s">
        <v>4192</v>
      </c>
      <c r="B428" s="120" t="s">
        <v>3532</v>
      </c>
      <c r="C428" s="98" t="s">
        <v>3532</v>
      </c>
      <c r="D428" s="120" t="s">
        <v>3534</v>
      </c>
      <c r="E428" s="98">
        <v>0</v>
      </c>
      <c r="F428" s="120">
        <v>0</v>
      </c>
      <c r="G428" s="121">
        <v>0</v>
      </c>
      <c r="H428" s="123">
        <v>0</v>
      </c>
      <c r="I428" s="122">
        <v>0</v>
      </c>
      <c r="J428" s="124">
        <f t="shared" si="6"/>
        <v>0</v>
      </c>
    </row>
    <row r="429" spans="1:11" ht="15" customHeight="1" x14ac:dyDescent="0.2">
      <c r="A429" s="120" t="s">
        <v>4193</v>
      </c>
      <c r="B429" s="120" t="s">
        <v>3532</v>
      </c>
      <c r="C429" s="98" t="s">
        <v>3533</v>
      </c>
      <c r="D429" s="120" t="s">
        <v>3534</v>
      </c>
      <c r="E429" s="98">
        <v>1.9699999999999999E-2</v>
      </c>
      <c r="F429" s="120">
        <v>0</v>
      </c>
      <c r="G429" s="121">
        <v>11424</v>
      </c>
      <c r="H429" s="123">
        <v>1.9699999999999999E-2</v>
      </c>
      <c r="I429" s="122">
        <v>225.05279999999999</v>
      </c>
      <c r="J429" s="124">
        <f t="shared" si="6"/>
        <v>1.9699999999999999E-2</v>
      </c>
    </row>
    <row r="430" spans="1:11" ht="15" customHeight="1" x14ac:dyDescent="0.2">
      <c r="A430" s="120" t="s">
        <v>4194</v>
      </c>
      <c r="B430" s="120" t="s">
        <v>3620</v>
      </c>
      <c r="C430" s="98" t="s">
        <v>3532</v>
      </c>
      <c r="D430" s="120" t="s">
        <v>3534</v>
      </c>
      <c r="E430" s="98">
        <v>7.6999999999999999E-2</v>
      </c>
      <c r="F430" s="120">
        <v>0</v>
      </c>
      <c r="G430" s="121">
        <v>93092</v>
      </c>
      <c r="H430" s="123">
        <v>7.6999999999999999E-2</v>
      </c>
      <c r="I430" s="122">
        <v>7168.0839999999998</v>
      </c>
      <c r="J430" s="124">
        <f t="shared" si="6"/>
        <v>7.6999999999999999E-2</v>
      </c>
    </row>
    <row r="431" spans="1:11" ht="15" customHeight="1" x14ac:dyDescent="0.2">
      <c r="A431" s="120" t="s">
        <v>4195</v>
      </c>
      <c r="B431" s="120" t="s">
        <v>3632</v>
      </c>
      <c r="C431" s="98" t="s">
        <v>3540</v>
      </c>
      <c r="D431" s="120" t="s">
        <v>3534</v>
      </c>
      <c r="E431" s="98">
        <v>0.14000000000000001</v>
      </c>
      <c r="F431" s="120">
        <v>0</v>
      </c>
      <c r="G431" s="121">
        <v>0</v>
      </c>
      <c r="H431" s="123">
        <v>0.14000000000000001</v>
      </c>
      <c r="I431" s="122">
        <v>0</v>
      </c>
      <c r="J431" s="124">
        <f t="shared" si="6"/>
        <v>0.14000000000000001</v>
      </c>
    </row>
    <row r="432" spans="1:11" ht="15" customHeight="1" x14ac:dyDescent="0.2">
      <c r="A432" s="120" t="s">
        <v>4196</v>
      </c>
      <c r="B432" s="120" t="s">
        <v>3532</v>
      </c>
      <c r="C432" s="98" t="s">
        <v>3533</v>
      </c>
      <c r="D432" s="120" t="s">
        <v>3534</v>
      </c>
      <c r="E432" s="98">
        <v>8.7999999999999995E-2</v>
      </c>
      <c r="F432" s="120">
        <v>0</v>
      </c>
      <c r="G432" s="121">
        <v>6273</v>
      </c>
      <c r="H432" s="123">
        <v>8.7999999999999995E-2</v>
      </c>
      <c r="I432" s="122">
        <v>552.024</v>
      </c>
      <c r="J432" s="124">
        <f t="shared" si="6"/>
        <v>8.7999999999999995E-2</v>
      </c>
    </row>
    <row r="433" spans="1:11" ht="15" customHeight="1" x14ac:dyDescent="0.2">
      <c r="A433" s="120" t="s">
        <v>4197</v>
      </c>
      <c r="B433" s="120" t="s">
        <v>4198</v>
      </c>
      <c r="C433" s="98" t="s">
        <v>3533</v>
      </c>
      <c r="D433" s="120" t="s">
        <v>3534</v>
      </c>
      <c r="E433" s="98">
        <v>3.4000000000000002E-2</v>
      </c>
      <c r="F433" s="120">
        <v>0</v>
      </c>
      <c r="G433" s="121">
        <v>3509</v>
      </c>
      <c r="H433" s="123">
        <v>3.4000000000000002E-2</v>
      </c>
      <c r="I433" s="122">
        <v>119.30600000000001</v>
      </c>
      <c r="J433" s="124">
        <f t="shared" si="6"/>
        <v>3.4000000000000002E-2</v>
      </c>
      <c r="K433" s="98" t="s">
        <v>4199</v>
      </c>
    </row>
    <row r="434" spans="1:11" ht="15" customHeight="1" x14ac:dyDescent="0.2">
      <c r="A434" s="120" t="s">
        <v>4200</v>
      </c>
      <c r="B434" s="120" t="s">
        <v>3643</v>
      </c>
      <c r="C434" s="98" t="s">
        <v>3533</v>
      </c>
      <c r="D434" s="120" t="s">
        <v>3534</v>
      </c>
      <c r="E434" s="98">
        <v>0.18</v>
      </c>
      <c r="F434" s="120">
        <v>0</v>
      </c>
      <c r="G434" s="121">
        <v>4540</v>
      </c>
      <c r="H434" s="123">
        <v>0.18</v>
      </c>
      <c r="I434" s="122">
        <v>817.19999999999993</v>
      </c>
      <c r="J434" s="124">
        <f t="shared" si="6"/>
        <v>0.18</v>
      </c>
      <c r="K434" s="98" t="s">
        <v>4201</v>
      </c>
    </row>
    <row r="435" spans="1:11" ht="15" customHeight="1" x14ac:dyDescent="0.2">
      <c r="A435" s="120" t="s">
        <v>4202</v>
      </c>
      <c r="B435" s="120" t="s">
        <v>3620</v>
      </c>
      <c r="C435" s="98" t="s">
        <v>3533</v>
      </c>
      <c r="D435" s="120" t="s">
        <v>3534</v>
      </c>
      <c r="E435" s="98">
        <v>3.653E-2</v>
      </c>
      <c r="F435" s="120">
        <v>0</v>
      </c>
      <c r="G435" s="121">
        <v>1071</v>
      </c>
      <c r="H435" s="123">
        <v>3.653E-2</v>
      </c>
      <c r="I435" s="122">
        <v>39.123629999999999</v>
      </c>
      <c r="J435" s="124">
        <f t="shared" si="6"/>
        <v>3.653E-2</v>
      </c>
    </row>
    <row r="436" spans="1:11" ht="15" customHeight="1" x14ac:dyDescent="0.2">
      <c r="A436" s="120" t="s">
        <v>4203</v>
      </c>
      <c r="B436" s="120" t="s">
        <v>3532</v>
      </c>
      <c r="C436" s="98" t="s">
        <v>3533</v>
      </c>
      <c r="D436" s="120" t="s">
        <v>3534</v>
      </c>
      <c r="E436" s="98">
        <v>9.5000000000000001E-2</v>
      </c>
      <c r="F436" s="120">
        <v>0</v>
      </c>
      <c r="G436" s="121">
        <v>70</v>
      </c>
      <c r="H436" s="123">
        <v>9.5000000000000001E-2</v>
      </c>
      <c r="I436" s="122">
        <v>6.65</v>
      </c>
      <c r="J436" s="124">
        <f t="shared" si="6"/>
        <v>9.5000000000000001E-2</v>
      </c>
    </row>
    <row r="437" spans="1:11" ht="15" customHeight="1" x14ac:dyDescent="0.2">
      <c r="A437" s="120" t="s">
        <v>4204</v>
      </c>
      <c r="B437" s="120" t="s">
        <v>3532</v>
      </c>
      <c r="C437" s="98" t="s">
        <v>3533</v>
      </c>
      <c r="D437" s="120" t="s">
        <v>3534</v>
      </c>
      <c r="E437" s="98">
        <v>6.3729999999999995E-2</v>
      </c>
      <c r="F437" s="120">
        <v>0</v>
      </c>
      <c r="G437" s="121">
        <v>2805</v>
      </c>
      <c r="H437" s="123">
        <v>6.3729999999999995E-2</v>
      </c>
      <c r="I437" s="122">
        <v>178.76264999999998</v>
      </c>
      <c r="J437" s="124">
        <f t="shared" si="6"/>
        <v>6.3729999999999995E-2</v>
      </c>
    </row>
    <row r="438" spans="1:11" ht="15" customHeight="1" x14ac:dyDescent="0.2">
      <c r="A438" s="120" t="s">
        <v>4205</v>
      </c>
      <c r="B438" s="120" t="s">
        <v>3532</v>
      </c>
      <c r="C438" s="98" t="s">
        <v>3533</v>
      </c>
      <c r="D438" s="120" t="s">
        <v>3534</v>
      </c>
      <c r="E438" s="98">
        <v>0.14799999999999999</v>
      </c>
      <c r="F438" s="120">
        <v>0</v>
      </c>
      <c r="G438" s="121">
        <v>1495</v>
      </c>
      <c r="H438" s="123">
        <v>0.14799999999999999</v>
      </c>
      <c r="I438" s="122">
        <v>221.26</v>
      </c>
      <c r="J438" s="124">
        <f t="shared" si="6"/>
        <v>0.14799999999999999</v>
      </c>
    </row>
    <row r="439" spans="1:11" ht="15" customHeight="1" x14ac:dyDescent="0.2">
      <c r="A439" s="120" t="s">
        <v>4206</v>
      </c>
      <c r="B439" s="120" t="s">
        <v>3643</v>
      </c>
      <c r="C439" s="98" t="s">
        <v>3532</v>
      </c>
      <c r="D439" s="120" t="s">
        <v>3534</v>
      </c>
      <c r="E439" s="98">
        <v>1.95E-2</v>
      </c>
      <c r="F439" s="120">
        <v>0</v>
      </c>
      <c r="G439" s="121">
        <v>0</v>
      </c>
      <c r="H439" s="123">
        <v>1.95E-2</v>
      </c>
      <c r="I439" s="122">
        <v>0</v>
      </c>
      <c r="J439" s="124">
        <f t="shared" si="6"/>
        <v>1.95E-2</v>
      </c>
    </row>
    <row r="440" spans="1:11" ht="15" customHeight="1" x14ac:dyDescent="0.2">
      <c r="A440" s="120" t="s">
        <v>4207</v>
      </c>
      <c r="B440" s="120" t="s">
        <v>3532</v>
      </c>
      <c r="C440" s="98" t="s">
        <v>3532</v>
      </c>
      <c r="D440" s="120" t="s">
        <v>3534</v>
      </c>
      <c r="E440" s="98">
        <v>4.4999999999999998E-2</v>
      </c>
      <c r="F440" s="120">
        <v>0</v>
      </c>
      <c r="G440" s="121">
        <v>1318</v>
      </c>
      <c r="H440" s="123">
        <v>4.4999999999999998E-2</v>
      </c>
      <c r="I440" s="122">
        <v>59.309999999999995</v>
      </c>
      <c r="J440" s="124">
        <f t="shared" si="6"/>
        <v>4.4999999999999998E-2</v>
      </c>
    </row>
    <row r="441" spans="1:11" ht="15" customHeight="1" x14ac:dyDescent="0.2">
      <c r="A441" s="120" t="s">
        <v>4208</v>
      </c>
      <c r="B441" s="120" t="s">
        <v>3532</v>
      </c>
      <c r="C441" s="98" t="s">
        <v>3533</v>
      </c>
      <c r="D441" s="120" t="s">
        <v>3534</v>
      </c>
      <c r="E441" s="98">
        <v>2.4799999999999999E-2</v>
      </c>
      <c r="F441" s="120">
        <v>0</v>
      </c>
      <c r="G441" s="121">
        <v>0</v>
      </c>
      <c r="H441" s="123">
        <v>2.4799999999999999E-2</v>
      </c>
      <c r="I441" s="122">
        <v>0</v>
      </c>
      <c r="J441" s="124">
        <f t="shared" si="6"/>
        <v>2.4799999999999999E-2</v>
      </c>
    </row>
    <row r="442" spans="1:11" ht="15" customHeight="1" x14ac:dyDescent="0.2">
      <c r="A442" s="120" t="s">
        <v>4209</v>
      </c>
      <c r="B442" s="120" t="s">
        <v>3643</v>
      </c>
      <c r="C442" s="98" t="s">
        <v>3533</v>
      </c>
      <c r="D442" s="120" t="s">
        <v>3534</v>
      </c>
      <c r="E442" s="98">
        <v>1.95E-2</v>
      </c>
      <c r="F442" s="120">
        <v>0</v>
      </c>
      <c r="G442" s="121">
        <v>1656</v>
      </c>
      <c r="H442" s="123">
        <v>1.95E-2</v>
      </c>
      <c r="I442" s="122">
        <v>32.292000000000002</v>
      </c>
      <c r="J442" s="124">
        <f t="shared" si="6"/>
        <v>1.95E-2</v>
      </c>
    </row>
    <row r="443" spans="1:11" ht="15" customHeight="1" x14ac:dyDescent="0.2">
      <c r="A443" s="120" t="s">
        <v>4210</v>
      </c>
      <c r="B443" s="120" t="s">
        <v>3620</v>
      </c>
      <c r="C443" s="98" t="s">
        <v>3533</v>
      </c>
      <c r="D443" s="120" t="s">
        <v>3534</v>
      </c>
      <c r="E443" s="98">
        <v>0.30499999999999999</v>
      </c>
      <c r="F443" s="120">
        <v>0</v>
      </c>
      <c r="G443" s="121">
        <v>0</v>
      </c>
      <c r="H443" s="123">
        <v>0.30499999999999999</v>
      </c>
      <c r="I443" s="122">
        <v>0</v>
      </c>
      <c r="J443" s="124">
        <f t="shared" si="6"/>
        <v>0.30499999999999999</v>
      </c>
    </row>
    <row r="444" spans="1:11" ht="15" customHeight="1" x14ac:dyDescent="0.2">
      <c r="A444" s="120" t="s">
        <v>4211</v>
      </c>
      <c r="B444" s="120" t="s">
        <v>3620</v>
      </c>
      <c r="C444" s="98" t="s">
        <v>3533</v>
      </c>
      <c r="D444" s="120" t="s">
        <v>3534</v>
      </c>
      <c r="E444" s="98">
        <v>3.295E-2</v>
      </c>
      <c r="F444" s="120">
        <v>0</v>
      </c>
      <c r="G444" s="121">
        <v>49941</v>
      </c>
      <c r="H444" s="123">
        <v>3.295E-2</v>
      </c>
      <c r="I444" s="122">
        <v>1645.5559499999999</v>
      </c>
      <c r="J444" s="124">
        <f t="shared" si="6"/>
        <v>3.295E-2</v>
      </c>
      <c r="K444" s="98" t="s">
        <v>4212</v>
      </c>
    </row>
    <row r="445" spans="1:11" ht="15" customHeight="1" x14ac:dyDescent="0.2">
      <c r="A445" s="120" t="s">
        <v>4213</v>
      </c>
      <c r="B445" s="120" t="s">
        <v>3620</v>
      </c>
      <c r="C445" s="98" t="s">
        <v>3532</v>
      </c>
      <c r="D445" s="120" t="s">
        <v>3534</v>
      </c>
      <c r="E445" s="98">
        <v>0.21915000000000001</v>
      </c>
      <c r="F445" s="120">
        <v>0</v>
      </c>
      <c r="G445" s="121">
        <v>0</v>
      </c>
      <c r="H445" s="123">
        <v>0.21915000000000001</v>
      </c>
      <c r="I445" s="122">
        <v>0</v>
      </c>
      <c r="J445" s="124">
        <f t="shared" si="6"/>
        <v>0.21915000000000001</v>
      </c>
    </row>
    <row r="446" spans="1:11" ht="15" customHeight="1" x14ac:dyDescent="0.2">
      <c r="A446" s="120" t="s">
        <v>4214</v>
      </c>
      <c r="B446" s="120" t="s">
        <v>3620</v>
      </c>
      <c r="C446" s="98" t="s">
        <v>3532</v>
      </c>
      <c r="D446" s="120" t="s">
        <v>3534</v>
      </c>
      <c r="E446" s="98">
        <v>5.1999999999999998E-2</v>
      </c>
      <c r="F446" s="120">
        <v>0</v>
      </c>
      <c r="G446" s="121">
        <v>2000</v>
      </c>
      <c r="H446" s="123">
        <v>5.1999999999999998E-2</v>
      </c>
      <c r="I446" s="122">
        <v>104</v>
      </c>
      <c r="J446" s="124">
        <f t="shared" si="6"/>
        <v>5.1999999999999998E-2</v>
      </c>
    </row>
    <row r="447" spans="1:11" ht="15" customHeight="1" x14ac:dyDescent="0.2">
      <c r="A447" s="120" t="s">
        <v>4215</v>
      </c>
      <c r="B447" s="120" t="s">
        <v>3620</v>
      </c>
      <c r="C447" s="98" t="s">
        <v>3532</v>
      </c>
      <c r="D447" s="120" t="s">
        <v>3534</v>
      </c>
      <c r="E447" s="98">
        <v>0.21915000000000001</v>
      </c>
      <c r="F447" s="120">
        <v>0</v>
      </c>
      <c r="G447" s="121">
        <v>0</v>
      </c>
      <c r="H447" s="123">
        <v>0.21915000000000001</v>
      </c>
      <c r="I447" s="122">
        <v>0</v>
      </c>
      <c r="J447" s="124">
        <f t="shared" si="6"/>
        <v>0.21915000000000001</v>
      </c>
    </row>
    <row r="448" spans="1:11" ht="15" customHeight="1" x14ac:dyDescent="0.2">
      <c r="A448" s="120" t="s">
        <v>4216</v>
      </c>
      <c r="B448" s="120" t="s">
        <v>3620</v>
      </c>
      <c r="C448" s="98" t="s">
        <v>3532</v>
      </c>
      <c r="D448" s="120" t="s">
        <v>3534</v>
      </c>
      <c r="E448" s="98">
        <v>0.21915000000000001</v>
      </c>
      <c r="F448" s="120">
        <v>0</v>
      </c>
      <c r="G448" s="121">
        <v>0</v>
      </c>
      <c r="H448" s="123">
        <v>0.21915000000000001</v>
      </c>
      <c r="I448" s="122">
        <v>0</v>
      </c>
      <c r="J448" s="124">
        <f t="shared" si="6"/>
        <v>0.21915000000000001</v>
      </c>
    </row>
    <row r="449" spans="1:11" ht="15" customHeight="1" x14ac:dyDescent="0.2">
      <c r="A449" s="120" t="s">
        <v>4217</v>
      </c>
      <c r="B449" s="120" t="s">
        <v>3620</v>
      </c>
      <c r="C449" s="98" t="s">
        <v>3533</v>
      </c>
      <c r="D449" s="120" t="s">
        <v>3534</v>
      </c>
      <c r="E449" s="98">
        <v>2.8899999999999999E-2</v>
      </c>
      <c r="F449" s="120">
        <v>0</v>
      </c>
      <c r="G449" s="121">
        <v>19000</v>
      </c>
      <c r="H449" s="123">
        <v>2.8899999999999999E-2</v>
      </c>
      <c r="I449" s="122">
        <v>549.1</v>
      </c>
      <c r="J449" s="124">
        <f t="shared" si="6"/>
        <v>2.8899999999999999E-2</v>
      </c>
      <c r="K449" s="98" t="s">
        <v>4218</v>
      </c>
    </row>
    <row r="450" spans="1:11" ht="15" customHeight="1" x14ac:dyDescent="0.2">
      <c r="A450" s="120" t="s">
        <v>4219</v>
      </c>
      <c r="B450" s="120" t="s">
        <v>4220</v>
      </c>
      <c r="C450" s="98" t="s">
        <v>3532</v>
      </c>
      <c r="D450" s="120" t="s">
        <v>3534</v>
      </c>
      <c r="E450" s="98">
        <v>2.478E-2</v>
      </c>
      <c r="F450" s="120">
        <v>0</v>
      </c>
      <c r="G450" s="121">
        <v>0</v>
      </c>
      <c r="H450" s="123">
        <v>2.478E-2</v>
      </c>
      <c r="I450" s="122">
        <v>0</v>
      </c>
      <c r="J450" s="124">
        <f t="shared" ref="J450:J513" si="7">IF(D450="gm", E450*1000,+E450)</f>
        <v>2.478E-2</v>
      </c>
    </row>
    <row r="451" spans="1:11" ht="15" customHeight="1" x14ac:dyDescent="0.2">
      <c r="A451" s="120" t="s">
        <v>4221</v>
      </c>
      <c r="B451" s="120" t="s">
        <v>3632</v>
      </c>
      <c r="C451" s="98" t="s">
        <v>3533</v>
      </c>
      <c r="D451" s="120" t="s">
        <v>3534</v>
      </c>
      <c r="E451" s="98">
        <v>4.5100000000000001E-2</v>
      </c>
      <c r="F451" s="120">
        <v>0</v>
      </c>
      <c r="G451" s="121">
        <v>465</v>
      </c>
      <c r="H451" s="123">
        <v>4.3364E-2</v>
      </c>
      <c r="I451" s="122">
        <v>20.164259999999999</v>
      </c>
      <c r="J451" s="124">
        <f t="shared" si="7"/>
        <v>4.5100000000000001E-2</v>
      </c>
      <c r="K451" s="98" t="s">
        <v>4222</v>
      </c>
    </row>
    <row r="452" spans="1:11" ht="15" customHeight="1" x14ac:dyDescent="0.2">
      <c r="A452" s="120" t="s">
        <v>4223</v>
      </c>
      <c r="B452" s="120" t="s">
        <v>3632</v>
      </c>
      <c r="C452" s="98" t="s">
        <v>3533</v>
      </c>
      <c r="D452" s="120" t="s">
        <v>3534</v>
      </c>
      <c r="E452" s="98">
        <v>2.93E-2</v>
      </c>
      <c r="F452" s="120">
        <v>50000</v>
      </c>
      <c r="G452" s="121">
        <v>56187</v>
      </c>
      <c r="H452" s="123">
        <v>2.93E-2</v>
      </c>
      <c r="I452" s="122">
        <v>1646.2791</v>
      </c>
      <c r="J452" s="124">
        <f t="shared" si="7"/>
        <v>2.93E-2</v>
      </c>
    </row>
    <row r="453" spans="1:11" ht="15" customHeight="1" x14ac:dyDescent="0.2">
      <c r="A453" s="120" t="s">
        <v>4224</v>
      </c>
      <c r="B453" s="120" t="s">
        <v>4220</v>
      </c>
      <c r="C453" s="98" t="s">
        <v>3532</v>
      </c>
      <c r="D453" s="120" t="s">
        <v>3534</v>
      </c>
      <c r="E453" s="98">
        <v>2.478E-2</v>
      </c>
      <c r="F453" s="120">
        <v>0</v>
      </c>
      <c r="G453" s="121">
        <v>0</v>
      </c>
      <c r="H453" s="123">
        <v>2.478E-2</v>
      </c>
      <c r="I453" s="122">
        <v>0</v>
      </c>
      <c r="J453" s="124">
        <f t="shared" si="7"/>
        <v>2.478E-2</v>
      </c>
    </row>
    <row r="454" spans="1:11" ht="15" customHeight="1" x14ac:dyDescent="0.2">
      <c r="A454" s="120" t="s">
        <v>4225</v>
      </c>
      <c r="B454" s="120" t="s">
        <v>3625</v>
      </c>
      <c r="C454" s="98" t="s">
        <v>3533</v>
      </c>
      <c r="D454" s="120" t="s">
        <v>3534</v>
      </c>
      <c r="E454" s="98">
        <v>5.7419999999999999E-2</v>
      </c>
      <c r="F454" s="120">
        <v>0</v>
      </c>
      <c r="G454" s="121">
        <v>10715</v>
      </c>
      <c r="H454" s="123">
        <v>5.7419999999999999E-2</v>
      </c>
      <c r="I454" s="122">
        <v>615.25530000000003</v>
      </c>
      <c r="J454" s="124">
        <f t="shared" si="7"/>
        <v>5.7419999999999999E-2</v>
      </c>
      <c r="K454" s="98" t="s">
        <v>4226</v>
      </c>
    </row>
    <row r="455" spans="1:11" ht="15" customHeight="1" x14ac:dyDescent="0.2">
      <c r="A455" s="120" t="s">
        <v>4227</v>
      </c>
      <c r="B455" s="120" t="s">
        <v>3632</v>
      </c>
      <c r="C455" s="98" t="s">
        <v>3533</v>
      </c>
      <c r="D455" s="120" t="s">
        <v>3534</v>
      </c>
      <c r="E455" s="98">
        <v>0.36270000000000002</v>
      </c>
      <c r="F455" s="120">
        <v>0</v>
      </c>
      <c r="G455" s="121">
        <v>1095</v>
      </c>
      <c r="H455" s="123">
        <v>0.36270000000000002</v>
      </c>
      <c r="I455" s="122">
        <v>397.15650000000005</v>
      </c>
      <c r="J455" s="124">
        <f t="shared" si="7"/>
        <v>0.36270000000000002</v>
      </c>
      <c r="K455" s="98" t="s">
        <v>4228</v>
      </c>
    </row>
    <row r="456" spans="1:11" ht="15" customHeight="1" x14ac:dyDescent="0.2">
      <c r="A456" s="120" t="s">
        <v>4229</v>
      </c>
      <c r="B456" s="120" t="s">
        <v>3620</v>
      </c>
      <c r="C456" s="98" t="s">
        <v>3533</v>
      </c>
      <c r="D456" s="120" t="s">
        <v>3534</v>
      </c>
      <c r="E456" s="98">
        <v>0.126</v>
      </c>
      <c r="F456" s="120">
        <v>0</v>
      </c>
      <c r="G456" s="121">
        <v>0</v>
      </c>
      <c r="H456" s="123">
        <v>0.126</v>
      </c>
      <c r="I456" s="122">
        <v>0</v>
      </c>
      <c r="J456" s="124">
        <f t="shared" si="7"/>
        <v>0.126</v>
      </c>
      <c r="K456" s="98" t="s">
        <v>4230</v>
      </c>
    </row>
    <row r="457" spans="1:11" ht="15" customHeight="1" x14ac:dyDescent="0.2">
      <c r="A457" s="120" t="s">
        <v>4231</v>
      </c>
      <c r="B457" s="120" t="s">
        <v>3620</v>
      </c>
      <c r="C457" s="98" t="s">
        <v>3532</v>
      </c>
      <c r="D457" s="120" t="s">
        <v>3534</v>
      </c>
      <c r="E457" s="98">
        <v>8.8999999999999996E-2</v>
      </c>
      <c r="F457" s="120">
        <v>0</v>
      </c>
      <c r="G457" s="121">
        <v>31</v>
      </c>
      <c r="H457" s="123">
        <v>8.8999999999999996E-2</v>
      </c>
      <c r="I457" s="122">
        <v>2.7589999999999999</v>
      </c>
      <c r="J457" s="124">
        <f t="shared" si="7"/>
        <v>8.8999999999999996E-2</v>
      </c>
    </row>
    <row r="458" spans="1:11" ht="15" customHeight="1" x14ac:dyDescent="0.2">
      <c r="A458" s="120" t="s">
        <v>4232</v>
      </c>
      <c r="B458" s="120" t="s">
        <v>3632</v>
      </c>
      <c r="C458" s="98" t="s">
        <v>3533</v>
      </c>
      <c r="D458" s="120" t="s">
        <v>3534</v>
      </c>
      <c r="E458" s="98">
        <v>3.4000000000000002E-2</v>
      </c>
      <c r="F458" s="120">
        <v>0</v>
      </c>
      <c r="G458" s="121">
        <v>4695</v>
      </c>
      <c r="H458" s="123">
        <v>3.4000000000000002E-2</v>
      </c>
      <c r="I458" s="122">
        <v>159.63000000000002</v>
      </c>
      <c r="J458" s="124">
        <f t="shared" si="7"/>
        <v>3.4000000000000002E-2</v>
      </c>
      <c r="K458" s="98" t="s">
        <v>4233</v>
      </c>
    </row>
    <row r="459" spans="1:11" ht="15" customHeight="1" x14ac:dyDescent="0.2">
      <c r="A459" s="120" t="s">
        <v>4234</v>
      </c>
      <c r="B459" s="120" t="s">
        <v>4198</v>
      </c>
      <c r="C459" s="98" t="s">
        <v>3533</v>
      </c>
      <c r="D459" s="120" t="s">
        <v>3534</v>
      </c>
      <c r="E459" s="98">
        <v>4.4999999999999998E-2</v>
      </c>
      <c r="F459" s="120">
        <v>0</v>
      </c>
      <c r="G459" s="121">
        <v>8297</v>
      </c>
      <c r="H459" s="123">
        <v>4.4999999999999998E-2</v>
      </c>
      <c r="I459" s="122">
        <v>373.36500000000001</v>
      </c>
      <c r="J459" s="124">
        <f t="shared" si="7"/>
        <v>4.4999999999999998E-2</v>
      </c>
      <c r="K459" s="98" t="s">
        <v>4235</v>
      </c>
    </row>
    <row r="460" spans="1:11" ht="15" customHeight="1" x14ac:dyDescent="0.2">
      <c r="A460" s="120" t="s">
        <v>4236</v>
      </c>
      <c r="B460" s="120" t="s">
        <v>3692</v>
      </c>
      <c r="C460" s="98" t="s">
        <v>3533</v>
      </c>
      <c r="D460" s="120" t="s">
        <v>3534</v>
      </c>
      <c r="E460" s="98">
        <v>0.16500000000000001</v>
      </c>
      <c r="F460" s="120">
        <v>0</v>
      </c>
      <c r="G460" s="121">
        <v>8572</v>
      </c>
      <c r="H460" s="123">
        <v>0.16500000000000001</v>
      </c>
      <c r="I460" s="122">
        <v>1414.38</v>
      </c>
      <c r="J460" s="124">
        <f t="shared" si="7"/>
        <v>0.16500000000000001</v>
      </c>
    </row>
    <row r="461" spans="1:11" ht="15" customHeight="1" x14ac:dyDescent="0.2">
      <c r="A461" s="120" t="s">
        <v>4237</v>
      </c>
      <c r="B461" s="120" t="s">
        <v>3532</v>
      </c>
      <c r="C461" s="98" t="s">
        <v>3540</v>
      </c>
      <c r="D461" s="120" t="s">
        <v>3534</v>
      </c>
      <c r="E461" s="98">
        <v>0.04</v>
      </c>
      <c r="F461" s="120">
        <v>0</v>
      </c>
      <c r="G461" s="121">
        <v>0</v>
      </c>
      <c r="H461" s="123">
        <v>0.04</v>
      </c>
      <c r="I461" s="122">
        <v>0</v>
      </c>
      <c r="J461" s="124">
        <f t="shared" si="7"/>
        <v>0.04</v>
      </c>
    </row>
    <row r="462" spans="1:11" ht="15" customHeight="1" x14ac:dyDescent="0.2">
      <c r="A462" s="120" t="s">
        <v>4238</v>
      </c>
      <c r="B462" s="120" t="s">
        <v>3625</v>
      </c>
      <c r="C462" s="98" t="s">
        <v>3532</v>
      </c>
      <c r="D462" s="120" t="s">
        <v>3534</v>
      </c>
      <c r="E462" s="98">
        <v>0.26519999999999999</v>
      </c>
      <c r="F462" s="120">
        <v>0</v>
      </c>
      <c r="G462" s="121">
        <v>1740</v>
      </c>
      <c r="H462" s="123">
        <v>0.26519999999999999</v>
      </c>
      <c r="I462" s="122">
        <v>461.44799999999998</v>
      </c>
      <c r="J462" s="124">
        <f t="shared" si="7"/>
        <v>0.26519999999999999</v>
      </c>
    </row>
    <row r="463" spans="1:11" ht="15" customHeight="1" x14ac:dyDescent="0.2">
      <c r="A463" s="120" t="s">
        <v>4239</v>
      </c>
      <c r="B463" s="120" t="s">
        <v>3620</v>
      </c>
      <c r="C463" s="98" t="s">
        <v>3532</v>
      </c>
      <c r="D463" s="120" t="s">
        <v>3534</v>
      </c>
      <c r="E463" s="98">
        <v>0.15</v>
      </c>
      <c r="F463" s="120">
        <v>0</v>
      </c>
      <c r="G463" s="121">
        <v>0</v>
      </c>
      <c r="H463" s="123">
        <v>0.15</v>
      </c>
      <c r="I463" s="122">
        <v>0</v>
      </c>
      <c r="J463" s="124">
        <f t="shared" si="7"/>
        <v>0.15</v>
      </c>
    </row>
    <row r="464" spans="1:11" ht="15" customHeight="1" x14ac:dyDescent="0.2">
      <c r="A464" s="120" t="s">
        <v>4240</v>
      </c>
      <c r="B464" s="120" t="s">
        <v>3620</v>
      </c>
      <c r="C464" s="98" t="s">
        <v>3532</v>
      </c>
      <c r="D464" s="120" t="s">
        <v>3534</v>
      </c>
      <c r="E464" s="98">
        <v>4.2999999999999997E-2</v>
      </c>
      <c r="F464" s="120">
        <v>0</v>
      </c>
      <c r="G464" s="121">
        <v>2426</v>
      </c>
      <c r="H464" s="123">
        <v>4.2999999999999997E-2</v>
      </c>
      <c r="I464" s="122">
        <v>104.318</v>
      </c>
      <c r="J464" s="124">
        <f t="shared" si="7"/>
        <v>4.2999999999999997E-2</v>
      </c>
    </row>
    <row r="465" spans="1:11" ht="15" customHeight="1" x14ac:dyDescent="0.2">
      <c r="A465" s="120" t="s">
        <v>4241</v>
      </c>
      <c r="B465" s="120" t="s">
        <v>3532</v>
      </c>
      <c r="C465" s="98" t="s">
        <v>3532</v>
      </c>
      <c r="D465" s="120" t="s">
        <v>3534</v>
      </c>
      <c r="E465" s="98">
        <v>4.4999999999999998E-2</v>
      </c>
      <c r="F465" s="120">
        <v>0</v>
      </c>
      <c r="G465" s="121">
        <v>0</v>
      </c>
      <c r="H465" s="123">
        <v>4.4999999999999998E-2</v>
      </c>
      <c r="I465" s="122">
        <v>0</v>
      </c>
      <c r="J465" s="124">
        <f t="shared" si="7"/>
        <v>4.4999999999999998E-2</v>
      </c>
    </row>
    <row r="466" spans="1:11" ht="15" customHeight="1" x14ac:dyDescent="0.2">
      <c r="A466" s="120" t="s">
        <v>4242</v>
      </c>
      <c r="B466" s="120" t="s">
        <v>3632</v>
      </c>
      <c r="C466" s="98" t="s">
        <v>3533</v>
      </c>
      <c r="D466" s="120" t="s">
        <v>3534</v>
      </c>
      <c r="E466" s="98">
        <v>9.9993333333333406E-2</v>
      </c>
      <c r="F466" s="120">
        <v>0</v>
      </c>
      <c r="G466" s="121">
        <v>675</v>
      </c>
      <c r="H466" s="123">
        <v>9.9992999999999999E-2</v>
      </c>
      <c r="I466" s="122">
        <v>67.495274999999992</v>
      </c>
      <c r="J466" s="124">
        <f t="shared" si="7"/>
        <v>9.9993333333333406E-2</v>
      </c>
      <c r="K466" s="98" t="s">
        <v>4243</v>
      </c>
    </row>
    <row r="467" spans="1:11" ht="15" customHeight="1" x14ac:dyDescent="0.2">
      <c r="A467" s="120" t="s">
        <v>4244</v>
      </c>
      <c r="B467" s="120" t="s">
        <v>3620</v>
      </c>
      <c r="C467" s="98" t="s">
        <v>3533</v>
      </c>
      <c r="D467" s="120" t="s">
        <v>3534</v>
      </c>
      <c r="E467" s="98">
        <v>2.6749999999999999E-2</v>
      </c>
      <c r="F467" s="120">
        <v>0</v>
      </c>
      <c r="G467" s="121">
        <v>551</v>
      </c>
      <c r="H467" s="123">
        <v>2.6749999999999999E-2</v>
      </c>
      <c r="I467" s="122">
        <v>14.73925</v>
      </c>
      <c r="J467" s="124">
        <f t="shared" si="7"/>
        <v>2.6749999999999999E-2</v>
      </c>
      <c r="K467" s="98" t="s">
        <v>4245</v>
      </c>
    </row>
    <row r="468" spans="1:11" ht="15" customHeight="1" x14ac:dyDescent="0.2">
      <c r="A468" s="120" t="s">
        <v>4246</v>
      </c>
      <c r="B468" s="120" t="s">
        <v>3632</v>
      </c>
      <c r="C468" s="98" t="s">
        <v>3533</v>
      </c>
      <c r="D468" s="120" t="s">
        <v>3534</v>
      </c>
      <c r="E468" s="98">
        <v>6.4399999999999999E-2</v>
      </c>
      <c r="F468" s="120">
        <v>0</v>
      </c>
      <c r="G468" s="121">
        <v>1753</v>
      </c>
      <c r="H468" s="123">
        <v>6.4399999999999999E-2</v>
      </c>
      <c r="I468" s="122">
        <v>112.89319999999999</v>
      </c>
      <c r="J468" s="124">
        <f t="shared" si="7"/>
        <v>6.4399999999999999E-2</v>
      </c>
      <c r="K468" s="98" t="s">
        <v>4247</v>
      </c>
    </row>
    <row r="469" spans="1:11" ht="15" customHeight="1" x14ac:dyDescent="0.2">
      <c r="A469" s="120" t="s">
        <v>4248</v>
      </c>
      <c r="B469" s="120" t="s">
        <v>3620</v>
      </c>
      <c r="C469" s="98" t="s">
        <v>3540</v>
      </c>
      <c r="D469" s="120" t="s">
        <v>3534</v>
      </c>
      <c r="E469" s="98">
        <v>0.184</v>
      </c>
      <c r="F469" s="120">
        <v>0</v>
      </c>
      <c r="G469" s="121">
        <v>0</v>
      </c>
      <c r="H469" s="123">
        <v>0.184</v>
      </c>
      <c r="I469" s="122">
        <v>0</v>
      </c>
      <c r="J469" s="124">
        <f t="shared" si="7"/>
        <v>0.184</v>
      </c>
    </row>
    <row r="470" spans="1:11" ht="15" customHeight="1" x14ac:dyDescent="0.2">
      <c r="A470" s="120" t="s">
        <v>4249</v>
      </c>
      <c r="B470" s="120" t="s">
        <v>3620</v>
      </c>
      <c r="C470" s="98" t="s">
        <v>3540</v>
      </c>
      <c r="D470" s="120" t="s">
        <v>3534</v>
      </c>
      <c r="E470" s="98">
        <v>0.16900000000000001</v>
      </c>
      <c r="F470" s="120">
        <v>0</v>
      </c>
      <c r="G470" s="121">
        <v>0</v>
      </c>
      <c r="H470" s="123">
        <v>0.16900000000000001</v>
      </c>
      <c r="I470" s="122">
        <v>0</v>
      </c>
      <c r="J470" s="124">
        <f t="shared" si="7"/>
        <v>0.16900000000000001</v>
      </c>
    </row>
    <row r="471" spans="1:11" ht="15" customHeight="1" x14ac:dyDescent="0.2">
      <c r="A471" s="120" t="s">
        <v>4250</v>
      </c>
      <c r="B471" s="120" t="s">
        <v>3632</v>
      </c>
      <c r="C471" s="98" t="s">
        <v>3533</v>
      </c>
      <c r="D471" s="120" t="s">
        <v>3534</v>
      </c>
      <c r="E471" s="98">
        <v>6.6000000000000003E-2</v>
      </c>
      <c r="F471" s="120">
        <v>0</v>
      </c>
      <c r="G471" s="121">
        <v>3634</v>
      </c>
      <c r="H471" s="123">
        <v>6.6000000000000003E-2</v>
      </c>
      <c r="I471" s="122">
        <v>239.84400000000002</v>
      </c>
      <c r="J471" s="124">
        <f t="shared" si="7"/>
        <v>6.6000000000000003E-2</v>
      </c>
      <c r="K471" s="98" t="s">
        <v>4251</v>
      </c>
    </row>
    <row r="472" spans="1:11" ht="15" customHeight="1" x14ac:dyDescent="0.2">
      <c r="A472" s="120" t="s">
        <v>4252</v>
      </c>
      <c r="B472" s="120" t="s">
        <v>3632</v>
      </c>
      <c r="C472" s="98" t="s">
        <v>3533</v>
      </c>
      <c r="D472" s="120" t="s">
        <v>3534</v>
      </c>
      <c r="E472" s="98">
        <v>0.21</v>
      </c>
      <c r="F472" s="120">
        <v>0</v>
      </c>
      <c r="G472" s="121">
        <v>14248</v>
      </c>
      <c r="H472" s="123">
        <v>0.21</v>
      </c>
      <c r="I472" s="122">
        <v>2992.08</v>
      </c>
      <c r="J472" s="124">
        <f t="shared" si="7"/>
        <v>0.21</v>
      </c>
      <c r="K472" s="98" t="s">
        <v>4253</v>
      </c>
    </row>
    <row r="473" spans="1:11" ht="15" customHeight="1" x14ac:dyDescent="0.2">
      <c r="A473" s="120" t="s">
        <v>4254</v>
      </c>
      <c r="B473" s="120" t="s">
        <v>3632</v>
      </c>
      <c r="C473" s="98" t="s">
        <v>3533</v>
      </c>
      <c r="D473" s="120" t="s">
        <v>3534</v>
      </c>
      <c r="E473" s="98">
        <v>4.5400000000000003E-2</v>
      </c>
      <c r="F473" s="120">
        <v>0</v>
      </c>
      <c r="G473" s="121">
        <v>1896</v>
      </c>
      <c r="H473" s="123">
        <v>4.5400000000000003E-2</v>
      </c>
      <c r="I473" s="122">
        <v>86.078400000000002</v>
      </c>
      <c r="J473" s="124">
        <f t="shared" si="7"/>
        <v>4.5400000000000003E-2</v>
      </c>
      <c r="K473" s="98" t="s">
        <v>4255</v>
      </c>
    </row>
    <row r="474" spans="1:11" ht="15" customHeight="1" x14ac:dyDescent="0.2">
      <c r="A474" s="120" t="s">
        <v>4256</v>
      </c>
      <c r="B474" s="120" t="s">
        <v>3632</v>
      </c>
      <c r="C474" s="98" t="s">
        <v>3533</v>
      </c>
      <c r="D474" s="120" t="s">
        <v>3534</v>
      </c>
      <c r="E474" s="98">
        <v>5.6000000000000001E-2</v>
      </c>
      <c r="F474" s="120">
        <v>0</v>
      </c>
      <c r="G474" s="121">
        <v>0</v>
      </c>
      <c r="H474" s="123">
        <v>5.6000000000000001E-2</v>
      </c>
      <c r="I474" s="122">
        <v>0</v>
      </c>
      <c r="J474" s="124">
        <f t="shared" si="7"/>
        <v>5.6000000000000001E-2</v>
      </c>
      <c r="K474" s="98" t="s">
        <v>4257</v>
      </c>
    </row>
    <row r="475" spans="1:11" ht="15" customHeight="1" x14ac:dyDescent="0.2">
      <c r="A475" s="120" t="s">
        <v>4258</v>
      </c>
      <c r="B475" s="120" t="s">
        <v>3620</v>
      </c>
      <c r="C475" s="98" t="s">
        <v>3532</v>
      </c>
      <c r="D475" s="120" t="s">
        <v>3534</v>
      </c>
      <c r="E475" s="98">
        <v>0.151</v>
      </c>
      <c r="F475" s="120">
        <v>0</v>
      </c>
      <c r="G475" s="121">
        <v>0</v>
      </c>
      <c r="H475" s="123">
        <v>0.151</v>
      </c>
      <c r="I475" s="122">
        <v>0</v>
      </c>
      <c r="J475" s="124">
        <f t="shared" si="7"/>
        <v>0.151</v>
      </c>
    </row>
    <row r="476" spans="1:11" ht="15" customHeight="1" x14ac:dyDescent="0.2">
      <c r="A476" s="120" t="s">
        <v>4259</v>
      </c>
      <c r="B476" s="120" t="s">
        <v>3643</v>
      </c>
      <c r="C476" s="98" t="s">
        <v>3533</v>
      </c>
      <c r="D476" s="120" t="s">
        <v>3534</v>
      </c>
      <c r="E476" s="98">
        <v>0.14130000000000001</v>
      </c>
      <c r="F476" s="120">
        <v>0</v>
      </c>
      <c r="G476" s="121">
        <v>262</v>
      </c>
      <c r="H476" s="123">
        <v>0.14130000000000001</v>
      </c>
      <c r="I476" s="122">
        <v>37.020600000000002</v>
      </c>
      <c r="J476" s="124">
        <f t="shared" si="7"/>
        <v>0.14130000000000001</v>
      </c>
      <c r="K476" s="98" t="s">
        <v>4260</v>
      </c>
    </row>
    <row r="477" spans="1:11" ht="15" customHeight="1" x14ac:dyDescent="0.2">
      <c r="A477" s="120" t="s">
        <v>4261</v>
      </c>
      <c r="B477" s="120" t="s">
        <v>3620</v>
      </c>
      <c r="C477" s="98" t="s">
        <v>3533</v>
      </c>
      <c r="D477" s="120" t="s">
        <v>3534</v>
      </c>
      <c r="E477" s="98">
        <v>8.6249999999999993E-2</v>
      </c>
      <c r="F477" s="120">
        <v>0</v>
      </c>
      <c r="G477" s="121">
        <v>310</v>
      </c>
      <c r="H477" s="123">
        <v>8.6249999999999993E-2</v>
      </c>
      <c r="I477" s="122">
        <v>26.737499999999997</v>
      </c>
      <c r="J477" s="124">
        <f t="shared" si="7"/>
        <v>8.6249999999999993E-2</v>
      </c>
      <c r="K477" s="98" t="s">
        <v>4262</v>
      </c>
    </row>
    <row r="478" spans="1:11" ht="15" customHeight="1" x14ac:dyDescent="0.2">
      <c r="A478" s="120" t="s">
        <v>4263</v>
      </c>
      <c r="B478" s="120" t="s">
        <v>3620</v>
      </c>
      <c r="C478" s="98" t="s">
        <v>3533</v>
      </c>
      <c r="D478" s="120" t="s">
        <v>3534</v>
      </c>
      <c r="E478" s="98">
        <v>8.6249999999999993E-2</v>
      </c>
      <c r="F478" s="120">
        <v>0</v>
      </c>
      <c r="G478" s="121">
        <v>1395</v>
      </c>
      <c r="H478" s="123">
        <v>8.6249999999999993E-2</v>
      </c>
      <c r="I478" s="122">
        <v>120.31874999999999</v>
      </c>
      <c r="J478" s="124">
        <f t="shared" si="7"/>
        <v>8.6249999999999993E-2</v>
      </c>
      <c r="K478" s="98" t="s">
        <v>4264</v>
      </c>
    </row>
    <row r="479" spans="1:11" ht="15" customHeight="1" x14ac:dyDescent="0.2">
      <c r="A479" s="120" t="s">
        <v>4265</v>
      </c>
      <c r="B479" s="120" t="s">
        <v>3620</v>
      </c>
      <c r="C479" s="98" t="s">
        <v>3533</v>
      </c>
      <c r="D479" s="120" t="s">
        <v>3534</v>
      </c>
      <c r="E479" s="98">
        <v>4.3999999999999997E-2</v>
      </c>
      <c r="F479" s="120">
        <v>0</v>
      </c>
      <c r="G479" s="121">
        <v>1746</v>
      </c>
      <c r="H479" s="123">
        <v>4.3999999999999997E-2</v>
      </c>
      <c r="I479" s="122">
        <v>76.823999999999998</v>
      </c>
      <c r="J479" s="124">
        <f t="shared" si="7"/>
        <v>4.3999999999999997E-2</v>
      </c>
      <c r="K479" s="98" t="s">
        <v>4266</v>
      </c>
    </row>
    <row r="480" spans="1:11" ht="15" customHeight="1" x14ac:dyDescent="0.2">
      <c r="A480" s="120" t="s">
        <v>4267</v>
      </c>
      <c r="B480" s="120" t="s">
        <v>3620</v>
      </c>
      <c r="C480" s="98" t="s">
        <v>3533</v>
      </c>
      <c r="D480" s="120" t="s">
        <v>3534</v>
      </c>
      <c r="E480" s="98">
        <v>6.5000000000000002E-2</v>
      </c>
      <c r="F480" s="120">
        <v>0</v>
      </c>
      <c r="G480" s="121">
        <v>4170</v>
      </c>
      <c r="H480" s="123">
        <v>6.5000000000000002E-2</v>
      </c>
      <c r="I480" s="122">
        <v>271.05</v>
      </c>
      <c r="J480" s="124">
        <f t="shared" si="7"/>
        <v>6.5000000000000002E-2</v>
      </c>
      <c r="K480" s="98" t="s">
        <v>4268</v>
      </c>
    </row>
    <row r="481" spans="1:11" ht="15" customHeight="1" x14ac:dyDescent="0.2">
      <c r="A481" s="120" t="s">
        <v>4269</v>
      </c>
      <c r="B481" s="120" t="s">
        <v>3620</v>
      </c>
      <c r="C481" s="98" t="s">
        <v>3533</v>
      </c>
      <c r="D481" s="120" t="s">
        <v>3534</v>
      </c>
      <c r="E481" s="98">
        <v>0.23499999999999999</v>
      </c>
      <c r="F481" s="120">
        <v>0</v>
      </c>
      <c r="G481" s="121">
        <v>287</v>
      </c>
      <c r="H481" s="123">
        <v>0.23499999999999999</v>
      </c>
      <c r="I481" s="122">
        <v>67.444999999999993</v>
      </c>
      <c r="J481" s="124">
        <f t="shared" si="7"/>
        <v>0.23499999999999999</v>
      </c>
      <c r="K481" s="98" t="s">
        <v>4270</v>
      </c>
    </row>
    <row r="482" spans="1:11" ht="15" customHeight="1" x14ac:dyDescent="0.2">
      <c r="A482" s="120" t="s">
        <v>4271</v>
      </c>
      <c r="B482" s="120" t="s">
        <v>3632</v>
      </c>
      <c r="C482" s="98" t="s">
        <v>3533</v>
      </c>
      <c r="D482" s="120" t="s">
        <v>3534</v>
      </c>
      <c r="E482" s="98">
        <v>0.16800000000000001</v>
      </c>
      <c r="F482" s="120">
        <v>0</v>
      </c>
      <c r="G482" s="121">
        <v>0</v>
      </c>
      <c r="H482" s="123">
        <v>0.16800000000000001</v>
      </c>
      <c r="I482" s="122">
        <v>0</v>
      </c>
      <c r="J482" s="124">
        <f t="shared" si="7"/>
        <v>0.16800000000000001</v>
      </c>
      <c r="K482" s="98" t="s">
        <v>4272</v>
      </c>
    </row>
    <row r="483" spans="1:11" ht="15" customHeight="1" x14ac:dyDescent="0.2">
      <c r="A483" s="120" t="s">
        <v>4273</v>
      </c>
      <c r="B483" s="120" t="s">
        <v>3632</v>
      </c>
      <c r="C483" s="98" t="s">
        <v>3533</v>
      </c>
      <c r="D483" s="120" t="s">
        <v>3534</v>
      </c>
      <c r="E483" s="98">
        <v>6.3960000000000003E-2</v>
      </c>
      <c r="F483" s="120">
        <v>0</v>
      </c>
      <c r="G483" s="121">
        <v>4243</v>
      </c>
      <c r="H483" s="123">
        <v>6.3960000000000003E-2</v>
      </c>
      <c r="I483" s="122">
        <v>271.38228000000004</v>
      </c>
      <c r="J483" s="124">
        <f t="shared" si="7"/>
        <v>6.3960000000000003E-2</v>
      </c>
      <c r="K483" s="98" t="s">
        <v>4274</v>
      </c>
    </row>
    <row r="484" spans="1:11" ht="15" customHeight="1" x14ac:dyDescent="0.2">
      <c r="A484" s="120" t="s">
        <v>4275</v>
      </c>
      <c r="B484" s="120" t="s">
        <v>3620</v>
      </c>
      <c r="C484" s="98" t="s">
        <v>3533</v>
      </c>
      <c r="D484" s="120" t="s">
        <v>3534</v>
      </c>
      <c r="E484" s="98">
        <v>0.215</v>
      </c>
      <c r="F484" s="120">
        <v>0</v>
      </c>
      <c r="G484" s="121">
        <v>1231</v>
      </c>
      <c r="H484" s="123">
        <v>0.215</v>
      </c>
      <c r="I484" s="122">
        <v>264.66500000000002</v>
      </c>
      <c r="J484" s="124">
        <f t="shared" si="7"/>
        <v>0.215</v>
      </c>
      <c r="K484" s="98" t="s">
        <v>4276</v>
      </c>
    </row>
    <row r="485" spans="1:11" ht="15" customHeight="1" x14ac:dyDescent="0.2">
      <c r="A485" s="120" t="s">
        <v>4277</v>
      </c>
      <c r="B485" s="120" t="s">
        <v>3643</v>
      </c>
      <c r="C485" s="98" t="s">
        <v>3533</v>
      </c>
      <c r="D485" s="120" t="s">
        <v>3534</v>
      </c>
      <c r="E485" s="98">
        <v>6.88E-2</v>
      </c>
      <c r="F485" s="120">
        <v>0</v>
      </c>
      <c r="G485" s="121">
        <v>0</v>
      </c>
      <c r="H485" s="123">
        <v>6.88E-2</v>
      </c>
      <c r="I485" s="122">
        <v>0</v>
      </c>
      <c r="J485" s="124">
        <f t="shared" si="7"/>
        <v>6.88E-2</v>
      </c>
      <c r="K485" s="98" t="s">
        <v>4278</v>
      </c>
    </row>
    <row r="486" spans="1:11" ht="15" customHeight="1" x14ac:dyDescent="0.2">
      <c r="A486" s="120" t="s">
        <v>4279</v>
      </c>
      <c r="B486" s="120" t="s">
        <v>3632</v>
      </c>
      <c r="C486" s="98" t="s">
        <v>3533</v>
      </c>
      <c r="D486" s="120" t="s">
        <v>3534</v>
      </c>
      <c r="E486" s="98">
        <v>8.6999999999999994E-2</v>
      </c>
      <c r="F486" s="120">
        <v>0</v>
      </c>
      <c r="G486" s="121">
        <v>2450</v>
      </c>
      <c r="H486" s="123">
        <v>8.6999999999999994E-2</v>
      </c>
      <c r="I486" s="122">
        <v>213.14999999999998</v>
      </c>
      <c r="J486" s="124">
        <f t="shared" si="7"/>
        <v>8.6999999999999994E-2</v>
      </c>
      <c r="K486" s="98" t="s">
        <v>4280</v>
      </c>
    </row>
    <row r="487" spans="1:11" ht="15" customHeight="1" x14ac:dyDescent="0.2">
      <c r="A487" s="120" t="s">
        <v>4281</v>
      </c>
      <c r="B487" s="120" t="s">
        <v>3632</v>
      </c>
      <c r="C487" s="98" t="s">
        <v>3533</v>
      </c>
      <c r="D487" s="120" t="s">
        <v>3534</v>
      </c>
      <c r="E487" s="98">
        <v>0.16316</v>
      </c>
      <c r="F487" s="120">
        <v>10000</v>
      </c>
      <c r="G487" s="121">
        <v>135754</v>
      </c>
      <c r="H487" s="123">
        <v>0.16316</v>
      </c>
      <c r="I487" s="122">
        <v>22149.622640000001</v>
      </c>
      <c r="J487" s="124">
        <f t="shared" si="7"/>
        <v>0.16316</v>
      </c>
      <c r="K487" s="98" t="s">
        <v>4282</v>
      </c>
    </row>
    <row r="488" spans="1:11" ht="15" customHeight="1" x14ac:dyDescent="0.2">
      <c r="A488" s="120" t="s">
        <v>4283</v>
      </c>
      <c r="B488" s="120" t="s">
        <v>3643</v>
      </c>
      <c r="C488" s="98" t="s">
        <v>3540</v>
      </c>
      <c r="D488" s="120" t="s">
        <v>3534</v>
      </c>
      <c r="E488" s="98">
        <v>0.19500000000000001</v>
      </c>
      <c r="F488" s="120">
        <v>0</v>
      </c>
      <c r="G488" s="121">
        <v>0</v>
      </c>
      <c r="H488" s="123">
        <v>0.19500000000000001</v>
      </c>
      <c r="I488" s="122">
        <v>0</v>
      </c>
      <c r="J488" s="124">
        <f t="shared" si="7"/>
        <v>0.19500000000000001</v>
      </c>
    </row>
    <row r="489" spans="1:11" ht="15" customHeight="1" x14ac:dyDescent="0.2">
      <c r="A489" s="120" t="s">
        <v>4284</v>
      </c>
      <c r="B489" s="120" t="s">
        <v>3632</v>
      </c>
      <c r="C489" s="98" t="s">
        <v>3533</v>
      </c>
      <c r="D489" s="120" t="s">
        <v>3534</v>
      </c>
      <c r="E489" s="98">
        <v>5.1999999999999998E-2</v>
      </c>
      <c r="F489" s="120">
        <v>0</v>
      </c>
      <c r="G489" s="121">
        <v>4900</v>
      </c>
      <c r="H489" s="123">
        <v>5.1999999999999998E-2</v>
      </c>
      <c r="I489" s="122">
        <v>254.79999999999998</v>
      </c>
      <c r="J489" s="124">
        <f t="shared" si="7"/>
        <v>5.1999999999999998E-2</v>
      </c>
      <c r="K489" s="98" t="s">
        <v>4285</v>
      </c>
    </row>
    <row r="490" spans="1:11" ht="15" customHeight="1" x14ac:dyDescent="0.2">
      <c r="A490" s="120" t="s">
        <v>4286</v>
      </c>
      <c r="B490" s="120" t="s">
        <v>3620</v>
      </c>
      <c r="C490" s="98" t="s">
        <v>3533</v>
      </c>
      <c r="D490" s="120" t="s">
        <v>3534</v>
      </c>
      <c r="E490" s="98">
        <v>3.5000000000000003E-2</v>
      </c>
      <c r="F490" s="120">
        <v>0</v>
      </c>
      <c r="G490" s="121">
        <v>21000</v>
      </c>
      <c r="H490" s="123">
        <v>3.5000000000000003E-2</v>
      </c>
      <c r="I490" s="122">
        <v>735.00000000000011</v>
      </c>
      <c r="J490" s="124">
        <f t="shared" si="7"/>
        <v>3.5000000000000003E-2</v>
      </c>
      <c r="K490" s="98" t="s">
        <v>4287</v>
      </c>
    </row>
    <row r="491" spans="1:11" ht="15" customHeight="1" x14ac:dyDescent="0.2">
      <c r="A491" s="120" t="s">
        <v>4288</v>
      </c>
      <c r="B491" s="120" t="s">
        <v>3532</v>
      </c>
      <c r="C491" s="98" t="s">
        <v>3533</v>
      </c>
      <c r="D491" s="120" t="s">
        <v>3534</v>
      </c>
      <c r="E491" s="98">
        <v>0</v>
      </c>
      <c r="F491" s="120">
        <v>0</v>
      </c>
      <c r="G491" s="121">
        <v>1460</v>
      </c>
      <c r="H491" s="123">
        <v>0</v>
      </c>
      <c r="I491" s="122">
        <v>0</v>
      </c>
      <c r="J491" s="124">
        <f t="shared" si="7"/>
        <v>0</v>
      </c>
    </row>
    <row r="492" spans="1:11" ht="15" customHeight="1" x14ac:dyDescent="0.2">
      <c r="A492" s="120" t="s">
        <v>4289</v>
      </c>
      <c r="B492" s="120" t="s">
        <v>4290</v>
      </c>
      <c r="C492" s="98" t="s">
        <v>3533</v>
      </c>
      <c r="D492" s="120" t="s">
        <v>3534</v>
      </c>
      <c r="E492" s="98">
        <v>0.27</v>
      </c>
      <c r="F492" s="120">
        <v>0</v>
      </c>
      <c r="G492" s="121">
        <v>2286</v>
      </c>
      <c r="H492" s="123">
        <v>0.27</v>
      </c>
      <c r="I492" s="122">
        <v>617.22</v>
      </c>
      <c r="J492" s="124">
        <f t="shared" si="7"/>
        <v>0.27</v>
      </c>
      <c r="K492" s="98" t="s">
        <v>4291</v>
      </c>
    </row>
    <row r="493" spans="1:11" ht="15" customHeight="1" x14ac:dyDescent="0.2">
      <c r="A493" s="120" t="s">
        <v>4292</v>
      </c>
      <c r="B493" s="120" t="s">
        <v>3632</v>
      </c>
      <c r="C493" s="98" t="s">
        <v>3533</v>
      </c>
      <c r="D493" s="120" t="s">
        <v>3534</v>
      </c>
      <c r="E493" s="98">
        <v>7.7399999999999997E-2</v>
      </c>
      <c r="F493" s="120">
        <v>0</v>
      </c>
      <c r="G493" s="121">
        <v>1279</v>
      </c>
      <c r="H493" s="123">
        <v>7.7399999999999997E-2</v>
      </c>
      <c r="I493" s="122">
        <v>98.994599999999991</v>
      </c>
      <c r="J493" s="124">
        <f t="shared" si="7"/>
        <v>7.7399999999999997E-2</v>
      </c>
      <c r="K493" s="98" t="s">
        <v>4293</v>
      </c>
    </row>
    <row r="494" spans="1:11" ht="15" customHeight="1" x14ac:dyDescent="0.2">
      <c r="A494" s="120" t="s">
        <v>4294</v>
      </c>
      <c r="B494" s="120" t="s">
        <v>3620</v>
      </c>
      <c r="C494" s="98" t="s">
        <v>3533</v>
      </c>
      <c r="D494" s="120" t="s">
        <v>3534</v>
      </c>
      <c r="E494" s="98">
        <v>0.22500000000000001</v>
      </c>
      <c r="F494" s="120">
        <v>8000</v>
      </c>
      <c r="G494" s="121">
        <v>37471</v>
      </c>
      <c r="H494" s="123">
        <v>0.22500000000000001</v>
      </c>
      <c r="I494" s="122">
        <v>8430.9750000000004</v>
      </c>
      <c r="J494" s="124">
        <f t="shared" si="7"/>
        <v>0.22500000000000001</v>
      </c>
    </row>
    <row r="495" spans="1:11" ht="15" customHeight="1" x14ac:dyDescent="0.2">
      <c r="A495" s="120" t="s">
        <v>4295</v>
      </c>
      <c r="B495" s="120" t="s">
        <v>3620</v>
      </c>
      <c r="C495" s="98" t="s">
        <v>3533</v>
      </c>
      <c r="D495" s="120" t="s">
        <v>3534</v>
      </c>
      <c r="E495" s="98">
        <v>0.219</v>
      </c>
      <c r="F495" s="120">
        <v>0</v>
      </c>
      <c r="G495" s="121">
        <v>1190</v>
      </c>
      <c r="H495" s="123">
        <v>0.219</v>
      </c>
      <c r="I495" s="122">
        <v>260.61</v>
      </c>
      <c r="J495" s="124">
        <f t="shared" si="7"/>
        <v>0.219</v>
      </c>
    </row>
    <row r="496" spans="1:11" ht="15" customHeight="1" x14ac:dyDescent="0.2">
      <c r="A496" s="120" t="s">
        <v>4296</v>
      </c>
      <c r="B496" s="120" t="s">
        <v>3620</v>
      </c>
      <c r="C496" s="98" t="s">
        <v>3533</v>
      </c>
      <c r="D496" s="120" t="s">
        <v>3534</v>
      </c>
      <c r="E496" s="98">
        <v>0.219</v>
      </c>
      <c r="F496" s="120">
        <v>0</v>
      </c>
      <c r="G496" s="121">
        <v>498</v>
      </c>
      <c r="H496" s="123">
        <v>0.219</v>
      </c>
      <c r="I496" s="122">
        <v>109.062</v>
      </c>
      <c r="J496" s="124">
        <f t="shared" si="7"/>
        <v>0.219</v>
      </c>
    </row>
    <row r="497" spans="1:11" ht="15" customHeight="1" x14ac:dyDescent="0.2">
      <c r="A497" s="120" t="s">
        <v>4297</v>
      </c>
      <c r="B497" s="120" t="s">
        <v>3620</v>
      </c>
      <c r="C497" s="98" t="s">
        <v>3533</v>
      </c>
      <c r="D497" s="120" t="s">
        <v>3534</v>
      </c>
      <c r="E497" s="98">
        <v>0.219</v>
      </c>
      <c r="F497" s="120">
        <v>0</v>
      </c>
      <c r="G497" s="121">
        <v>13186</v>
      </c>
      <c r="H497" s="123">
        <v>0.219</v>
      </c>
      <c r="I497" s="122">
        <v>2887.7339999999999</v>
      </c>
      <c r="J497" s="124">
        <f t="shared" si="7"/>
        <v>0.219</v>
      </c>
    </row>
    <row r="498" spans="1:11" ht="15" customHeight="1" x14ac:dyDescent="0.2">
      <c r="A498" s="120" t="s">
        <v>4298</v>
      </c>
      <c r="B498" s="120" t="s">
        <v>3532</v>
      </c>
      <c r="C498" s="98" t="s">
        <v>3533</v>
      </c>
      <c r="D498" s="120" t="s">
        <v>3534</v>
      </c>
      <c r="E498" s="98">
        <v>0.219</v>
      </c>
      <c r="F498" s="120">
        <v>0</v>
      </c>
      <c r="G498" s="121">
        <v>3898</v>
      </c>
      <c r="H498" s="123">
        <v>0.219</v>
      </c>
      <c r="I498" s="122">
        <v>853.66200000000003</v>
      </c>
      <c r="J498" s="124">
        <f t="shared" si="7"/>
        <v>0.219</v>
      </c>
    </row>
    <row r="499" spans="1:11" ht="15" customHeight="1" x14ac:dyDescent="0.2">
      <c r="A499" s="120" t="s">
        <v>4299</v>
      </c>
      <c r="B499" s="120" t="s">
        <v>3532</v>
      </c>
      <c r="C499" s="98" t="s">
        <v>3532</v>
      </c>
      <c r="D499" s="120" t="s">
        <v>3534</v>
      </c>
      <c r="E499" s="98">
        <v>0</v>
      </c>
      <c r="F499" s="120">
        <v>0</v>
      </c>
      <c r="G499" s="121">
        <v>0</v>
      </c>
      <c r="H499" s="123">
        <v>0</v>
      </c>
      <c r="I499" s="122">
        <v>0</v>
      </c>
      <c r="J499" s="124">
        <f t="shared" si="7"/>
        <v>0</v>
      </c>
    </row>
    <row r="500" spans="1:11" ht="15" customHeight="1" x14ac:dyDescent="0.2">
      <c r="A500" s="120" t="s">
        <v>4300</v>
      </c>
      <c r="B500" s="120" t="s">
        <v>3620</v>
      </c>
      <c r="C500" s="98" t="s">
        <v>3533</v>
      </c>
      <c r="D500" s="120" t="s">
        <v>3534</v>
      </c>
      <c r="E500" s="98">
        <v>0.19500000000000001</v>
      </c>
      <c r="F500" s="120">
        <v>40000</v>
      </c>
      <c r="G500" s="121">
        <v>66487</v>
      </c>
      <c r="H500" s="123">
        <v>0.195544</v>
      </c>
      <c r="I500" s="122">
        <v>13001.133927999999</v>
      </c>
      <c r="J500" s="124">
        <f t="shared" si="7"/>
        <v>0.19500000000000001</v>
      </c>
      <c r="K500" s="98" t="s">
        <v>4301</v>
      </c>
    </row>
    <row r="501" spans="1:11" ht="15" customHeight="1" x14ac:dyDescent="0.2">
      <c r="A501" s="120" t="s">
        <v>4302</v>
      </c>
      <c r="B501" s="120" t="s">
        <v>3632</v>
      </c>
      <c r="C501" s="98" t="s">
        <v>3533</v>
      </c>
      <c r="D501" s="120" t="s">
        <v>3534</v>
      </c>
      <c r="E501" s="98">
        <v>3.2000000000000001E-2</v>
      </c>
      <c r="F501" s="120">
        <v>0</v>
      </c>
      <c r="G501" s="121">
        <v>323</v>
      </c>
      <c r="H501" s="123">
        <v>3.2000000000000001E-2</v>
      </c>
      <c r="I501" s="122">
        <v>10.336</v>
      </c>
      <c r="J501" s="124">
        <f t="shared" si="7"/>
        <v>3.2000000000000001E-2</v>
      </c>
      <c r="K501" s="98" t="s">
        <v>4303</v>
      </c>
    </row>
    <row r="502" spans="1:11" ht="15" customHeight="1" x14ac:dyDescent="0.2">
      <c r="A502" s="120" t="s">
        <v>4304</v>
      </c>
      <c r="B502" s="120" t="s">
        <v>3620</v>
      </c>
      <c r="C502" s="98" t="s">
        <v>3533</v>
      </c>
      <c r="D502" s="120" t="s">
        <v>3534</v>
      </c>
      <c r="E502" s="98">
        <v>0.185</v>
      </c>
      <c r="F502" s="120">
        <v>0</v>
      </c>
      <c r="G502" s="121">
        <v>1530</v>
      </c>
      <c r="H502" s="123">
        <v>0.185</v>
      </c>
      <c r="I502" s="122">
        <v>283.05</v>
      </c>
      <c r="J502" s="124">
        <f t="shared" si="7"/>
        <v>0.185</v>
      </c>
    </row>
    <row r="503" spans="1:11" ht="15" customHeight="1" x14ac:dyDescent="0.2">
      <c r="A503" s="120" t="s">
        <v>4305</v>
      </c>
      <c r="B503" s="120" t="s">
        <v>3620</v>
      </c>
      <c r="C503" s="98" t="s">
        <v>3533</v>
      </c>
      <c r="D503" s="120" t="s">
        <v>3534</v>
      </c>
      <c r="E503" s="98">
        <v>0.155</v>
      </c>
      <c r="F503" s="120">
        <v>0</v>
      </c>
      <c r="G503" s="121">
        <v>1401</v>
      </c>
      <c r="H503" s="123">
        <v>0.155</v>
      </c>
      <c r="I503" s="122">
        <v>217.155</v>
      </c>
      <c r="J503" s="124">
        <f t="shared" si="7"/>
        <v>0.155</v>
      </c>
    </row>
    <row r="504" spans="1:11" ht="15" customHeight="1" x14ac:dyDescent="0.2">
      <c r="A504" s="120" t="s">
        <v>4306</v>
      </c>
      <c r="B504" s="120" t="s">
        <v>3632</v>
      </c>
      <c r="C504" s="98" t="s">
        <v>3540</v>
      </c>
      <c r="D504" s="120" t="s">
        <v>3534</v>
      </c>
      <c r="E504" s="98">
        <v>9.5000000000000001E-2</v>
      </c>
      <c r="F504" s="120">
        <v>0</v>
      </c>
      <c r="G504" s="121">
        <v>0</v>
      </c>
      <c r="H504" s="123">
        <v>9.5000000000000001E-2</v>
      </c>
      <c r="I504" s="122">
        <v>0</v>
      </c>
      <c r="J504" s="124">
        <f t="shared" si="7"/>
        <v>9.5000000000000001E-2</v>
      </c>
    </row>
    <row r="505" spans="1:11" ht="15" customHeight="1" x14ac:dyDescent="0.2">
      <c r="A505" s="120" t="s">
        <v>4307</v>
      </c>
      <c r="B505" s="120" t="s">
        <v>3620</v>
      </c>
      <c r="C505" s="98" t="s">
        <v>3533</v>
      </c>
      <c r="D505" s="120" t="s">
        <v>3534</v>
      </c>
      <c r="E505" s="98">
        <v>0.219</v>
      </c>
      <c r="F505" s="120">
        <v>25000</v>
      </c>
      <c r="G505" s="121">
        <v>70741</v>
      </c>
      <c r="H505" s="123">
        <v>0.219</v>
      </c>
      <c r="I505" s="122">
        <v>15492.279</v>
      </c>
      <c r="J505" s="124">
        <f t="shared" si="7"/>
        <v>0.219</v>
      </c>
      <c r="K505" s="98" t="s">
        <v>4308</v>
      </c>
    </row>
    <row r="506" spans="1:11" ht="15" customHeight="1" x14ac:dyDescent="0.2">
      <c r="A506" s="120" t="s">
        <v>4309</v>
      </c>
      <c r="B506" s="120" t="s">
        <v>3532</v>
      </c>
      <c r="C506" s="98" t="s">
        <v>3540</v>
      </c>
      <c r="D506" s="120" t="s">
        <v>3534</v>
      </c>
      <c r="E506" s="98">
        <v>0.18615000000000001</v>
      </c>
      <c r="F506" s="120">
        <v>0</v>
      </c>
      <c r="G506" s="121">
        <v>0</v>
      </c>
      <c r="H506" s="123">
        <v>0.18615000000000001</v>
      </c>
      <c r="I506" s="122">
        <v>0</v>
      </c>
      <c r="J506" s="124">
        <f t="shared" si="7"/>
        <v>0.18615000000000001</v>
      </c>
    </row>
    <row r="507" spans="1:11" ht="15" customHeight="1" x14ac:dyDescent="0.2">
      <c r="A507" s="120" t="s">
        <v>4310</v>
      </c>
      <c r="B507" s="120" t="s">
        <v>3620</v>
      </c>
      <c r="C507" s="98" t="s">
        <v>3533</v>
      </c>
      <c r="D507" s="120" t="s">
        <v>3534</v>
      </c>
      <c r="E507" s="98">
        <v>0.155</v>
      </c>
      <c r="F507" s="120">
        <v>0</v>
      </c>
      <c r="G507" s="121">
        <v>9557</v>
      </c>
      <c r="H507" s="123">
        <v>0.155</v>
      </c>
      <c r="I507" s="122">
        <v>1481.335</v>
      </c>
      <c r="J507" s="124">
        <f t="shared" si="7"/>
        <v>0.155</v>
      </c>
      <c r="K507" s="98" t="s">
        <v>4311</v>
      </c>
    </row>
    <row r="508" spans="1:11" ht="15" customHeight="1" x14ac:dyDescent="0.2">
      <c r="A508" s="120" t="s">
        <v>4312</v>
      </c>
      <c r="B508" s="120" t="s">
        <v>3632</v>
      </c>
      <c r="C508" s="98" t="s">
        <v>3533</v>
      </c>
      <c r="D508" s="120" t="s">
        <v>3534</v>
      </c>
      <c r="E508" s="98">
        <v>0.252</v>
      </c>
      <c r="F508" s="120">
        <v>0</v>
      </c>
      <c r="G508" s="121">
        <v>263</v>
      </c>
      <c r="H508" s="123">
        <v>0.252</v>
      </c>
      <c r="I508" s="122">
        <v>66.275999999999996</v>
      </c>
      <c r="J508" s="124">
        <f t="shared" si="7"/>
        <v>0.252</v>
      </c>
      <c r="K508" s="98" t="s">
        <v>4313</v>
      </c>
    </row>
    <row r="509" spans="1:11" ht="15" customHeight="1" x14ac:dyDescent="0.2">
      <c r="A509" s="120" t="s">
        <v>4314</v>
      </c>
      <c r="B509" s="120" t="s">
        <v>3620</v>
      </c>
      <c r="C509" s="98" t="s">
        <v>3533</v>
      </c>
      <c r="D509" s="120" t="s">
        <v>3534</v>
      </c>
      <c r="E509" s="98">
        <v>0</v>
      </c>
      <c r="F509" s="120">
        <v>0</v>
      </c>
      <c r="G509" s="121">
        <v>223</v>
      </c>
      <c r="H509" s="123">
        <v>0</v>
      </c>
      <c r="I509" s="122">
        <v>0</v>
      </c>
      <c r="J509" s="124">
        <f t="shared" si="7"/>
        <v>0</v>
      </c>
      <c r="K509" s="98" t="s">
        <v>4315</v>
      </c>
    </row>
    <row r="510" spans="1:11" ht="15" customHeight="1" x14ac:dyDescent="0.2">
      <c r="A510" s="120" t="s">
        <v>4316</v>
      </c>
      <c r="B510" s="120" t="s">
        <v>4290</v>
      </c>
      <c r="C510" s="98" t="s">
        <v>3533</v>
      </c>
      <c r="D510" s="120" t="s">
        <v>3534</v>
      </c>
      <c r="E510" s="98">
        <v>0.27</v>
      </c>
      <c r="F510" s="120">
        <v>0</v>
      </c>
      <c r="G510" s="121">
        <v>5321</v>
      </c>
      <c r="H510" s="123">
        <v>0.27</v>
      </c>
      <c r="I510" s="122">
        <v>1436.67</v>
      </c>
      <c r="J510" s="124">
        <f t="shared" si="7"/>
        <v>0.27</v>
      </c>
      <c r="K510" s="98" t="s">
        <v>4317</v>
      </c>
    </row>
    <row r="511" spans="1:11" ht="15" customHeight="1" x14ac:dyDescent="0.2">
      <c r="A511" s="120" t="s">
        <v>4318</v>
      </c>
      <c r="B511" s="120" t="s">
        <v>3629</v>
      </c>
      <c r="C511" s="98" t="s">
        <v>3533</v>
      </c>
      <c r="D511" s="120" t="s">
        <v>3534</v>
      </c>
      <c r="E511" s="98">
        <v>0.30376999999999998</v>
      </c>
      <c r="F511" s="120">
        <v>0</v>
      </c>
      <c r="G511" s="121">
        <v>716</v>
      </c>
      <c r="H511" s="123">
        <v>0.30376999999999998</v>
      </c>
      <c r="I511" s="122">
        <v>217.49931999999998</v>
      </c>
      <c r="J511" s="124">
        <f t="shared" si="7"/>
        <v>0.30376999999999998</v>
      </c>
      <c r="K511" s="98" t="s">
        <v>4319</v>
      </c>
    </row>
    <row r="512" spans="1:11" ht="15" customHeight="1" x14ac:dyDescent="0.2">
      <c r="A512" s="120" t="s">
        <v>4320</v>
      </c>
      <c r="B512" s="120" t="s">
        <v>3620</v>
      </c>
      <c r="C512" s="98" t="s">
        <v>3533</v>
      </c>
      <c r="D512" s="120" t="s">
        <v>3534</v>
      </c>
      <c r="E512" s="98">
        <v>0.129</v>
      </c>
      <c r="F512" s="120">
        <v>0</v>
      </c>
      <c r="G512" s="121">
        <v>7454</v>
      </c>
      <c r="H512" s="123">
        <v>0.129</v>
      </c>
      <c r="I512" s="122">
        <v>961.56600000000003</v>
      </c>
      <c r="J512" s="124">
        <f t="shared" si="7"/>
        <v>0.129</v>
      </c>
      <c r="K512" s="98" t="s">
        <v>4321</v>
      </c>
    </row>
    <row r="513" spans="1:11" ht="15" customHeight="1" x14ac:dyDescent="0.2">
      <c r="A513" s="120" t="s">
        <v>4322</v>
      </c>
      <c r="B513" s="120" t="s">
        <v>3620</v>
      </c>
      <c r="C513" s="98" t="s">
        <v>3533</v>
      </c>
      <c r="D513" s="120" t="s">
        <v>3534</v>
      </c>
      <c r="E513" s="98">
        <v>7.7499999999999999E-2</v>
      </c>
      <c r="F513" s="120">
        <v>0</v>
      </c>
      <c r="G513" s="121">
        <v>5000</v>
      </c>
      <c r="H513" s="123">
        <v>7.7499999999999999E-2</v>
      </c>
      <c r="I513" s="122">
        <v>387.5</v>
      </c>
      <c r="J513" s="124">
        <f t="shared" si="7"/>
        <v>7.7499999999999999E-2</v>
      </c>
    </row>
    <row r="514" spans="1:11" ht="15" customHeight="1" x14ac:dyDescent="0.2">
      <c r="A514" s="120" t="s">
        <v>4323</v>
      </c>
      <c r="B514" s="120" t="s">
        <v>3671</v>
      </c>
      <c r="C514" s="98" t="s">
        <v>3540</v>
      </c>
      <c r="D514" s="120" t="s">
        <v>3534</v>
      </c>
      <c r="E514" s="98">
        <v>0</v>
      </c>
      <c r="F514" s="120">
        <v>0</v>
      </c>
      <c r="G514" s="121">
        <v>0</v>
      </c>
      <c r="H514" s="123">
        <v>0</v>
      </c>
      <c r="I514" s="122">
        <v>0</v>
      </c>
      <c r="J514" s="124">
        <f t="shared" ref="J514:J577" si="8">IF(D514="gm", E514*1000,+E514)</f>
        <v>0</v>
      </c>
    </row>
    <row r="515" spans="1:11" ht="15" customHeight="1" x14ac:dyDescent="0.2">
      <c r="A515" s="120" t="s">
        <v>4324</v>
      </c>
      <c r="B515" s="120" t="s">
        <v>3625</v>
      </c>
      <c r="C515" s="98" t="s">
        <v>3533</v>
      </c>
      <c r="D515" s="120" t="s">
        <v>3534</v>
      </c>
      <c r="E515" s="98">
        <v>0.23749999999999999</v>
      </c>
      <c r="F515" s="120">
        <v>0</v>
      </c>
      <c r="G515" s="121">
        <v>2065</v>
      </c>
      <c r="H515" s="123">
        <v>0.23749999999999999</v>
      </c>
      <c r="I515" s="122">
        <v>490.4375</v>
      </c>
      <c r="J515" s="124">
        <f t="shared" si="8"/>
        <v>0.23749999999999999</v>
      </c>
      <c r="K515" s="98" t="s">
        <v>4325</v>
      </c>
    </row>
    <row r="516" spans="1:11" ht="15" customHeight="1" x14ac:dyDescent="0.2">
      <c r="A516" s="120" t="s">
        <v>4326</v>
      </c>
      <c r="B516" s="120" t="s">
        <v>4327</v>
      </c>
      <c r="C516" s="98" t="s">
        <v>3540</v>
      </c>
      <c r="D516" s="120" t="s">
        <v>3534</v>
      </c>
      <c r="E516" s="98">
        <v>0</v>
      </c>
      <c r="F516" s="120">
        <v>0</v>
      </c>
      <c r="G516" s="121">
        <v>1340</v>
      </c>
      <c r="H516" s="123">
        <v>0</v>
      </c>
      <c r="I516" s="122">
        <v>0</v>
      </c>
      <c r="J516" s="124">
        <f t="shared" si="8"/>
        <v>0</v>
      </c>
    </row>
    <row r="517" spans="1:11" ht="15" customHeight="1" x14ac:dyDescent="0.2">
      <c r="A517" s="120" t="s">
        <v>4328</v>
      </c>
      <c r="B517" s="120" t="s">
        <v>3625</v>
      </c>
      <c r="C517" s="98" t="s">
        <v>3533</v>
      </c>
      <c r="D517" s="120" t="s">
        <v>3534</v>
      </c>
      <c r="E517" s="98">
        <v>0.26727000000000001</v>
      </c>
      <c r="F517" s="120">
        <v>0</v>
      </c>
      <c r="G517" s="121">
        <v>5719</v>
      </c>
      <c r="H517" s="123">
        <v>0.26727000000000001</v>
      </c>
      <c r="I517" s="122">
        <v>1528.51713</v>
      </c>
      <c r="J517" s="124">
        <f t="shared" si="8"/>
        <v>0.26727000000000001</v>
      </c>
      <c r="K517" s="98" t="s">
        <v>4329</v>
      </c>
    </row>
    <row r="518" spans="1:11" ht="15" customHeight="1" x14ac:dyDescent="0.2">
      <c r="A518" s="120" t="s">
        <v>4330</v>
      </c>
      <c r="B518" s="120" t="s">
        <v>3643</v>
      </c>
      <c r="C518" s="98" t="s">
        <v>3533</v>
      </c>
      <c r="D518" s="120" t="s">
        <v>3534</v>
      </c>
      <c r="E518" s="98">
        <v>0.08</v>
      </c>
      <c r="F518" s="120">
        <v>0</v>
      </c>
      <c r="G518" s="121">
        <v>0</v>
      </c>
      <c r="H518" s="123">
        <v>0.08</v>
      </c>
      <c r="I518" s="122">
        <v>0</v>
      </c>
      <c r="J518" s="124">
        <f t="shared" si="8"/>
        <v>0.08</v>
      </c>
    </row>
    <row r="519" spans="1:11" ht="15" customHeight="1" x14ac:dyDescent="0.2">
      <c r="A519" s="120" t="s">
        <v>4331</v>
      </c>
      <c r="B519" s="120" t="s">
        <v>3692</v>
      </c>
      <c r="C519" s="98" t="s">
        <v>3540</v>
      </c>
      <c r="D519" s="120" t="s">
        <v>3534</v>
      </c>
      <c r="E519" s="98">
        <v>0.18</v>
      </c>
      <c r="F519" s="120">
        <v>0</v>
      </c>
      <c r="G519" s="121">
        <v>0</v>
      </c>
      <c r="H519" s="123">
        <v>0.18</v>
      </c>
      <c r="I519" s="122">
        <v>0</v>
      </c>
      <c r="J519" s="124">
        <f t="shared" si="8"/>
        <v>0.18</v>
      </c>
    </row>
    <row r="520" spans="1:11" ht="15" customHeight="1" x14ac:dyDescent="0.2">
      <c r="A520" s="120" t="s">
        <v>4332</v>
      </c>
      <c r="B520" s="120" t="s">
        <v>3692</v>
      </c>
      <c r="C520" s="98" t="s">
        <v>3533</v>
      </c>
      <c r="D520" s="120" t="s">
        <v>3534</v>
      </c>
      <c r="E520" s="98">
        <v>0.13</v>
      </c>
      <c r="F520" s="120">
        <v>0</v>
      </c>
      <c r="G520" s="121">
        <v>0</v>
      </c>
      <c r="H520" s="123">
        <v>0.13</v>
      </c>
      <c r="I520" s="122">
        <v>0</v>
      </c>
      <c r="J520" s="124">
        <f t="shared" si="8"/>
        <v>0.13</v>
      </c>
      <c r="K520" s="98" t="s">
        <v>4333</v>
      </c>
    </row>
    <row r="521" spans="1:11" ht="15" customHeight="1" x14ac:dyDescent="0.2">
      <c r="A521" s="120" t="s">
        <v>4334</v>
      </c>
      <c r="B521" s="120" t="s">
        <v>3692</v>
      </c>
      <c r="C521" s="98" t="s">
        <v>3533</v>
      </c>
      <c r="D521" s="120" t="s">
        <v>3534</v>
      </c>
      <c r="E521" s="98">
        <v>0</v>
      </c>
      <c r="F521" s="120">
        <v>0</v>
      </c>
      <c r="G521" s="121">
        <v>0</v>
      </c>
      <c r="H521" s="123">
        <v>0</v>
      </c>
      <c r="I521" s="122">
        <v>0</v>
      </c>
      <c r="J521" s="124">
        <f t="shared" si="8"/>
        <v>0</v>
      </c>
      <c r="K521" s="98" t="s">
        <v>4333</v>
      </c>
    </row>
    <row r="522" spans="1:11" ht="15" customHeight="1" x14ac:dyDescent="0.2">
      <c r="A522" s="120" t="s">
        <v>4335</v>
      </c>
      <c r="B522" s="120" t="s">
        <v>3692</v>
      </c>
      <c r="C522" s="98" t="s">
        <v>3533</v>
      </c>
      <c r="D522" s="120" t="s">
        <v>3534</v>
      </c>
      <c r="E522" s="98">
        <v>0.19</v>
      </c>
      <c r="F522" s="120">
        <v>0</v>
      </c>
      <c r="G522" s="121">
        <v>2167</v>
      </c>
      <c r="H522" s="123">
        <v>0.19</v>
      </c>
      <c r="I522" s="122">
        <v>411.73</v>
      </c>
      <c r="J522" s="124">
        <f t="shared" si="8"/>
        <v>0.19</v>
      </c>
      <c r="K522" s="98" t="s">
        <v>4336</v>
      </c>
    </row>
    <row r="523" spans="1:11" ht="15" customHeight="1" x14ac:dyDescent="0.2">
      <c r="A523" s="120" t="s">
        <v>4337</v>
      </c>
      <c r="B523" s="120" t="s">
        <v>3692</v>
      </c>
      <c r="C523" s="98" t="s">
        <v>3533</v>
      </c>
      <c r="D523" s="120" t="s">
        <v>3534</v>
      </c>
      <c r="E523" s="98">
        <v>0.18</v>
      </c>
      <c r="F523" s="120">
        <v>0</v>
      </c>
      <c r="G523" s="121">
        <v>2787</v>
      </c>
      <c r="H523" s="123">
        <v>0.18</v>
      </c>
      <c r="I523" s="122">
        <v>501.65999999999997</v>
      </c>
      <c r="J523" s="124">
        <f t="shared" si="8"/>
        <v>0.18</v>
      </c>
    </row>
    <row r="524" spans="1:11" ht="15" customHeight="1" x14ac:dyDescent="0.2">
      <c r="A524" s="120" t="s">
        <v>4338</v>
      </c>
      <c r="B524" s="120" t="s">
        <v>3532</v>
      </c>
      <c r="C524" s="98" t="s">
        <v>3533</v>
      </c>
      <c r="D524" s="120" t="s">
        <v>3534</v>
      </c>
      <c r="E524" s="98">
        <v>0</v>
      </c>
      <c r="F524" s="120">
        <v>0</v>
      </c>
      <c r="G524" s="121">
        <v>0</v>
      </c>
      <c r="H524" s="123">
        <v>0</v>
      </c>
      <c r="I524" s="122">
        <v>0</v>
      </c>
      <c r="J524" s="124">
        <f t="shared" si="8"/>
        <v>0</v>
      </c>
    </row>
    <row r="525" spans="1:11" ht="15" customHeight="1" x14ac:dyDescent="0.2">
      <c r="A525" s="120" t="s">
        <v>4339</v>
      </c>
      <c r="B525" s="120" t="s">
        <v>3625</v>
      </c>
      <c r="C525" s="98" t="s">
        <v>3533</v>
      </c>
      <c r="D525" s="120" t="s">
        <v>3534</v>
      </c>
      <c r="E525" s="98">
        <v>1.3149999999999999</v>
      </c>
      <c r="F525" s="120">
        <v>0</v>
      </c>
      <c r="G525" s="121">
        <v>72</v>
      </c>
      <c r="H525" s="123">
        <v>1.3149999999999999</v>
      </c>
      <c r="I525" s="122">
        <v>94.679999999999993</v>
      </c>
      <c r="J525" s="124">
        <f t="shared" si="8"/>
        <v>1.3149999999999999</v>
      </c>
    </row>
    <row r="526" spans="1:11" ht="15" customHeight="1" x14ac:dyDescent="0.2">
      <c r="A526" s="120" t="s">
        <v>4340</v>
      </c>
      <c r="B526" s="120" t="s">
        <v>3632</v>
      </c>
      <c r="C526" s="98" t="s">
        <v>3533</v>
      </c>
      <c r="D526" s="120" t="s">
        <v>3534</v>
      </c>
      <c r="E526" s="98">
        <v>9.2799999999999994E-2</v>
      </c>
      <c r="F526" s="120">
        <v>0</v>
      </c>
      <c r="G526" s="121">
        <v>92</v>
      </c>
      <c r="H526" s="123">
        <v>9.2799999999999994E-2</v>
      </c>
      <c r="I526" s="122">
        <v>8.5375999999999994</v>
      </c>
      <c r="J526" s="124">
        <f t="shared" si="8"/>
        <v>9.2799999999999994E-2</v>
      </c>
      <c r="K526" s="98" t="s">
        <v>4341</v>
      </c>
    </row>
    <row r="527" spans="1:11" ht="15" customHeight="1" x14ac:dyDescent="0.2">
      <c r="A527" s="120" t="s">
        <v>4342</v>
      </c>
      <c r="B527" s="120" t="s">
        <v>3708</v>
      </c>
      <c r="C527" s="98" t="s">
        <v>3540</v>
      </c>
      <c r="D527" s="120" t="s">
        <v>3534</v>
      </c>
      <c r="E527" s="98">
        <v>0</v>
      </c>
      <c r="F527" s="120">
        <v>0</v>
      </c>
      <c r="G527" s="121">
        <v>0</v>
      </c>
      <c r="H527" s="123">
        <v>0</v>
      </c>
      <c r="I527" s="122">
        <v>0</v>
      </c>
      <c r="J527" s="124">
        <f t="shared" si="8"/>
        <v>0</v>
      </c>
    </row>
    <row r="528" spans="1:11" ht="15" customHeight="1" x14ac:dyDescent="0.2">
      <c r="A528" s="120" t="s">
        <v>4343</v>
      </c>
      <c r="B528" s="120" t="s">
        <v>3708</v>
      </c>
      <c r="C528" s="98" t="s">
        <v>3533</v>
      </c>
      <c r="D528" s="120" t="s">
        <v>3534</v>
      </c>
      <c r="E528" s="98">
        <v>0.316</v>
      </c>
      <c r="F528" s="120">
        <v>0</v>
      </c>
      <c r="G528" s="121">
        <v>789</v>
      </c>
      <c r="H528" s="123">
        <v>0.316</v>
      </c>
      <c r="I528" s="122">
        <v>249.32400000000001</v>
      </c>
      <c r="J528" s="124">
        <f t="shared" si="8"/>
        <v>0.316</v>
      </c>
      <c r="K528" s="98" t="s">
        <v>4344</v>
      </c>
    </row>
    <row r="529" spans="1:11" ht="15" customHeight="1" x14ac:dyDescent="0.2">
      <c r="A529" s="120" t="s">
        <v>4345</v>
      </c>
      <c r="B529" s="120" t="s">
        <v>3692</v>
      </c>
      <c r="C529" s="98" t="s">
        <v>3533</v>
      </c>
      <c r="D529" s="120" t="s">
        <v>3534</v>
      </c>
      <c r="E529" s="98">
        <v>0.14000000000000001</v>
      </c>
      <c r="F529" s="120">
        <v>0</v>
      </c>
      <c r="G529" s="121">
        <v>726</v>
      </c>
      <c r="H529" s="123">
        <v>0.14000000000000001</v>
      </c>
      <c r="I529" s="122">
        <v>101.64000000000001</v>
      </c>
      <c r="J529" s="124">
        <f t="shared" si="8"/>
        <v>0.14000000000000001</v>
      </c>
      <c r="K529" s="98" t="s">
        <v>4346</v>
      </c>
    </row>
    <row r="530" spans="1:11" ht="15" customHeight="1" x14ac:dyDescent="0.2">
      <c r="A530" s="120" t="s">
        <v>4347</v>
      </c>
      <c r="B530" s="120" t="s">
        <v>3708</v>
      </c>
      <c r="C530" s="98" t="s">
        <v>3533</v>
      </c>
      <c r="D530" s="120" t="s">
        <v>3534</v>
      </c>
      <c r="E530" s="98">
        <v>0.28999999999999998</v>
      </c>
      <c r="F530" s="120">
        <v>0</v>
      </c>
      <c r="G530" s="121">
        <v>0</v>
      </c>
      <c r="H530" s="123">
        <v>0.28999999999999998</v>
      </c>
      <c r="I530" s="122">
        <v>0</v>
      </c>
      <c r="J530" s="124">
        <f t="shared" si="8"/>
        <v>0.28999999999999998</v>
      </c>
      <c r="K530" s="98" t="s">
        <v>4348</v>
      </c>
    </row>
    <row r="531" spans="1:11" ht="15" customHeight="1" x14ac:dyDescent="0.2">
      <c r="A531" s="120" t="s">
        <v>4349</v>
      </c>
      <c r="B531" s="120" t="s">
        <v>3643</v>
      </c>
      <c r="C531" s="98" t="s">
        <v>3533</v>
      </c>
      <c r="D531" s="120" t="s">
        <v>3534</v>
      </c>
      <c r="E531" s="98">
        <v>0.27779999999999999</v>
      </c>
      <c r="F531" s="120">
        <v>0</v>
      </c>
      <c r="G531" s="121">
        <v>643</v>
      </c>
      <c r="H531" s="123">
        <v>0.27779999999999999</v>
      </c>
      <c r="I531" s="122">
        <v>178.62539999999998</v>
      </c>
      <c r="J531" s="124">
        <f t="shared" si="8"/>
        <v>0.27779999999999999</v>
      </c>
      <c r="K531" s="98" t="s">
        <v>4350</v>
      </c>
    </row>
    <row r="532" spans="1:11" ht="15" customHeight="1" x14ac:dyDescent="0.2">
      <c r="A532" s="120" t="s">
        <v>4351</v>
      </c>
      <c r="B532" s="120" t="s">
        <v>3632</v>
      </c>
      <c r="C532" s="98" t="s">
        <v>3533</v>
      </c>
      <c r="D532" s="120" t="s">
        <v>3534</v>
      </c>
      <c r="E532" s="98">
        <v>4.5059913793103402E-2</v>
      </c>
      <c r="F532" s="120">
        <v>20000</v>
      </c>
      <c r="G532" s="121">
        <v>41501</v>
      </c>
      <c r="H532" s="123">
        <v>4.5060000000000003E-2</v>
      </c>
      <c r="I532" s="122">
        <v>1870.0350600000002</v>
      </c>
      <c r="J532" s="124">
        <f t="shared" si="8"/>
        <v>4.5059913793103402E-2</v>
      </c>
      <c r="K532" s="98" t="s">
        <v>4352</v>
      </c>
    </row>
    <row r="533" spans="1:11" ht="15" customHeight="1" x14ac:dyDescent="0.2">
      <c r="A533" s="120" t="s">
        <v>4353</v>
      </c>
      <c r="B533" s="120" t="s">
        <v>3692</v>
      </c>
      <c r="C533" s="98" t="s">
        <v>3533</v>
      </c>
      <c r="D533" s="120" t="s">
        <v>3534</v>
      </c>
      <c r="E533" s="98">
        <v>0.18</v>
      </c>
      <c r="F533" s="120">
        <v>0</v>
      </c>
      <c r="G533" s="121">
        <v>8400</v>
      </c>
      <c r="H533" s="123">
        <v>0.18</v>
      </c>
      <c r="I533" s="122">
        <v>1512</v>
      </c>
      <c r="J533" s="124">
        <f t="shared" si="8"/>
        <v>0.18</v>
      </c>
    </row>
    <row r="534" spans="1:11" ht="15" customHeight="1" x14ac:dyDescent="0.2">
      <c r="A534" s="120" t="s">
        <v>4354</v>
      </c>
      <c r="B534" s="120" t="s">
        <v>3692</v>
      </c>
      <c r="C534" s="98" t="s">
        <v>3533</v>
      </c>
      <c r="D534" s="120" t="s">
        <v>3534</v>
      </c>
      <c r="E534" s="98">
        <v>0.18</v>
      </c>
      <c r="F534" s="120">
        <v>0</v>
      </c>
      <c r="G534" s="121">
        <v>1210</v>
      </c>
      <c r="H534" s="123">
        <v>0.18</v>
      </c>
      <c r="I534" s="122">
        <v>217.79999999999998</v>
      </c>
      <c r="J534" s="124">
        <f t="shared" si="8"/>
        <v>0.18</v>
      </c>
    </row>
    <row r="535" spans="1:11" ht="15" customHeight="1" x14ac:dyDescent="0.2">
      <c r="A535" s="120" t="s">
        <v>4355</v>
      </c>
      <c r="B535" s="120" t="s">
        <v>3625</v>
      </c>
      <c r="C535" s="98" t="s">
        <v>3533</v>
      </c>
      <c r="D535" s="120" t="s">
        <v>3534</v>
      </c>
      <c r="E535" s="98">
        <v>0.106</v>
      </c>
      <c r="F535" s="120">
        <v>0</v>
      </c>
      <c r="G535" s="121">
        <v>764</v>
      </c>
      <c r="H535" s="123">
        <v>0.106</v>
      </c>
      <c r="I535" s="122">
        <v>80.983999999999995</v>
      </c>
      <c r="J535" s="124">
        <f t="shared" si="8"/>
        <v>0.106</v>
      </c>
    </row>
    <row r="536" spans="1:11" ht="15" customHeight="1" x14ac:dyDescent="0.2">
      <c r="A536" s="120" t="s">
        <v>4356</v>
      </c>
      <c r="B536" s="120" t="s">
        <v>3620</v>
      </c>
      <c r="C536" s="98" t="s">
        <v>3566</v>
      </c>
      <c r="D536" s="120" t="s">
        <v>3534</v>
      </c>
      <c r="E536" s="98">
        <v>0.18</v>
      </c>
      <c r="F536" s="120">
        <v>0</v>
      </c>
      <c r="G536" s="121">
        <v>71</v>
      </c>
      <c r="H536" s="123">
        <v>0.18</v>
      </c>
      <c r="I536" s="122">
        <v>12.78</v>
      </c>
      <c r="J536" s="124">
        <f t="shared" si="8"/>
        <v>0.18</v>
      </c>
    </row>
    <row r="537" spans="1:11" ht="15" customHeight="1" x14ac:dyDescent="0.2">
      <c r="A537" s="120" t="s">
        <v>4357</v>
      </c>
      <c r="B537" s="120" t="s">
        <v>4358</v>
      </c>
      <c r="C537" s="98" t="s">
        <v>3533</v>
      </c>
      <c r="D537" s="120" t="s">
        <v>3534</v>
      </c>
      <c r="E537" s="98">
        <v>3.7999999999999999E-2</v>
      </c>
      <c r="F537" s="120">
        <v>0</v>
      </c>
      <c r="G537" s="121">
        <v>4788</v>
      </c>
      <c r="H537" s="123">
        <v>3.7999999999999999E-2</v>
      </c>
      <c r="I537" s="122">
        <v>181.94399999999999</v>
      </c>
      <c r="J537" s="124">
        <f t="shared" si="8"/>
        <v>3.7999999999999999E-2</v>
      </c>
    </row>
    <row r="538" spans="1:11" ht="15" customHeight="1" x14ac:dyDescent="0.2">
      <c r="A538" s="120" t="s">
        <v>4359</v>
      </c>
      <c r="B538" s="120" t="s">
        <v>4360</v>
      </c>
      <c r="C538" s="98" t="s">
        <v>3533</v>
      </c>
      <c r="D538" s="120" t="s">
        <v>3534</v>
      </c>
      <c r="E538" s="98">
        <v>0.13500000000000001</v>
      </c>
      <c r="F538" s="120">
        <v>0</v>
      </c>
      <c r="G538" s="121">
        <v>1819</v>
      </c>
      <c r="H538" s="123">
        <v>0.13500000000000001</v>
      </c>
      <c r="I538" s="122">
        <v>245.56500000000003</v>
      </c>
      <c r="J538" s="124">
        <f t="shared" si="8"/>
        <v>0.13500000000000001</v>
      </c>
    </row>
    <row r="539" spans="1:11" ht="15" customHeight="1" x14ac:dyDescent="0.2">
      <c r="A539" s="120" t="s">
        <v>4361</v>
      </c>
      <c r="B539" s="120" t="s">
        <v>3792</v>
      </c>
      <c r="C539" s="98" t="s">
        <v>3533</v>
      </c>
      <c r="D539" s="120" t="s">
        <v>3534</v>
      </c>
      <c r="E539" s="98">
        <v>0.05</v>
      </c>
      <c r="F539" s="120">
        <v>0</v>
      </c>
      <c r="G539" s="121">
        <v>42385.000001</v>
      </c>
      <c r="H539" s="123">
        <v>0.05</v>
      </c>
      <c r="I539" s="122">
        <v>2119.2500000499999</v>
      </c>
      <c r="J539" s="124">
        <f t="shared" si="8"/>
        <v>0.05</v>
      </c>
      <c r="K539" s="98" t="s">
        <v>4362</v>
      </c>
    </row>
    <row r="540" spans="1:11" ht="15" customHeight="1" x14ac:dyDescent="0.2">
      <c r="A540" s="120" t="s">
        <v>4363</v>
      </c>
      <c r="B540" s="120" t="s">
        <v>3692</v>
      </c>
      <c r="C540" s="98" t="s">
        <v>3533</v>
      </c>
      <c r="D540" s="120" t="s">
        <v>3534</v>
      </c>
      <c r="E540" s="98">
        <v>0.08</v>
      </c>
      <c r="F540" s="120">
        <v>0</v>
      </c>
      <c r="G540" s="121">
        <v>92000</v>
      </c>
      <c r="H540" s="123">
        <v>0.08</v>
      </c>
      <c r="I540" s="122">
        <v>7360</v>
      </c>
      <c r="J540" s="124">
        <f t="shared" si="8"/>
        <v>0.08</v>
      </c>
    </row>
    <row r="541" spans="1:11" ht="15" customHeight="1" x14ac:dyDescent="0.2">
      <c r="A541" s="120" t="s">
        <v>4364</v>
      </c>
      <c r="B541" s="120" t="s">
        <v>3692</v>
      </c>
      <c r="C541" s="98" t="s">
        <v>3533</v>
      </c>
      <c r="D541" s="120" t="s">
        <v>3534</v>
      </c>
      <c r="E541" s="98">
        <v>0.08</v>
      </c>
      <c r="F541" s="120">
        <v>0</v>
      </c>
      <c r="G541" s="121">
        <v>12000</v>
      </c>
      <c r="H541" s="123">
        <v>0.08</v>
      </c>
      <c r="I541" s="122">
        <v>960</v>
      </c>
      <c r="J541" s="124">
        <f t="shared" si="8"/>
        <v>0.08</v>
      </c>
    </row>
    <row r="542" spans="1:11" ht="15" customHeight="1" x14ac:dyDescent="0.2">
      <c r="A542" s="120" t="s">
        <v>4365</v>
      </c>
      <c r="B542" s="120" t="s">
        <v>3692</v>
      </c>
      <c r="C542" s="98" t="s">
        <v>3533</v>
      </c>
      <c r="D542" s="120" t="s">
        <v>3534</v>
      </c>
      <c r="E542" s="98">
        <v>0.08</v>
      </c>
      <c r="F542" s="120">
        <v>0</v>
      </c>
      <c r="G542" s="121">
        <v>15990</v>
      </c>
      <c r="H542" s="123">
        <v>0.08</v>
      </c>
      <c r="I542" s="122">
        <v>1279.2</v>
      </c>
      <c r="J542" s="124">
        <f t="shared" si="8"/>
        <v>0.08</v>
      </c>
    </row>
    <row r="543" spans="1:11" ht="15" customHeight="1" x14ac:dyDescent="0.2">
      <c r="A543" s="120" t="s">
        <v>4366</v>
      </c>
      <c r="B543" s="120" t="s">
        <v>3620</v>
      </c>
      <c r="C543" s="98" t="s">
        <v>3533</v>
      </c>
      <c r="D543" s="120" t="s">
        <v>3534</v>
      </c>
      <c r="E543" s="98">
        <v>0.04</v>
      </c>
      <c r="F543" s="120">
        <v>0</v>
      </c>
      <c r="G543" s="121">
        <v>8595</v>
      </c>
      <c r="H543" s="123">
        <v>0.04</v>
      </c>
      <c r="I543" s="122">
        <v>343.8</v>
      </c>
      <c r="J543" s="124">
        <f t="shared" si="8"/>
        <v>0.04</v>
      </c>
      <c r="K543" s="98" t="s">
        <v>4367</v>
      </c>
    </row>
    <row r="544" spans="1:11" ht="15" customHeight="1" x14ac:dyDescent="0.2">
      <c r="A544" s="120" t="s">
        <v>4368</v>
      </c>
      <c r="B544" s="120" t="s">
        <v>3629</v>
      </c>
      <c r="C544" s="98" t="s">
        <v>3532</v>
      </c>
      <c r="D544" s="120" t="s">
        <v>3534</v>
      </c>
      <c r="E544" s="98">
        <v>4.5850000000000002E-2</v>
      </c>
      <c r="F544" s="120">
        <v>0</v>
      </c>
      <c r="G544" s="121">
        <v>74342</v>
      </c>
      <c r="H544" s="123">
        <v>4.5850000000000002E-2</v>
      </c>
      <c r="I544" s="122">
        <v>3408.5807</v>
      </c>
      <c r="J544" s="124">
        <f t="shared" si="8"/>
        <v>4.5850000000000002E-2</v>
      </c>
    </row>
    <row r="545" spans="1:11" ht="15" customHeight="1" x14ac:dyDescent="0.2">
      <c r="A545" s="120" t="s">
        <v>4369</v>
      </c>
      <c r="B545" s="120" t="s">
        <v>3692</v>
      </c>
      <c r="C545" s="98" t="s">
        <v>3533</v>
      </c>
      <c r="D545" s="120" t="s">
        <v>3534</v>
      </c>
      <c r="E545" s="98">
        <v>0.08</v>
      </c>
      <c r="F545" s="120">
        <v>0</v>
      </c>
      <c r="G545" s="121">
        <v>0</v>
      </c>
      <c r="H545" s="123">
        <v>0.08</v>
      </c>
      <c r="I545" s="122">
        <v>0</v>
      </c>
      <c r="J545" s="124">
        <f t="shared" si="8"/>
        <v>0.08</v>
      </c>
      <c r="K545" s="98" t="s">
        <v>4370</v>
      </c>
    </row>
    <row r="546" spans="1:11" ht="15" customHeight="1" x14ac:dyDescent="0.2">
      <c r="A546" s="120" t="s">
        <v>4371</v>
      </c>
      <c r="B546" s="120" t="s">
        <v>3692</v>
      </c>
      <c r="C546" s="98" t="s">
        <v>3533</v>
      </c>
      <c r="D546" s="120" t="s">
        <v>3534</v>
      </c>
      <c r="E546" s="98">
        <v>0.12</v>
      </c>
      <c r="F546" s="120">
        <v>0</v>
      </c>
      <c r="G546" s="121">
        <v>10099</v>
      </c>
      <c r="H546" s="123">
        <v>0.12</v>
      </c>
      <c r="I546" s="122">
        <v>1211.8799999999999</v>
      </c>
      <c r="J546" s="124">
        <f t="shared" si="8"/>
        <v>0.12</v>
      </c>
    </row>
    <row r="547" spans="1:11" ht="15" customHeight="1" x14ac:dyDescent="0.2">
      <c r="A547" s="120" t="s">
        <v>4372</v>
      </c>
      <c r="B547" s="120" t="s">
        <v>3620</v>
      </c>
      <c r="C547" s="98" t="s">
        <v>3533</v>
      </c>
      <c r="D547" s="120" t="s">
        <v>3534</v>
      </c>
      <c r="E547" s="98">
        <v>4.2750000000000003E-2</v>
      </c>
      <c r="F547" s="120">
        <v>0</v>
      </c>
      <c r="G547" s="121">
        <v>0</v>
      </c>
      <c r="H547" s="123">
        <v>4.2750000000000003E-2</v>
      </c>
      <c r="I547" s="122">
        <v>0</v>
      </c>
      <c r="J547" s="124">
        <f t="shared" si="8"/>
        <v>4.2750000000000003E-2</v>
      </c>
      <c r="K547" s="98" t="s">
        <v>4373</v>
      </c>
    </row>
    <row r="548" spans="1:11" ht="15" customHeight="1" x14ac:dyDescent="0.2">
      <c r="A548" s="120" t="s">
        <v>4374</v>
      </c>
      <c r="B548" s="120" t="s">
        <v>3632</v>
      </c>
      <c r="C548" s="98" t="s">
        <v>3533</v>
      </c>
      <c r="D548" s="120" t="s">
        <v>3534</v>
      </c>
      <c r="E548" s="98">
        <v>3.4500000000000003E-2</v>
      </c>
      <c r="F548" s="120">
        <v>0</v>
      </c>
      <c r="G548" s="121">
        <v>131980</v>
      </c>
      <c r="H548" s="123">
        <v>3.4500000000000003E-2</v>
      </c>
      <c r="I548" s="122">
        <v>4553.3100000000004</v>
      </c>
      <c r="J548" s="124">
        <f t="shared" si="8"/>
        <v>3.4500000000000003E-2</v>
      </c>
      <c r="K548" s="98" t="s">
        <v>4375</v>
      </c>
    </row>
    <row r="549" spans="1:11" ht="15" customHeight="1" x14ac:dyDescent="0.2">
      <c r="A549" s="120" t="s">
        <v>4376</v>
      </c>
      <c r="B549" s="120" t="s">
        <v>3620</v>
      </c>
      <c r="C549" s="98" t="s">
        <v>3532</v>
      </c>
      <c r="D549" s="120" t="s">
        <v>3534</v>
      </c>
      <c r="E549" s="98">
        <v>0.10265000000000001</v>
      </c>
      <c r="F549" s="120">
        <v>0</v>
      </c>
      <c r="G549" s="121">
        <v>0</v>
      </c>
      <c r="H549" s="123">
        <v>0.10265000000000001</v>
      </c>
      <c r="I549" s="122">
        <v>0</v>
      </c>
      <c r="J549" s="124">
        <f t="shared" si="8"/>
        <v>0.10265000000000001</v>
      </c>
    </row>
    <row r="550" spans="1:11" ht="15" customHeight="1" x14ac:dyDescent="0.2">
      <c r="A550" s="120" t="s">
        <v>4377</v>
      </c>
      <c r="B550" s="120" t="s">
        <v>3692</v>
      </c>
      <c r="C550" s="98" t="s">
        <v>3533</v>
      </c>
      <c r="D550" s="120" t="s">
        <v>3534</v>
      </c>
      <c r="E550" s="98">
        <v>7.0000000000000007E-2</v>
      </c>
      <c r="F550" s="120">
        <v>0</v>
      </c>
      <c r="G550" s="121">
        <v>102000</v>
      </c>
      <c r="H550" s="123">
        <v>7.0000000000000007E-2</v>
      </c>
      <c r="I550" s="122">
        <v>7140.0000000000009</v>
      </c>
      <c r="J550" s="124">
        <f t="shared" si="8"/>
        <v>7.0000000000000007E-2</v>
      </c>
      <c r="K550" s="98" t="s">
        <v>4378</v>
      </c>
    </row>
    <row r="551" spans="1:11" ht="15" customHeight="1" x14ac:dyDescent="0.2">
      <c r="A551" s="120" t="s">
        <v>4379</v>
      </c>
      <c r="B551" s="120" t="s">
        <v>3625</v>
      </c>
      <c r="C551" s="98" t="s">
        <v>3532</v>
      </c>
      <c r="D551" s="120" t="s">
        <v>3534</v>
      </c>
      <c r="E551" s="98">
        <v>3.712E-2</v>
      </c>
      <c r="F551" s="120">
        <v>0</v>
      </c>
      <c r="G551" s="121">
        <v>0</v>
      </c>
      <c r="H551" s="123">
        <v>3.712E-2</v>
      </c>
      <c r="I551" s="122">
        <v>0</v>
      </c>
      <c r="J551" s="124">
        <f t="shared" si="8"/>
        <v>3.712E-2</v>
      </c>
    </row>
    <row r="552" spans="1:11" ht="15" customHeight="1" x14ac:dyDescent="0.2">
      <c r="A552" s="120" t="s">
        <v>4380</v>
      </c>
      <c r="B552" s="120" t="s">
        <v>3532</v>
      </c>
      <c r="C552" s="98" t="s">
        <v>3532</v>
      </c>
      <c r="D552" s="120" t="s">
        <v>3534</v>
      </c>
      <c r="E552" s="98">
        <v>4.3790000000000003E-2</v>
      </c>
      <c r="F552" s="120">
        <v>0</v>
      </c>
      <c r="G552" s="121">
        <v>0</v>
      </c>
      <c r="H552" s="123">
        <v>4.3790000000000003E-2</v>
      </c>
      <c r="I552" s="122">
        <v>0</v>
      </c>
      <c r="J552" s="124">
        <f t="shared" si="8"/>
        <v>4.3790000000000003E-2</v>
      </c>
    </row>
    <row r="553" spans="1:11" ht="15" customHeight="1" x14ac:dyDescent="0.2">
      <c r="A553" s="120" t="s">
        <v>4381</v>
      </c>
      <c r="B553" s="120" t="s">
        <v>3632</v>
      </c>
      <c r="C553" s="98" t="s">
        <v>3533</v>
      </c>
      <c r="D553" s="120" t="s">
        <v>3534</v>
      </c>
      <c r="E553" s="98">
        <v>0.19570000000000001</v>
      </c>
      <c r="F553" s="120">
        <v>0</v>
      </c>
      <c r="G553" s="121">
        <v>415</v>
      </c>
      <c r="H553" s="123">
        <v>0.19570000000000001</v>
      </c>
      <c r="I553" s="122">
        <v>81.215500000000006</v>
      </c>
      <c r="J553" s="124">
        <f t="shared" si="8"/>
        <v>0.19570000000000001</v>
      </c>
      <c r="K553" s="98" t="s">
        <v>4382</v>
      </c>
    </row>
    <row r="554" spans="1:11" ht="15" customHeight="1" x14ac:dyDescent="0.2">
      <c r="A554" s="120" t="s">
        <v>4383</v>
      </c>
      <c r="B554" s="120" t="s">
        <v>3532</v>
      </c>
      <c r="C554" s="98" t="s">
        <v>3533</v>
      </c>
      <c r="D554" s="120" t="s">
        <v>3534</v>
      </c>
      <c r="E554" s="98">
        <v>0</v>
      </c>
      <c r="F554" s="120">
        <v>0</v>
      </c>
      <c r="G554" s="121">
        <v>720</v>
      </c>
      <c r="H554" s="123">
        <v>0</v>
      </c>
      <c r="I554" s="122">
        <v>0</v>
      </c>
      <c r="J554" s="124">
        <f t="shared" si="8"/>
        <v>0</v>
      </c>
    </row>
    <row r="555" spans="1:11" ht="15" customHeight="1" x14ac:dyDescent="0.2">
      <c r="A555" s="120" t="s">
        <v>4384</v>
      </c>
      <c r="B555" s="120" t="s">
        <v>3620</v>
      </c>
      <c r="C555" s="98" t="s">
        <v>3533</v>
      </c>
      <c r="D555" s="120" t="s">
        <v>3534</v>
      </c>
      <c r="E555" s="98">
        <v>6.5000000000000002E-2</v>
      </c>
      <c r="F555" s="120">
        <v>0</v>
      </c>
      <c r="G555" s="121">
        <v>4675</v>
      </c>
      <c r="H555" s="123">
        <v>6.5000000000000002E-2</v>
      </c>
      <c r="I555" s="122">
        <v>303.875</v>
      </c>
      <c r="J555" s="124">
        <f t="shared" si="8"/>
        <v>6.5000000000000002E-2</v>
      </c>
      <c r="K555" s="98" t="s">
        <v>4385</v>
      </c>
    </row>
    <row r="556" spans="1:11" ht="15" customHeight="1" x14ac:dyDescent="0.2">
      <c r="A556" s="120" t="s">
        <v>4386</v>
      </c>
      <c r="B556" s="120" t="s">
        <v>3625</v>
      </c>
      <c r="C556" s="98" t="s">
        <v>3533</v>
      </c>
      <c r="D556" s="120" t="s">
        <v>3534</v>
      </c>
      <c r="E556" s="98">
        <v>0.16114000000000001</v>
      </c>
      <c r="F556" s="120">
        <v>0</v>
      </c>
      <c r="G556" s="121">
        <v>2800</v>
      </c>
      <c r="H556" s="123">
        <v>0.16114000000000001</v>
      </c>
      <c r="I556" s="122">
        <v>451.19200000000001</v>
      </c>
      <c r="J556" s="124">
        <f t="shared" si="8"/>
        <v>0.16114000000000001</v>
      </c>
      <c r="K556" s="98" t="s">
        <v>4387</v>
      </c>
    </row>
    <row r="557" spans="1:11" ht="15" customHeight="1" x14ac:dyDescent="0.2">
      <c r="A557" s="120" t="s">
        <v>4388</v>
      </c>
      <c r="B557" s="120" t="s">
        <v>3692</v>
      </c>
      <c r="C557" s="98" t="s">
        <v>3533</v>
      </c>
      <c r="D557" s="120" t="s">
        <v>3534</v>
      </c>
      <c r="E557" s="98">
        <v>0.18</v>
      </c>
      <c r="F557" s="120">
        <v>10000</v>
      </c>
      <c r="G557" s="121">
        <v>11533</v>
      </c>
      <c r="H557" s="123">
        <v>0.18</v>
      </c>
      <c r="I557" s="122">
        <v>2075.94</v>
      </c>
      <c r="J557" s="124">
        <f t="shared" si="8"/>
        <v>0.18</v>
      </c>
    </row>
    <row r="558" spans="1:11" ht="15" customHeight="1" x14ac:dyDescent="0.2">
      <c r="A558" s="120" t="s">
        <v>4389</v>
      </c>
      <c r="B558" s="120" t="s">
        <v>3532</v>
      </c>
      <c r="C558" s="98" t="s">
        <v>3533</v>
      </c>
      <c r="D558" s="120" t="s">
        <v>3534</v>
      </c>
      <c r="E558" s="98">
        <v>0</v>
      </c>
      <c r="F558" s="120">
        <v>0</v>
      </c>
      <c r="G558" s="121">
        <v>0</v>
      </c>
      <c r="H558" s="123">
        <v>0</v>
      </c>
      <c r="I558" s="122">
        <v>0</v>
      </c>
      <c r="J558" s="124">
        <f t="shared" si="8"/>
        <v>0</v>
      </c>
    </row>
    <row r="559" spans="1:11" ht="15" customHeight="1" x14ac:dyDescent="0.2">
      <c r="A559" s="120" t="s">
        <v>4390</v>
      </c>
      <c r="B559" s="120" t="s">
        <v>3643</v>
      </c>
      <c r="C559" s="98" t="s">
        <v>3533</v>
      </c>
      <c r="D559" s="120" t="s">
        <v>3534</v>
      </c>
      <c r="E559" s="98">
        <v>0</v>
      </c>
      <c r="F559" s="120">
        <v>0</v>
      </c>
      <c r="G559" s="121">
        <v>9176</v>
      </c>
      <c r="H559" s="123">
        <v>0</v>
      </c>
      <c r="I559" s="122">
        <v>0</v>
      </c>
      <c r="J559" s="124">
        <f t="shared" si="8"/>
        <v>0</v>
      </c>
    </row>
    <row r="560" spans="1:11" ht="15" customHeight="1" x14ac:dyDescent="0.2">
      <c r="A560" s="120" t="s">
        <v>4391</v>
      </c>
      <c r="B560" s="120" t="s">
        <v>3620</v>
      </c>
      <c r="C560" s="98" t="s">
        <v>3533</v>
      </c>
      <c r="D560" s="120" t="s">
        <v>3534</v>
      </c>
      <c r="E560" s="98">
        <v>0.27575980392156901</v>
      </c>
      <c r="F560" s="120">
        <v>20000</v>
      </c>
      <c r="G560" s="121">
        <v>22620</v>
      </c>
      <c r="H560" s="123">
        <v>0.27576000000000001</v>
      </c>
      <c r="I560" s="122">
        <v>6237.6912000000002</v>
      </c>
      <c r="J560" s="124">
        <f t="shared" si="8"/>
        <v>0.27575980392156901</v>
      </c>
      <c r="K560" s="98" t="s">
        <v>4392</v>
      </c>
    </row>
    <row r="561" spans="1:11" ht="15" customHeight="1" x14ac:dyDescent="0.2">
      <c r="A561" s="120" t="s">
        <v>4393</v>
      </c>
      <c r="B561" s="120" t="s">
        <v>3692</v>
      </c>
      <c r="C561" s="98" t="s">
        <v>3533</v>
      </c>
      <c r="D561" s="120" t="s">
        <v>3534</v>
      </c>
      <c r="E561" s="98">
        <v>0.18</v>
      </c>
      <c r="F561" s="120">
        <v>0</v>
      </c>
      <c r="G561" s="121">
        <v>1307</v>
      </c>
      <c r="H561" s="123">
        <v>0.18</v>
      </c>
      <c r="I561" s="122">
        <v>235.26</v>
      </c>
      <c r="J561" s="124">
        <f t="shared" si="8"/>
        <v>0.18</v>
      </c>
      <c r="K561" s="98" t="s">
        <v>4394</v>
      </c>
    </row>
    <row r="562" spans="1:11" ht="15" customHeight="1" x14ac:dyDescent="0.2">
      <c r="A562" s="120" t="s">
        <v>4395</v>
      </c>
      <c r="B562" s="120" t="s">
        <v>3692</v>
      </c>
      <c r="C562" s="98" t="s">
        <v>3533</v>
      </c>
      <c r="D562" s="120" t="s">
        <v>3534</v>
      </c>
      <c r="E562" s="98">
        <v>0.1</v>
      </c>
      <c r="F562" s="120">
        <v>0</v>
      </c>
      <c r="G562" s="121">
        <v>0</v>
      </c>
      <c r="H562" s="123">
        <v>0.1</v>
      </c>
      <c r="I562" s="122">
        <v>0</v>
      </c>
      <c r="J562" s="124">
        <f t="shared" si="8"/>
        <v>0.1</v>
      </c>
      <c r="K562" s="98" t="s">
        <v>4396</v>
      </c>
    </row>
    <row r="563" spans="1:11" ht="15" customHeight="1" x14ac:dyDescent="0.2">
      <c r="A563" s="120" t="s">
        <v>4397</v>
      </c>
      <c r="B563" s="120" t="s">
        <v>3620</v>
      </c>
      <c r="C563" s="98" t="s">
        <v>3533</v>
      </c>
      <c r="D563" s="120" t="s">
        <v>3534</v>
      </c>
      <c r="E563" s="98">
        <v>6.5000000000000002E-2</v>
      </c>
      <c r="F563" s="120">
        <v>0</v>
      </c>
      <c r="G563" s="121">
        <v>4696</v>
      </c>
      <c r="H563" s="123">
        <v>6.5000000000000002E-2</v>
      </c>
      <c r="I563" s="122">
        <v>305.24</v>
      </c>
      <c r="J563" s="124">
        <f t="shared" si="8"/>
        <v>6.5000000000000002E-2</v>
      </c>
      <c r="K563" s="98" t="s">
        <v>4398</v>
      </c>
    </row>
    <row r="564" spans="1:11" ht="15" customHeight="1" x14ac:dyDescent="0.2">
      <c r="A564" s="120" t="s">
        <v>4399</v>
      </c>
      <c r="B564" s="120" t="s">
        <v>3532</v>
      </c>
      <c r="C564" s="98" t="s">
        <v>3532</v>
      </c>
      <c r="D564" s="120" t="s">
        <v>3534</v>
      </c>
      <c r="E564" s="98">
        <v>5.1200000000000002E-2</v>
      </c>
      <c r="F564" s="120">
        <v>0</v>
      </c>
      <c r="G564" s="121">
        <v>40560</v>
      </c>
      <c r="H564" s="123">
        <v>5.1200000000000002E-2</v>
      </c>
      <c r="I564" s="122">
        <v>2076.672</v>
      </c>
      <c r="J564" s="124">
        <f t="shared" si="8"/>
        <v>5.1200000000000002E-2</v>
      </c>
    </row>
    <row r="565" spans="1:11" ht="15" customHeight="1" x14ac:dyDescent="0.2">
      <c r="A565" s="120" t="s">
        <v>4400</v>
      </c>
      <c r="B565" s="120" t="s">
        <v>3625</v>
      </c>
      <c r="C565" s="98" t="s">
        <v>3533</v>
      </c>
      <c r="D565" s="120" t="s">
        <v>3534</v>
      </c>
      <c r="E565" s="98">
        <v>0.448961184210526</v>
      </c>
      <c r="F565" s="120">
        <v>0</v>
      </c>
      <c r="G565" s="121">
        <v>15198</v>
      </c>
      <c r="H565" s="123">
        <v>0.448961</v>
      </c>
      <c r="I565" s="122">
        <v>6823.3092779999997</v>
      </c>
      <c r="J565" s="124">
        <f t="shared" si="8"/>
        <v>0.448961184210526</v>
      </c>
    </row>
    <row r="566" spans="1:11" ht="15" customHeight="1" x14ac:dyDescent="0.2">
      <c r="A566" s="120" t="s">
        <v>4401</v>
      </c>
      <c r="B566" s="120" t="s">
        <v>3632</v>
      </c>
      <c r="C566" s="98" t="s">
        <v>3533</v>
      </c>
      <c r="D566" s="120" t="s">
        <v>3534</v>
      </c>
      <c r="E566" s="98">
        <v>3.4799999999999998E-2</v>
      </c>
      <c r="F566" s="120">
        <v>0</v>
      </c>
      <c r="G566" s="121">
        <v>2579</v>
      </c>
      <c r="H566" s="123">
        <v>3.4799999999999998E-2</v>
      </c>
      <c r="I566" s="122">
        <v>89.749199999999988</v>
      </c>
      <c r="J566" s="124">
        <f t="shared" si="8"/>
        <v>3.4799999999999998E-2</v>
      </c>
      <c r="K566" s="98" t="s">
        <v>4402</v>
      </c>
    </row>
    <row r="567" spans="1:11" ht="15" customHeight="1" x14ac:dyDescent="0.2">
      <c r="A567" s="120" t="s">
        <v>4403</v>
      </c>
      <c r="B567" s="120" t="s">
        <v>3625</v>
      </c>
      <c r="C567" s="98" t="s">
        <v>3533</v>
      </c>
      <c r="D567" s="120" t="s">
        <v>3534</v>
      </c>
      <c r="E567" s="98">
        <v>0.25456000000000001</v>
      </c>
      <c r="F567" s="120">
        <v>0</v>
      </c>
      <c r="G567" s="121">
        <v>0</v>
      </c>
      <c r="H567" s="123">
        <v>0.25456000000000001</v>
      </c>
      <c r="I567" s="122">
        <v>0</v>
      </c>
      <c r="J567" s="124">
        <f t="shared" si="8"/>
        <v>0.25456000000000001</v>
      </c>
      <c r="K567" s="98" t="s">
        <v>4404</v>
      </c>
    </row>
    <row r="568" spans="1:11" ht="15" customHeight="1" x14ac:dyDescent="0.2">
      <c r="A568" s="120" t="s">
        <v>4405</v>
      </c>
      <c r="B568" s="120" t="s">
        <v>3632</v>
      </c>
      <c r="C568" s="98" t="s">
        <v>3533</v>
      </c>
      <c r="D568" s="120" t="s">
        <v>3534</v>
      </c>
      <c r="E568" s="98">
        <v>0.47640100000000002</v>
      </c>
      <c r="F568" s="120">
        <v>0</v>
      </c>
      <c r="G568" s="121">
        <v>457</v>
      </c>
      <c r="H568" s="123">
        <v>0.47640100000000002</v>
      </c>
      <c r="I568" s="122">
        <v>217.71525700000001</v>
      </c>
      <c r="J568" s="124">
        <f t="shared" si="8"/>
        <v>0.47640100000000002</v>
      </c>
      <c r="K568" s="98" t="s">
        <v>4406</v>
      </c>
    </row>
    <row r="569" spans="1:11" ht="15" customHeight="1" x14ac:dyDescent="0.2">
      <c r="A569" s="120" t="s">
        <v>4407</v>
      </c>
      <c r="B569" s="120" t="s">
        <v>3692</v>
      </c>
      <c r="C569" s="98" t="s">
        <v>3533</v>
      </c>
      <c r="D569" s="120" t="s">
        <v>3534</v>
      </c>
      <c r="E569" s="98">
        <v>0.18</v>
      </c>
      <c r="F569" s="120">
        <v>0</v>
      </c>
      <c r="G569" s="121">
        <v>0</v>
      </c>
      <c r="H569" s="123">
        <v>0.18</v>
      </c>
      <c r="I569" s="122">
        <v>0</v>
      </c>
      <c r="J569" s="124">
        <f t="shared" si="8"/>
        <v>0.18</v>
      </c>
      <c r="K569" s="98" t="s">
        <v>4336</v>
      </c>
    </row>
    <row r="570" spans="1:11" ht="15" customHeight="1" x14ac:dyDescent="0.2">
      <c r="A570" s="120" t="s">
        <v>4408</v>
      </c>
      <c r="B570" s="120" t="s">
        <v>3632</v>
      </c>
      <c r="C570" s="98" t="s">
        <v>3533</v>
      </c>
      <c r="D570" s="120" t="s">
        <v>3534</v>
      </c>
      <c r="E570" s="98">
        <v>2.93E-2</v>
      </c>
      <c r="F570" s="120">
        <v>0</v>
      </c>
      <c r="G570" s="121">
        <v>1792</v>
      </c>
      <c r="H570" s="123">
        <v>2.93E-2</v>
      </c>
      <c r="I570" s="122">
        <v>52.505600000000001</v>
      </c>
      <c r="J570" s="124">
        <f t="shared" si="8"/>
        <v>2.93E-2</v>
      </c>
      <c r="K570" s="98" t="s">
        <v>4409</v>
      </c>
    </row>
    <row r="571" spans="1:11" ht="15" customHeight="1" x14ac:dyDescent="0.2">
      <c r="A571" s="120" t="s">
        <v>4410</v>
      </c>
      <c r="B571" s="120" t="s">
        <v>3632</v>
      </c>
      <c r="C571" s="98" t="s">
        <v>3533</v>
      </c>
      <c r="D571" s="120" t="s">
        <v>3534</v>
      </c>
      <c r="E571" s="98">
        <v>8.6670999999999998E-2</v>
      </c>
      <c r="F571" s="120">
        <v>0</v>
      </c>
      <c r="G571" s="121">
        <v>133</v>
      </c>
      <c r="H571" s="123">
        <v>8.6670999999999998E-2</v>
      </c>
      <c r="I571" s="122">
        <v>11.527243</v>
      </c>
      <c r="J571" s="124">
        <f t="shared" si="8"/>
        <v>8.6670999999999998E-2</v>
      </c>
      <c r="K571" s="98" t="s">
        <v>4411</v>
      </c>
    </row>
    <row r="572" spans="1:11" ht="15" customHeight="1" x14ac:dyDescent="0.2">
      <c r="A572" s="120" t="s">
        <v>4412</v>
      </c>
      <c r="B572" s="120" t="s">
        <v>4190</v>
      </c>
      <c r="C572" s="98" t="s">
        <v>3533</v>
      </c>
      <c r="D572" s="120" t="s">
        <v>3534</v>
      </c>
      <c r="E572" s="98">
        <v>0.29299999999999998</v>
      </c>
      <c r="F572" s="120">
        <v>0</v>
      </c>
      <c r="G572" s="121">
        <v>8493</v>
      </c>
      <c r="H572" s="123">
        <v>0.29299999999999998</v>
      </c>
      <c r="I572" s="122">
        <v>2488.4490000000001</v>
      </c>
      <c r="J572" s="124">
        <f t="shared" si="8"/>
        <v>0.29299999999999998</v>
      </c>
      <c r="K572" s="98" t="s">
        <v>4413</v>
      </c>
    </row>
    <row r="573" spans="1:11" ht="15" customHeight="1" x14ac:dyDescent="0.2">
      <c r="A573" s="120" t="s">
        <v>4414</v>
      </c>
      <c r="B573" s="120" t="s">
        <v>3632</v>
      </c>
      <c r="C573" s="98" t="s">
        <v>3533</v>
      </c>
      <c r="D573" s="120" t="s">
        <v>3534</v>
      </c>
      <c r="E573" s="98">
        <v>3.4799999999999998E-2</v>
      </c>
      <c r="F573" s="120">
        <v>0</v>
      </c>
      <c r="G573" s="121">
        <v>20297</v>
      </c>
      <c r="H573" s="123">
        <v>3.4799999999999998E-2</v>
      </c>
      <c r="I573" s="122">
        <v>706.3356</v>
      </c>
      <c r="J573" s="124">
        <f t="shared" si="8"/>
        <v>3.4799999999999998E-2</v>
      </c>
      <c r="K573" s="98" t="s">
        <v>4415</v>
      </c>
    </row>
    <row r="574" spans="1:11" ht="15" customHeight="1" x14ac:dyDescent="0.2">
      <c r="A574" s="120" t="s">
        <v>4416</v>
      </c>
      <c r="B574" s="120" t="s">
        <v>3625</v>
      </c>
      <c r="C574" s="98" t="s">
        <v>3533</v>
      </c>
      <c r="D574" s="120" t="s">
        <v>3534</v>
      </c>
      <c r="E574" s="98">
        <v>3.1879999999999999E-2</v>
      </c>
      <c r="F574" s="120">
        <v>0</v>
      </c>
      <c r="G574" s="121">
        <v>17705</v>
      </c>
      <c r="H574" s="123">
        <v>3.1879999999999999E-2</v>
      </c>
      <c r="I574" s="122">
        <v>564.43539999999996</v>
      </c>
      <c r="J574" s="124">
        <f t="shared" si="8"/>
        <v>3.1879999999999999E-2</v>
      </c>
      <c r="K574" s="98" t="s">
        <v>4416</v>
      </c>
    </row>
    <row r="575" spans="1:11" ht="15" customHeight="1" x14ac:dyDescent="0.2">
      <c r="A575" s="120" t="s">
        <v>4417</v>
      </c>
      <c r="B575" s="120" t="s">
        <v>3620</v>
      </c>
      <c r="C575" s="98" t="s">
        <v>3533</v>
      </c>
      <c r="D575" s="120" t="s">
        <v>3534</v>
      </c>
      <c r="E575" s="98">
        <v>0</v>
      </c>
      <c r="F575" s="120">
        <v>0</v>
      </c>
      <c r="G575" s="121">
        <v>19097</v>
      </c>
      <c r="H575" s="123">
        <v>0.189</v>
      </c>
      <c r="I575" s="122">
        <v>3609.3330000000001</v>
      </c>
      <c r="J575" s="124">
        <f t="shared" si="8"/>
        <v>0</v>
      </c>
      <c r="K575" s="98" t="s">
        <v>4418</v>
      </c>
    </row>
    <row r="576" spans="1:11" ht="15" customHeight="1" x14ac:dyDescent="0.2">
      <c r="A576" s="120" t="s">
        <v>4419</v>
      </c>
      <c r="B576" s="120" t="s">
        <v>3532</v>
      </c>
      <c r="C576" s="98" t="s">
        <v>3533</v>
      </c>
      <c r="D576" s="120" t="s">
        <v>3534</v>
      </c>
      <c r="E576" s="98">
        <v>0.22</v>
      </c>
      <c r="F576" s="120">
        <v>0</v>
      </c>
      <c r="G576" s="121">
        <v>2494</v>
      </c>
      <c r="H576" s="123">
        <v>0.22</v>
      </c>
      <c r="I576" s="122">
        <v>548.67999999999995</v>
      </c>
      <c r="J576" s="124">
        <f t="shared" si="8"/>
        <v>0.22</v>
      </c>
    </row>
    <row r="577" spans="1:11" ht="15" customHeight="1" x14ac:dyDescent="0.2">
      <c r="A577" s="120" t="s">
        <v>4420</v>
      </c>
      <c r="B577" s="120" t="s">
        <v>3620</v>
      </c>
      <c r="C577" s="98" t="s">
        <v>3533</v>
      </c>
      <c r="D577" s="120" t="s">
        <v>3534</v>
      </c>
      <c r="E577" s="98">
        <v>0.16714000000000001</v>
      </c>
      <c r="F577" s="120">
        <v>0</v>
      </c>
      <c r="G577" s="121">
        <v>53890</v>
      </c>
      <c r="H577" s="123">
        <v>0.16714000000000001</v>
      </c>
      <c r="I577" s="122">
        <v>9007.1746000000003</v>
      </c>
      <c r="J577" s="124">
        <f t="shared" si="8"/>
        <v>0.16714000000000001</v>
      </c>
    </row>
    <row r="578" spans="1:11" ht="15" customHeight="1" x14ac:dyDescent="0.2">
      <c r="A578" s="120" t="s">
        <v>4421</v>
      </c>
      <c r="B578" s="120" t="s">
        <v>3620</v>
      </c>
      <c r="C578" s="98" t="s">
        <v>3533</v>
      </c>
      <c r="D578" s="120" t="s">
        <v>3534</v>
      </c>
      <c r="E578" s="98">
        <v>0.219</v>
      </c>
      <c r="F578" s="120">
        <v>0</v>
      </c>
      <c r="G578" s="121">
        <v>49</v>
      </c>
      <c r="H578" s="123">
        <v>0.219</v>
      </c>
      <c r="I578" s="122">
        <v>10.731</v>
      </c>
      <c r="J578" s="124">
        <f t="shared" ref="J578:J641" si="9">IF(D578="gm", E578*1000,+E578)</f>
        <v>0.219</v>
      </c>
      <c r="K578" s="98" t="s">
        <v>4422</v>
      </c>
    </row>
    <row r="579" spans="1:11" ht="15" customHeight="1" x14ac:dyDescent="0.2">
      <c r="A579" s="120" t="s">
        <v>4423</v>
      </c>
      <c r="B579" s="120" t="s">
        <v>3629</v>
      </c>
      <c r="C579" s="98" t="s">
        <v>3533</v>
      </c>
      <c r="D579" s="120" t="s">
        <v>3534</v>
      </c>
      <c r="E579" s="98">
        <v>0.19761000000000001</v>
      </c>
      <c r="F579" s="120">
        <v>0</v>
      </c>
      <c r="G579" s="121">
        <v>19819</v>
      </c>
      <c r="H579" s="123">
        <v>0.19761000000000001</v>
      </c>
      <c r="I579" s="122">
        <v>3916.4325900000003</v>
      </c>
      <c r="J579" s="124">
        <f t="shared" si="9"/>
        <v>0.19761000000000001</v>
      </c>
      <c r="K579" s="98" t="s">
        <v>4424</v>
      </c>
    </row>
    <row r="580" spans="1:11" ht="15" customHeight="1" x14ac:dyDescent="0.2">
      <c r="A580" s="120" t="s">
        <v>4425</v>
      </c>
      <c r="B580" s="120" t="s">
        <v>3620</v>
      </c>
      <c r="C580" s="98" t="s">
        <v>3533</v>
      </c>
      <c r="D580" s="120" t="s">
        <v>3534</v>
      </c>
      <c r="E580" s="98">
        <v>0.189</v>
      </c>
      <c r="F580" s="120">
        <v>0</v>
      </c>
      <c r="G580" s="121">
        <v>10445</v>
      </c>
      <c r="H580" s="123">
        <v>0.189</v>
      </c>
      <c r="I580" s="122">
        <v>1974.105</v>
      </c>
      <c r="J580" s="124">
        <f t="shared" si="9"/>
        <v>0.189</v>
      </c>
    </row>
    <row r="581" spans="1:11" ht="15" customHeight="1" x14ac:dyDescent="0.2">
      <c r="A581" s="120" t="s">
        <v>4426</v>
      </c>
      <c r="B581" s="120" t="s">
        <v>3620</v>
      </c>
      <c r="C581" s="98" t="s">
        <v>3533</v>
      </c>
      <c r="D581" s="120" t="s">
        <v>3534</v>
      </c>
      <c r="E581" s="98">
        <v>0</v>
      </c>
      <c r="F581" s="120">
        <v>0</v>
      </c>
      <c r="G581" s="121">
        <v>0</v>
      </c>
      <c r="H581" s="123">
        <v>0</v>
      </c>
      <c r="I581" s="122">
        <v>0</v>
      </c>
      <c r="J581" s="124">
        <f t="shared" si="9"/>
        <v>0</v>
      </c>
    </row>
    <row r="582" spans="1:11" ht="15" customHeight="1" x14ac:dyDescent="0.2">
      <c r="A582" s="120" t="s">
        <v>4427</v>
      </c>
      <c r="B582" s="120" t="s">
        <v>3532</v>
      </c>
      <c r="C582" s="98" t="s">
        <v>3533</v>
      </c>
      <c r="D582" s="120" t="s">
        <v>3534</v>
      </c>
      <c r="E582" s="98">
        <v>0</v>
      </c>
      <c r="F582" s="120">
        <v>0</v>
      </c>
      <c r="G582" s="121">
        <v>0</v>
      </c>
      <c r="H582" s="123">
        <v>0</v>
      </c>
      <c r="I582" s="122">
        <v>0</v>
      </c>
      <c r="J582" s="124">
        <f t="shared" si="9"/>
        <v>0</v>
      </c>
    </row>
    <row r="583" spans="1:11" ht="15" customHeight="1" x14ac:dyDescent="0.2">
      <c r="A583" s="120" t="s">
        <v>4428</v>
      </c>
      <c r="B583" s="120" t="s">
        <v>3629</v>
      </c>
      <c r="C583" s="98" t="s">
        <v>3533</v>
      </c>
      <c r="D583" s="120" t="s">
        <v>3534</v>
      </c>
      <c r="E583" s="98">
        <v>4.9299999999999997E-2</v>
      </c>
      <c r="F583" s="120">
        <v>0</v>
      </c>
      <c r="G583" s="121">
        <v>12824</v>
      </c>
      <c r="H583" s="123">
        <v>4.9299999999999997E-2</v>
      </c>
      <c r="I583" s="122">
        <v>632.22319999999991</v>
      </c>
      <c r="J583" s="124">
        <f t="shared" si="9"/>
        <v>4.9299999999999997E-2</v>
      </c>
      <c r="K583" s="98" t="s">
        <v>4429</v>
      </c>
    </row>
    <row r="584" spans="1:11" ht="15" customHeight="1" x14ac:dyDescent="0.2">
      <c r="A584" s="120" t="s">
        <v>4430</v>
      </c>
      <c r="B584" s="120" t="s">
        <v>3632</v>
      </c>
      <c r="C584" s="98" t="s">
        <v>3533</v>
      </c>
      <c r="D584" s="120" t="s">
        <v>3534</v>
      </c>
      <c r="E584" s="98">
        <v>0.14987</v>
      </c>
      <c r="F584" s="120">
        <v>0</v>
      </c>
      <c r="G584" s="121">
        <v>162</v>
      </c>
      <c r="H584" s="123">
        <v>0.14987</v>
      </c>
      <c r="I584" s="122">
        <v>24.278940000000002</v>
      </c>
      <c r="J584" s="124">
        <f t="shared" si="9"/>
        <v>0.14987</v>
      </c>
      <c r="K584" s="98" t="s">
        <v>4431</v>
      </c>
    </row>
    <row r="585" spans="1:11" ht="15" customHeight="1" x14ac:dyDescent="0.2">
      <c r="A585" s="120" t="s">
        <v>4432</v>
      </c>
      <c r="B585" s="120" t="s">
        <v>3692</v>
      </c>
      <c r="C585" s="98" t="s">
        <v>3533</v>
      </c>
      <c r="D585" s="120" t="s">
        <v>3534</v>
      </c>
      <c r="E585" s="98">
        <v>0.18</v>
      </c>
      <c r="F585" s="120">
        <v>0</v>
      </c>
      <c r="G585" s="121">
        <v>1128</v>
      </c>
      <c r="H585" s="123">
        <v>0.18</v>
      </c>
      <c r="I585" s="122">
        <v>203.04</v>
      </c>
      <c r="J585" s="124">
        <f t="shared" si="9"/>
        <v>0.18</v>
      </c>
    </row>
    <row r="586" spans="1:11" ht="15" customHeight="1" x14ac:dyDescent="0.2">
      <c r="A586" s="120" t="s">
        <v>4433</v>
      </c>
      <c r="B586" s="120" t="s">
        <v>3692</v>
      </c>
      <c r="C586" s="98" t="s">
        <v>3533</v>
      </c>
      <c r="D586" s="120" t="s">
        <v>3534</v>
      </c>
      <c r="E586" s="98">
        <v>0.1</v>
      </c>
      <c r="F586" s="120">
        <v>0</v>
      </c>
      <c r="G586" s="121">
        <v>1400</v>
      </c>
      <c r="H586" s="123">
        <v>0.1</v>
      </c>
      <c r="I586" s="122">
        <v>140</v>
      </c>
      <c r="J586" s="124">
        <f t="shared" si="9"/>
        <v>0.1</v>
      </c>
      <c r="K586" s="98" t="s">
        <v>4434</v>
      </c>
    </row>
    <row r="587" spans="1:11" ht="15" customHeight="1" x14ac:dyDescent="0.2">
      <c r="A587" s="120" t="s">
        <v>4435</v>
      </c>
      <c r="B587" s="120" t="s">
        <v>3629</v>
      </c>
      <c r="C587" s="98" t="s">
        <v>3533</v>
      </c>
      <c r="D587" s="120" t="s">
        <v>3534</v>
      </c>
      <c r="E587" s="98">
        <v>6.3100000000000003E-2</v>
      </c>
      <c r="F587" s="120">
        <v>0</v>
      </c>
      <c r="G587" s="121">
        <v>5998</v>
      </c>
      <c r="H587" s="123">
        <v>6.3100000000000003E-2</v>
      </c>
      <c r="I587" s="122">
        <v>378.47380000000004</v>
      </c>
      <c r="J587" s="124">
        <f t="shared" si="9"/>
        <v>6.3100000000000003E-2</v>
      </c>
      <c r="K587" s="98" t="s">
        <v>4436</v>
      </c>
    </row>
    <row r="588" spans="1:11" ht="15" customHeight="1" x14ac:dyDescent="0.2">
      <c r="A588" s="120" t="s">
        <v>4437</v>
      </c>
      <c r="B588" s="120" t="s">
        <v>3620</v>
      </c>
      <c r="C588" s="98" t="s">
        <v>3533</v>
      </c>
      <c r="D588" s="120" t="s">
        <v>3534</v>
      </c>
      <c r="E588" s="98">
        <v>0.22500000000000001</v>
      </c>
      <c r="F588" s="120">
        <v>0</v>
      </c>
      <c r="G588" s="121">
        <v>26283</v>
      </c>
      <c r="H588" s="123">
        <v>0.22500000000000001</v>
      </c>
      <c r="I588" s="122">
        <v>5913.6750000000002</v>
      </c>
      <c r="J588" s="124">
        <f t="shared" si="9"/>
        <v>0.22500000000000001</v>
      </c>
      <c r="K588" s="98" t="s">
        <v>4438</v>
      </c>
    </row>
    <row r="589" spans="1:11" ht="15" customHeight="1" x14ac:dyDescent="0.2">
      <c r="A589" s="120" t="s">
        <v>4439</v>
      </c>
      <c r="B589" s="120" t="s">
        <v>3849</v>
      </c>
      <c r="C589" s="98" t="s">
        <v>3533</v>
      </c>
      <c r="D589" s="120" t="s">
        <v>3534</v>
      </c>
      <c r="E589" s="98">
        <v>0.20699999999999999</v>
      </c>
      <c r="F589" s="120">
        <v>0</v>
      </c>
      <c r="G589" s="121">
        <v>2000</v>
      </c>
      <c r="H589" s="123">
        <v>0.20699999999999999</v>
      </c>
      <c r="I589" s="122">
        <v>414</v>
      </c>
      <c r="J589" s="124">
        <f t="shared" si="9"/>
        <v>0.20699999999999999</v>
      </c>
      <c r="K589" s="98" t="s">
        <v>4440</v>
      </c>
    </row>
    <row r="590" spans="1:11" ht="15" customHeight="1" x14ac:dyDescent="0.2">
      <c r="A590" s="120" t="s">
        <v>4441</v>
      </c>
      <c r="B590" s="120" t="s">
        <v>3620</v>
      </c>
      <c r="C590" s="98" t="s">
        <v>3533</v>
      </c>
      <c r="D590" s="120" t="s">
        <v>3534</v>
      </c>
      <c r="E590" s="98">
        <v>0.2</v>
      </c>
      <c r="F590" s="120">
        <v>0</v>
      </c>
      <c r="G590" s="121">
        <v>23616</v>
      </c>
      <c r="H590" s="123">
        <v>0.2</v>
      </c>
      <c r="I590" s="122">
        <v>4723.2</v>
      </c>
      <c r="J590" s="124">
        <f t="shared" si="9"/>
        <v>0.2</v>
      </c>
    </row>
    <row r="591" spans="1:11" ht="15" customHeight="1" x14ac:dyDescent="0.2">
      <c r="A591" s="120" t="s">
        <v>4442</v>
      </c>
      <c r="B591" s="120" t="s">
        <v>3620</v>
      </c>
      <c r="C591" s="98" t="s">
        <v>3533</v>
      </c>
      <c r="D591" s="120" t="s">
        <v>3534</v>
      </c>
      <c r="E591" s="98">
        <v>0.219</v>
      </c>
      <c r="F591" s="120">
        <v>0</v>
      </c>
      <c r="G591" s="121">
        <v>16400</v>
      </c>
      <c r="H591" s="123">
        <v>0.219</v>
      </c>
      <c r="I591" s="122">
        <v>3591.6</v>
      </c>
      <c r="J591" s="124">
        <f t="shared" si="9"/>
        <v>0.219</v>
      </c>
    </row>
    <row r="592" spans="1:11" ht="15" customHeight="1" x14ac:dyDescent="0.2">
      <c r="A592" s="120" t="s">
        <v>4443</v>
      </c>
      <c r="B592" s="120" t="s">
        <v>3620</v>
      </c>
      <c r="C592" s="98" t="s">
        <v>3533</v>
      </c>
      <c r="D592" s="120" t="s">
        <v>3534</v>
      </c>
      <c r="E592" s="98">
        <v>0.219</v>
      </c>
      <c r="F592" s="120">
        <v>0</v>
      </c>
      <c r="G592" s="121">
        <v>43089</v>
      </c>
      <c r="H592" s="123">
        <v>0.219</v>
      </c>
      <c r="I592" s="122">
        <v>9436.491</v>
      </c>
      <c r="J592" s="124">
        <f t="shared" si="9"/>
        <v>0.219</v>
      </c>
    </row>
    <row r="593" spans="1:11" ht="15" customHeight="1" x14ac:dyDescent="0.2">
      <c r="A593" s="120" t="s">
        <v>4444</v>
      </c>
      <c r="B593" s="120" t="s">
        <v>3620</v>
      </c>
      <c r="C593" s="98" t="s">
        <v>3533</v>
      </c>
      <c r="D593" s="120" t="s">
        <v>3534</v>
      </c>
      <c r="E593" s="98">
        <v>0</v>
      </c>
      <c r="F593" s="120">
        <v>0</v>
      </c>
      <c r="G593" s="121">
        <v>0</v>
      </c>
      <c r="H593" s="123">
        <v>0</v>
      </c>
      <c r="I593" s="122">
        <v>0</v>
      </c>
      <c r="J593" s="124">
        <f t="shared" si="9"/>
        <v>0</v>
      </c>
    </row>
    <row r="594" spans="1:11" ht="15" customHeight="1" x14ac:dyDescent="0.2">
      <c r="A594" s="120" t="s">
        <v>4445</v>
      </c>
      <c r="B594" s="120" t="s">
        <v>3632</v>
      </c>
      <c r="C594" s="98" t="s">
        <v>3533</v>
      </c>
      <c r="D594" s="120" t="s">
        <v>3534</v>
      </c>
      <c r="E594" s="98">
        <v>0</v>
      </c>
      <c r="F594" s="120">
        <v>0</v>
      </c>
      <c r="G594" s="121">
        <v>2523</v>
      </c>
      <c r="H594" s="123">
        <v>0</v>
      </c>
      <c r="I594" s="122">
        <v>0</v>
      </c>
      <c r="J594" s="124">
        <f t="shared" si="9"/>
        <v>0</v>
      </c>
    </row>
    <row r="595" spans="1:11" ht="15" customHeight="1" x14ac:dyDescent="0.2">
      <c r="A595" s="120" t="s">
        <v>4446</v>
      </c>
      <c r="B595" s="120" t="s">
        <v>3692</v>
      </c>
      <c r="C595" s="98" t="s">
        <v>3533</v>
      </c>
      <c r="D595" s="120" t="s">
        <v>3534</v>
      </c>
      <c r="E595" s="98">
        <v>0.16</v>
      </c>
      <c r="F595" s="120">
        <v>0</v>
      </c>
      <c r="G595" s="121">
        <v>2147</v>
      </c>
      <c r="H595" s="123">
        <v>0.16</v>
      </c>
      <c r="I595" s="122">
        <v>343.52</v>
      </c>
      <c r="J595" s="124">
        <f t="shared" si="9"/>
        <v>0.16</v>
      </c>
      <c r="K595" s="98" t="s">
        <v>4447</v>
      </c>
    </row>
    <row r="596" spans="1:11" ht="15" customHeight="1" x14ac:dyDescent="0.2">
      <c r="A596" s="120" t="s">
        <v>4448</v>
      </c>
      <c r="B596" s="120" t="s">
        <v>3629</v>
      </c>
      <c r="C596" s="98" t="s">
        <v>3533</v>
      </c>
      <c r="D596" s="120" t="s">
        <v>3534</v>
      </c>
      <c r="E596" s="98">
        <v>0.15</v>
      </c>
      <c r="F596" s="120">
        <v>0</v>
      </c>
      <c r="G596" s="121">
        <v>1737</v>
      </c>
      <c r="H596" s="123">
        <v>0.15</v>
      </c>
      <c r="I596" s="122">
        <v>260.55</v>
      </c>
      <c r="J596" s="124">
        <f t="shared" si="9"/>
        <v>0.15</v>
      </c>
      <c r="K596" s="98" t="s">
        <v>4449</v>
      </c>
    </row>
    <row r="597" spans="1:11" ht="15" customHeight="1" x14ac:dyDescent="0.2">
      <c r="A597" s="120" t="s">
        <v>4450</v>
      </c>
      <c r="B597" s="120" t="s">
        <v>3532</v>
      </c>
      <c r="C597" s="98" t="s">
        <v>3533</v>
      </c>
      <c r="D597" s="120" t="s">
        <v>3534</v>
      </c>
      <c r="E597" s="98">
        <v>0</v>
      </c>
      <c r="F597" s="120">
        <v>0</v>
      </c>
      <c r="G597" s="121">
        <v>0</v>
      </c>
      <c r="H597" s="123">
        <v>0</v>
      </c>
      <c r="I597" s="122">
        <v>0</v>
      </c>
      <c r="J597" s="124">
        <f t="shared" si="9"/>
        <v>0</v>
      </c>
    </row>
    <row r="598" spans="1:11" ht="15" customHeight="1" x14ac:dyDescent="0.2">
      <c r="A598" s="120" t="s">
        <v>4451</v>
      </c>
      <c r="B598" s="120" t="s">
        <v>3620</v>
      </c>
      <c r="C598" s="98" t="s">
        <v>3540</v>
      </c>
      <c r="D598" s="120" t="s">
        <v>3534</v>
      </c>
      <c r="E598" s="98">
        <v>0.3</v>
      </c>
      <c r="F598" s="120">
        <v>0</v>
      </c>
      <c r="G598" s="121">
        <v>0</v>
      </c>
      <c r="H598" s="123">
        <v>0.3</v>
      </c>
      <c r="I598" s="122">
        <v>0</v>
      </c>
      <c r="J598" s="124">
        <f t="shared" si="9"/>
        <v>0.3</v>
      </c>
    </row>
    <row r="599" spans="1:11" ht="15" customHeight="1" x14ac:dyDescent="0.2">
      <c r="A599" s="120" t="s">
        <v>4452</v>
      </c>
      <c r="B599" s="120" t="s">
        <v>3692</v>
      </c>
      <c r="C599" s="98" t="s">
        <v>3533</v>
      </c>
      <c r="D599" s="120" t="s">
        <v>3534</v>
      </c>
      <c r="E599" s="98">
        <v>0.12</v>
      </c>
      <c r="F599" s="120">
        <v>0</v>
      </c>
      <c r="G599" s="121">
        <v>43193</v>
      </c>
      <c r="H599" s="123">
        <v>0.12</v>
      </c>
      <c r="I599" s="122">
        <v>5183.16</v>
      </c>
      <c r="J599" s="124">
        <f t="shared" si="9"/>
        <v>0.12</v>
      </c>
      <c r="K599" s="98" t="s">
        <v>4447</v>
      </c>
    </row>
    <row r="600" spans="1:11" ht="15" customHeight="1" x14ac:dyDescent="0.2">
      <c r="A600" s="120" t="s">
        <v>4453</v>
      </c>
      <c r="B600" s="120" t="s">
        <v>3692</v>
      </c>
      <c r="C600" s="98" t="s">
        <v>3533</v>
      </c>
      <c r="D600" s="120" t="s">
        <v>3534</v>
      </c>
      <c r="E600" s="98">
        <v>0.09</v>
      </c>
      <c r="F600" s="120">
        <v>0</v>
      </c>
      <c r="G600" s="121">
        <v>0</v>
      </c>
      <c r="H600" s="123">
        <v>0.09</v>
      </c>
      <c r="I600" s="122">
        <v>0</v>
      </c>
      <c r="J600" s="124">
        <f t="shared" si="9"/>
        <v>0.09</v>
      </c>
      <c r="K600" s="98" t="s">
        <v>4454</v>
      </c>
    </row>
    <row r="601" spans="1:11" ht="15" customHeight="1" x14ac:dyDescent="0.2">
      <c r="A601" s="120" t="s">
        <v>4455</v>
      </c>
      <c r="B601" s="120" t="s">
        <v>3629</v>
      </c>
      <c r="C601" s="98" t="s">
        <v>3533</v>
      </c>
      <c r="D601" s="120" t="s">
        <v>3534</v>
      </c>
      <c r="E601" s="98">
        <v>0.1396</v>
      </c>
      <c r="F601" s="120">
        <v>0</v>
      </c>
      <c r="G601" s="121">
        <v>7218</v>
      </c>
      <c r="H601" s="123">
        <v>0.1396</v>
      </c>
      <c r="I601" s="122">
        <v>1007.6328</v>
      </c>
      <c r="J601" s="124">
        <f t="shared" si="9"/>
        <v>0.1396</v>
      </c>
      <c r="K601" s="98" t="s">
        <v>4456</v>
      </c>
    </row>
    <row r="602" spans="1:11" ht="15" customHeight="1" x14ac:dyDescent="0.2">
      <c r="A602" s="120" t="s">
        <v>4457</v>
      </c>
      <c r="B602" s="120" t="s">
        <v>3692</v>
      </c>
      <c r="C602" s="98" t="s">
        <v>3533</v>
      </c>
      <c r="D602" s="120" t="s">
        <v>3534</v>
      </c>
      <c r="E602" s="98">
        <v>0</v>
      </c>
      <c r="F602" s="120">
        <v>0</v>
      </c>
      <c r="G602" s="121">
        <v>2341</v>
      </c>
      <c r="H602" s="123">
        <v>0</v>
      </c>
      <c r="I602" s="122">
        <v>0</v>
      </c>
      <c r="J602" s="124">
        <f t="shared" si="9"/>
        <v>0</v>
      </c>
    </row>
    <row r="603" spans="1:11" ht="15" customHeight="1" x14ac:dyDescent="0.2">
      <c r="A603" s="120" t="s">
        <v>4458</v>
      </c>
      <c r="B603" s="120" t="s">
        <v>3692</v>
      </c>
      <c r="C603" s="98" t="s">
        <v>3533</v>
      </c>
      <c r="D603" s="120" t="s">
        <v>3534</v>
      </c>
      <c r="E603" s="98">
        <v>0</v>
      </c>
      <c r="F603" s="120">
        <v>0</v>
      </c>
      <c r="G603" s="121">
        <v>1790</v>
      </c>
      <c r="H603" s="123">
        <v>0</v>
      </c>
      <c r="I603" s="122">
        <v>0</v>
      </c>
      <c r="J603" s="124">
        <f t="shared" si="9"/>
        <v>0</v>
      </c>
    </row>
    <row r="604" spans="1:11" ht="15" customHeight="1" x14ac:dyDescent="0.2">
      <c r="A604" s="120" t="s">
        <v>4459</v>
      </c>
      <c r="B604" s="120" t="s">
        <v>3620</v>
      </c>
      <c r="C604" s="98" t="s">
        <v>3533</v>
      </c>
      <c r="D604" s="120" t="s">
        <v>3534</v>
      </c>
      <c r="E604" s="98">
        <v>0.17050273224043699</v>
      </c>
      <c r="F604" s="120">
        <v>0</v>
      </c>
      <c r="G604" s="121">
        <v>0</v>
      </c>
      <c r="H604" s="123">
        <v>0.17050000000000001</v>
      </c>
      <c r="I604" s="122">
        <v>0</v>
      </c>
      <c r="J604" s="124">
        <f t="shared" si="9"/>
        <v>0.17050273224043699</v>
      </c>
      <c r="K604" s="98" t="s">
        <v>4460</v>
      </c>
    </row>
    <row r="605" spans="1:11" ht="15" customHeight="1" x14ac:dyDescent="0.2">
      <c r="A605" s="120" t="s">
        <v>4461</v>
      </c>
      <c r="B605" s="120" t="s">
        <v>3620</v>
      </c>
      <c r="C605" s="98" t="s">
        <v>3533</v>
      </c>
      <c r="D605" s="120" t="s">
        <v>3534</v>
      </c>
      <c r="E605" s="98">
        <v>0.215</v>
      </c>
      <c r="F605" s="120">
        <v>0</v>
      </c>
      <c r="G605" s="121">
        <v>1000</v>
      </c>
      <c r="H605" s="123">
        <v>0.215</v>
      </c>
      <c r="I605" s="122">
        <v>215</v>
      </c>
      <c r="J605" s="124">
        <f t="shared" si="9"/>
        <v>0.215</v>
      </c>
    </row>
    <row r="606" spans="1:11" ht="15" customHeight="1" x14ac:dyDescent="0.2">
      <c r="A606" s="120" t="s">
        <v>4462</v>
      </c>
      <c r="B606" s="120" t="s">
        <v>3692</v>
      </c>
      <c r="C606" s="98" t="s">
        <v>3533</v>
      </c>
      <c r="D606" s="120" t="s">
        <v>3534</v>
      </c>
      <c r="E606" s="98">
        <v>0.18</v>
      </c>
      <c r="F606" s="120">
        <v>0</v>
      </c>
      <c r="G606" s="121">
        <v>1582</v>
      </c>
      <c r="H606" s="123">
        <v>0.18</v>
      </c>
      <c r="I606" s="122">
        <v>284.76</v>
      </c>
      <c r="J606" s="124">
        <f t="shared" si="9"/>
        <v>0.18</v>
      </c>
      <c r="K606" s="98" t="s">
        <v>4463</v>
      </c>
    </row>
    <row r="607" spans="1:11" ht="15" customHeight="1" x14ac:dyDescent="0.2">
      <c r="A607" s="120" t="s">
        <v>4464</v>
      </c>
      <c r="B607" s="120" t="s">
        <v>3625</v>
      </c>
      <c r="C607" s="98" t="s">
        <v>3533</v>
      </c>
      <c r="D607" s="120" t="s">
        <v>3534</v>
      </c>
      <c r="E607" s="98">
        <v>0.32152839506172798</v>
      </c>
      <c r="F607" s="120">
        <v>0</v>
      </c>
      <c r="G607" s="121">
        <v>486</v>
      </c>
      <c r="H607" s="123">
        <v>0.32152799999999998</v>
      </c>
      <c r="I607" s="122">
        <v>156.262608</v>
      </c>
      <c r="J607" s="124">
        <f t="shared" si="9"/>
        <v>0.32152839506172798</v>
      </c>
      <c r="K607" s="98" t="s">
        <v>4465</v>
      </c>
    </row>
    <row r="608" spans="1:11" ht="15" customHeight="1" x14ac:dyDescent="0.2">
      <c r="A608" s="120" t="s">
        <v>4466</v>
      </c>
      <c r="B608" s="120" t="s">
        <v>4467</v>
      </c>
      <c r="C608" s="98" t="s">
        <v>3533</v>
      </c>
      <c r="D608" s="120" t="s">
        <v>3534</v>
      </c>
      <c r="E608" s="98">
        <v>0.75</v>
      </c>
      <c r="F608" s="120">
        <v>0</v>
      </c>
      <c r="G608" s="121">
        <v>380</v>
      </c>
      <c r="H608" s="123">
        <v>0.75</v>
      </c>
      <c r="I608" s="122">
        <v>285</v>
      </c>
      <c r="J608" s="124">
        <f t="shared" si="9"/>
        <v>0.75</v>
      </c>
    </row>
    <row r="609" spans="1:11" ht="15" customHeight="1" x14ac:dyDescent="0.2">
      <c r="A609" s="120" t="s">
        <v>4468</v>
      </c>
      <c r="B609" s="120" t="s">
        <v>3625</v>
      </c>
      <c r="C609" s="98" t="s">
        <v>3533</v>
      </c>
      <c r="D609" s="120" t="s">
        <v>3534</v>
      </c>
      <c r="E609" s="98">
        <v>0.41669996400288001</v>
      </c>
      <c r="F609" s="120">
        <v>0</v>
      </c>
      <c r="G609" s="121">
        <v>142236</v>
      </c>
      <c r="H609" s="123">
        <v>0.4168</v>
      </c>
      <c r="I609" s="122">
        <v>59283.964800000002</v>
      </c>
      <c r="J609" s="124">
        <f t="shared" si="9"/>
        <v>0.41669996400288001</v>
      </c>
      <c r="K609" s="98" t="s">
        <v>4469</v>
      </c>
    </row>
    <row r="610" spans="1:11" ht="15" customHeight="1" x14ac:dyDescent="0.2">
      <c r="A610" s="120" t="s">
        <v>4470</v>
      </c>
      <c r="B610" s="120" t="s">
        <v>3629</v>
      </c>
      <c r="C610" s="98" t="s">
        <v>3533</v>
      </c>
      <c r="D610" s="120" t="s">
        <v>3534</v>
      </c>
      <c r="E610" s="98">
        <v>0.158010185185185</v>
      </c>
      <c r="F610" s="120">
        <v>0</v>
      </c>
      <c r="G610" s="121">
        <v>592</v>
      </c>
      <c r="H610" s="123">
        <v>0.15801000000000001</v>
      </c>
      <c r="I610" s="122">
        <v>93.541920000000005</v>
      </c>
      <c r="J610" s="124">
        <f t="shared" si="9"/>
        <v>0.158010185185185</v>
      </c>
    </row>
    <row r="611" spans="1:11" ht="15" customHeight="1" x14ac:dyDescent="0.2">
      <c r="A611" s="120" t="s">
        <v>4471</v>
      </c>
      <c r="B611" s="120" t="s">
        <v>3629</v>
      </c>
      <c r="C611" s="98" t="s">
        <v>3533</v>
      </c>
      <c r="D611" s="120" t="s">
        <v>3534</v>
      </c>
      <c r="E611" s="98">
        <v>0</v>
      </c>
      <c r="F611" s="120">
        <v>0</v>
      </c>
      <c r="G611" s="121">
        <v>0</v>
      </c>
      <c r="H611" s="123">
        <v>0</v>
      </c>
      <c r="I611" s="122">
        <v>0</v>
      </c>
      <c r="J611" s="124">
        <f t="shared" si="9"/>
        <v>0</v>
      </c>
    </row>
    <row r="612" spans="1:11" ht="15" customHeight="1" x14ac:dyDescent="0.2">
      <c r="A612" s="120" t="s">
        <v>4472</v>
      </c>
      <c r="B612" s="120" t="s">
        <v>3629</v>
      </c>
      <c r="C612" s="98" t="s">
        <v>3533</v>
      </c>
      <c r="D612" s="120" t="s">
        <v>3534</v>
      </c>
      <c r="E612" s="98">
        <v>7.4700000000000003E-2</v>
      </c>
      <c r="F612" s="120">
        <v>0</v>
      </c>
      <c r="G612" s="121">
        <v>2106</v>
      </c>
      <c r="H612" s="123">
        <v>7.4700000000000003E-2</v>
      </c>
      <c r="I612" s="122">
        <v>157.31820000000002</v>
      </c>
      <c r="J612" s="124">
        <f t="shared" si="9"/>
        <v>7.4700000000000003E-2</v>
      </c>
      <c r="K612" s="98" t="s">
        <v>4473</v>
      </c>
    </row>
    <row r="613" spans="1:11" ht="15" customHeight="1" x14ac:dyDescent="0.2">
      <c r="A613" s="120" t="s">
        <v>4474</v>
      </c>
      <c r="B613" s="120" t="s">
        <v>3532</v>
      </c>
      <c r="C613" s="98" t="s">
        <v>3533</v>
      </c>
      <c r="D613" s="120" t="s">
        <v>3534</v>
      </c>
      <c r="E613" s="98">
        <v>1.1650000000000001E-2</v>
      </c>
      <c r="F613" s="120">
        <v>0</v>
      </c>
      <c r="G613" s="121">
        <v>3817</v>
      </c>
      <c r="H613" s="123">
        <v>1.1650000000000001E-2</v>
      </c>
      <c r="I613" s="122">
        <v>44.468050000000005</v>
      </c>
      <c r="J613" s="124">
        <f t="shared" si="9"/>
        <v>1.1650000000000001E-2</v>
      </c>
    </row>
    <row r="614" spans="1:11" ht="15" customHeight="1" x14ac:dyDescent="0.2">
      <c r="A614" s="120" t="s">
        <v>4475</v>
      </c>
      <c r="B614" s="120" t="s">
        <v>3532</v>
      </c>
      <c r="C614" s="98" t="s">
        <v>3533</v>
      </c>
      <c r="D614" s="120" t="s">
        <v>3534</v>
      </c>
      <c r="E614" s="98">
        <v>0</v>
      </c>
      <c r="F614" s="120">
        <v>0</v>
      </c>
      <c r="G614" s="121">
        <v>3604</v>
      </c>
      <c r="H614" s="123">
        <v>0</v>
      </c>
      <c r="I614" s="122">
        <v>0</v>
      </c>
      <c r="J614" s="124">
        <f t="shared" si="9"/>
        <v>0</v>
      </c>
    </row>
    <row r="615" spans="1:11" ht="15" customHeight="1" x14ac:dyDescent="0.2">
      <c r="A615" s="120" t="s">
        <v>4476</v>
      </c>
      <c r="B615" s="120" t="s">
        <v>3532</v>
      </c>
      <c r="C615" s="98" t="s">
        <v>3533</v>
      </c>
      <c r="D615" s="120" t="s">
        <v>3534</v>
      </c>
      <c r="E615" s="98">
        <v>0</v>
      </c>
      <c r="F615" s="120">
        <v>0</v>
      </c>
      <c r="G615" s="121">
        <v>3130</v>
      </c>
      <c r="H615" s="123">
        <v>0</v>
      </c>
      <c r="I615" s="122">
        <v>0</v>
      </c>
      <c r="J615" s="124">
        <f t="shared" si="9"/>
        <v>0</v>
      </c>
    </row>
    <row r="616" spans="1:11" ht="15" customHeight="1" x14ac:dyDescent="0.2">
      <c r="A616" s="120" t="s">
        <v>4477</v>
      </c>
      <c r="B616" s="120" t="s">
        <v>3532</v>
      </c>
      <c r="C616" s="98" t="s">
        <v>3533</v>
      </c>
      <c r="D616" s="120" t="s">
        <v>3534</v>
      </c>
      <c r="E616" s="98">
        <v>1.2E-2</v>
      </c>
      <c r="F616" s="120">
        <v>0</v>
      </c>
      <c r="G616" s="121">
        <v>114200</v>
      </c>
      <c r="H616" s="123">
        <v>1.2E-2</v>
      </c>
      <c r="I616" s="122">
        <v>1370.4</v>
      </c>
      <c r="J616" s="124">
        <f t="shared" si="9"/>
        <v>1.2E-2</v>
      </c>
    </row>
    <row r="617" spans="1:11" ht="15" customHeight="1" x14ac:dyDescent="0.2">
      <c r="A617" s="120" t="s">
        <v>4478</v>
      </c>
      <c r="B617" s="120" t="s">
        <v>3532</v>
      </c>
      <c r="C617" s="98" t="s">
        <v>3532</v>
      </c>
      <c r="D617" s="120" t="s">
        <v>3534</v>
      </c>
      <c r="E617" s="98">
        <v>2.1000000000000001E-2</v>
      </c>
      <c r="F617" s="120">
        <v>0</v>
      </c>
      <c r="G617" s="121">
        <v>0</v>
      </c>
      <c r="H617" s="123">
        <v>2.1000000000000001E-2</v>
      </c>
      <c r="I617" s="122">
        <v>0</v>
      </c>
      <c r="J617" s="124">
        <f t="shared" si="9"/>
        <v>2.1000000000000001E-2</v>
      </c>
    </row>
    <row r="618" spans="1:11" ht="15" customHeight="1" x14ac:dyDescent="0.2">
      <c r="A618" s="120" t="s">
        <v>4479</v>
      </c>
      <c r="B618" s="120" t="s">
        <v>3632</v>
      </c>
      <c r="C618" s="98" t="s">
        <v>3533</v>
      </c>
      <c r="D618" s="120" t="s">
        <v>3534</v>
      </c>
      <c r="E618" s="98">
        <v>80.099999999999994</v>
      </c>
      <c r="F618" s="120">
        <v>0</v>
      </c>
      <c r="G618" s="121">
        <v>0</v>
      </c>
      <c r="H618" s="123">
        <v>80.099999999999994</v>
      </c>
      <c r="I618" s="122">
        <v>0</v>
      </c>
      <c r="J618" s="124">
        <f t="shared" si="9"/>
        <v>80.099999999999994</v>
      </c>
    </row>
    <row r="619" spans="1:11" ht="15" customHeight="1" x14ac:dyDescent="0.2">
      <c r="A619" s="120" t="s">
        <v>4480</v>
      </c>
      <c r="B619" s="120" t="s">
        <v>3632</v>
      </c>
      <c r="C619" s="98" t="s">
        <v>3533</v>
      </c>
      <c r="D619" s="120" t="s">
        <v>3534</v>
      </c>
      <c r="E619" s="98">
        <v>70.8</v>
      </c>
      <c r="F619" s="120">
        <v>0</v>
      </c>
      <c r="G619" s="121">
        <v>4.3947000000000003</v>
      </c>
      <c r="H619" s="123">
        <v>70.8</v>
      </c>
      <c r="I619" s="122">
        <v>311.14476000000002</v>
      </c>
      <c r="J619" s="124">
        <f t="shared" si="9"/>
        <v>70.8</v>
      </c>
    </row>
    <row r="620" spans="1:11" ht="15" customHeight="1" x14ac:dyDescent="0.2">
      <c r="A620" s="120" t="s">
        <v>4481</v>
      </c>
      <c r="B620" s="120" t="s">
        <v>4482</v>
      </c>
      <c r="C620" s="98" t="s">
        <v>3533</v>
      </c>
      <c r="D620" s="120" t="s">
        <v>3534</v>
      </c>
      <c r="E620" s="98">
        <v>4.0989999999999999E-2</v>
      </c>
      <c r="F620" s="120">
        <v>0</v>
      </c>
      <c r="G620" s="121">
        <v>13279</v>
      </c>
      <c r="H620" s="123">
        <v>4.0989999999999999E-2</v>
      </c>
      <c r="I620" s="122">
        <v>544.30620999999996</v>
      </c>
      <c r="J620" s="124">
        <f t="shared" si="9"/>
        <v>4.0989999999999999E-2</v>
      </c>
      <c r="K620" s="98" t="s">
        <v>4483</v>
      </c>
    </row>
    <row r="621" spans="1:11" ht="15" customHeight="1" x14ac:dyDescent="0.2">
      <c r="A621" s="120" t="s">
        <v>4484</v>
      </c>
      <c r="B621" s="120" t="s">
        <v>4485</v>
      </c>
      <c r="C621" s="98" t="s">
        <v>3533</v>
      </c>
      <c r="D621" s="120" t="s">
        <v>3534</v>
      </c>
      <c r="E621" s="98">
        <v>6.3E-3</v>
      </c>
      <c r="F621" s="120">
        <v>5000000</v>
      </c>
      <c r="G621" s="121">
        <v>6939965.0000010002</v>
      </c>
      <c r="H621" s="123">
        <v>6.3E-3</v>
      </c>
      <c r="I621" s="122">
        <v>43721.779500006305</v>
      </c>
      <c r="J621" s="124">
        <f t="shared" si="9"/>
        <v>6.3E-3</v>
      </c>
      <c r="K621" s="98" t="s">
        <v>4486</v>
      </c>
    </row>
    <row r="622" spans="1:11" ht="15" customHeight="1" x14ac:dyDescent="0.2">
      <c r="A622" s="120" t="s">
        <v>4487</v>
      </c>
      <c r="B622" s="120" t="s">
        <v>4485</v>
      </c>
      <c r="C622" s="98" t="s">
        <v>3533</v>
      </c>
      <c r="D622" s="120" t="s">
        <v>3534</v>
      </c>
      <c r="E622" s="98">
        <v>5.4000000000000003E-3</v>
      </c>
      <c r="F622" s="120">
        <v>2000000</v>
      </c>
      <c r="G622" s="121">
        <v>2652553</v>
      </c>
      <c r="H622" s="123">
        <v>5.4000000000000003E-3</v>
      </c>
      <c r="I622" s="122">
        <v>14323.7862</v>
      </c>
      <c r="J622" s="124">
        <f t="shared" si="9"/>
        <v>5.4000000000000003E-3</v>
      </c>
      <c r="K622" s="98" t="s">
        <v>4488</v>
      </c>
    </row>
    <row r="623" spans="1:11" ht="15" customHeight="1" x14ac:dyDescent="0.2">
      <c r="A623" s="120" t="s">
        <v>4489</v>
      </c>
      <c r="B623" s="120" t="s">
        <v>4490</v>
      </c>
      <c r="C623" s="98" t="s">
        <v>3533</v>
      </c>
      <c r="D623" s="120" t="s">
        <v>3534</v>
      </c>
      <c r="E623" s="98">
        <v>3.4499999999999999E-3</v>
      </c>
      <c r="F623" s="120">
        <v>0</v>
      </c>
      <c r="G623" s="121">
        <v>485000</v>
      </c>
      <c r="H623" s="123">
        <v>3.4499999999999999E-3</v>
      </c>
      <c r="I623" s="122">
        <v>1673.25</v>
      </c>
      <c r="J623" s="124">
        <f t="shared" si="9"/>
        <v>3.4499999999999999E-3</v>
      </c>
    </row>
    <row r="624" spans="1:11" ht="15" customHeight="1" x14ac:dyDescent="0.2">
      <c r="A624" s="120" t="s">
        <v>4491</v>
      </c>
      <c r="B624" s="120" t="s">
        <v>4485</v>
      </c>
      <c r="C624" s="98" t="s">
        <v>3533</v>
      </c>
      <c r="D624" s="120" t="s">
        <v>3534</v>
      </c>
      <c r="E624" s="98">
        <v>5.3E-3</v>
      </c>
      <c r="F624" s="120">
        <v>0</v>
      </c>
      <c r="G624" s="121">
        <v>540002</v>
      </c>
      <c r="H624" s="123">
        <v>5.3E-3</v>
      </c>
      <c r="I624" s="122">
        <v>2862.0106000000001</v>
      </c>
      <c r="J624" s="124">
        <f t="shared" si="9"/>
        <v>5.3E-3</v>
      </c>
      <c r="K624" s="98" t="s">
        <v>4492</v>
      </c>
    </row>
    <row r="625" spans="1:11" ht="15" customHeight="1" x14ac:dyDescent="0.2">
      <c r="A625" s="120" t="s">
        <v>4493</v>
      </c>
      <c r="B625" s="120" t="s">
        <v>4485</v>
      </c>
      <c r="C625" s="98" t="s">
        <v>3533</v>
      </c>
      <c r="D625" s="120" t="s">
        <v>3534</v>
      </c>
      <c r="E625" s="98">
        <v>3.2000000000000002E-3</v>
      </c>
      <c r="F625" s="120">
        <v>0</v>
      </c>
      <c r="G625" s="121">
        <v>1361701</v>
      </c>
      <c r="H625" s="123">
        <v>3.2000000000000002E-3</v>
      </c>
      <c r="I625" s="122">
        <v>4357.4432000000006</v>
      </c>
      <c r="J625" s="124">
        <f t="shared" si="9"/>
        <v>3.2000000000000002E-3</v>
      </c>
      <c r="K625" s="98" t="s">
        <v>4494</v>
      </c>
    </row>
    <row r="626" spans="1:11" ht="15" customHeight="1" x14ac:dyDescent="0.2">
      <c r="A626" s="120" t="s">
        <v>4495</v>
      </c>
      <c r="B626" s="120" t="s">
        <v>3532</v>
      </c>
      <c r="C626" s="98" t="s">
        <v>3533</v>
      </c>
      <c r="D626" s="120" t="s">
        <v>3534</v>
      </c>
      <c r="E626" s="98">
        <v>2.7799999999999999E-3</v>
      </c>
      <c r="F626" s="120">
        <v>0</v>
      </c>
      <c r="G626" s="121">
        <v>0</v>
      </c>
      <c r="H626" s="123">
        <v>2.7799999999999999E-3</v>
      </c>
      <c r="I626" s="122">
        <v>0</v>
      </c>
      <c r="J626" s="124">
        <f t="shared" si="9"/>
        <v>2.7799999999999999E-3</v>
      </c>
    </row>
    <row r="627" spans="1:11" ht="15" customHeight="1" x14ac:dyDescent="0.2">
      <c r="A627" s="120" t="s">
        <v>4496</v>
      </c>
      <c r="B627" s="120" t="s">
        <v>4490</v>
      </c>
      <c r="C627" s="98" t="s">
        <v>3533</v>
      </c>
      <c r="D627" s="120" t="s">
        <v>3534</v>
      </c>
      <c r="E627" s="98">
        <v>5.0499999999999998E-3</v>
      </c>
      <c r="F627" s="120">
        <v>0</v>
      </c>
      <c r="G627" s="121">
        <v>84112</v>
      </c>
      <c r="H627" s="123">
        <v>5.0499999999999998E-3</v>
      </c>
      <c r="I627" s="122">
        <v>424.76560000000001</v>
      </c>
      <c r="J627" s="124">
        <f t="shared" si="9"/>
        <v>5.0499999999999998E-3</v>
      </c>
    </row>
    <row r="628" spans="1:11" ht="15" customHeight="1" x14ac:dyDescent="0.2">
      <c r="A628" s="120" t="s">
        <v>4497</v>
      </c>
      <c r="B628" s="120" t="s">
        <v>4490</v>
      </c>
      <c r="C628" s="98" t="s">
        <v>3533</v>
      </c>
      <c r="D628" s="120" t="s">
        <v>3534</v>
      </c>
      <c r="E628" s="98">
        <v>4.8500000000000001E-3</v>
      </c>
      <c r="F628" s="120">
        <v>0</v>
      </c>
      <c r="G628" s="121">
        <v>81431</v>
      </c>
      <c r="H628" s="123">
        <v>4.8500000000000001E-3</v>
      </c>
      <c r="I628" s="122">
        <v>394.94035000000002</v>
      </c>
      <c r="J628" s="124">
        <f t="shared" si="9"/>
        <v>4.8500000000000001E-3</v>
      </c>
      <c r="K628" s="98" t="s">
        <v>4498</v>
      </c>
    </row>
    <row r="629" spans="1:11" ht="15" customHeight="1" x14ac:dyDescent="0.2">
      <c r="A629" s="120" t="s">
        <v>4499</v>
      </c>
      <c r="B629" s="120" t="s">
        <v>3532</v>
      </c>
      <c r="C629" s="98" t="s">
        <v>3533</v>
      </c>
      <c r="D629" s="120" t="s">
        <v>3534</v>
      </c>
      <c r="E629" s="98">
        <v>7.0000000000000001E-3</v>
      </c>
      <c r="F629" s="120">
        <v>0</v>
      </c>
      <c r="G629" s="121">
        <v>95500</v>
      </c>
      <c r="H629" s="123">
        <v>7.0000000000000001E-3</v>
      </c>
      <c r="I629" s="122">
        <v>668.5</v>
      </c>
      <c r="J629" s="124">
        <f t="shared" si="9"/>
        <v>7.0000000000000001E-3</v>
      </c>
    </row>
    <row r="630" spans="1:11" ht="15" customHeight="1" x14ac:dyDescent="0.2">
      <c r="A630" s="120" t="s">
        <v>4500</v>
      </c>
      <c r="B630" s="120" t="s">
        <v>4501</v>
      </c>
      <c r="C630" s="98" t="s">
        <v>3533</v>
      </c>
      <c r="D630" s="120" t="s">
        <v>3534</v>
      </c>
      <c r="E630" s="98">
        <v>1.103E-2</v>
      </c>
      <c r="F630" s="120">
        <v>0</v>
      </c>
      <c r="G630" s="121">
        <v>101171</v>
      </c>
      <c r="H630" s="123">
        <v>1.103E-2</v>
      </c>
      <c r="I630" s="122">
        <v>1115.9161300000001</v>
      </c>
      <c r="J630" s="124">
        <f t="shared" si="9"/>
        <v>1.103E-2</v>
      </c>
      <c r="K630" s="98" t="s">
        <v>4502</v>
      </c>
    </row>
    <row r="631" spans="1:11" ht="15" customHeight="1" x14ac:dyDescent="0.2">
      <c r="A631" s="120" t="s">
        <v>4503</v>
      </c>
      <c r="B631" s="120" t="s">
        <v>4501</v>
      </c>
      <c r="C631" s="98" t="s">
        <v>3533</v>
      </c>
      <c r="D631" s="120" t="s">
        <v>3534</v>
      </c>
      <c r="E631" s="98">
        <v>4.1000000000000003E-3</v>
      </c>
      <c r="F631" s="120">
        <v>0</v>
      </c>
      <c r="G631" s="121">
        <v>0</v>
      </c>
      <c r="H631" s="123">
        <v>4.1000000000000003E-3</v>
      </c>
      <c r="I631" s="122">
        <v>0</v>
      </c>
      <c r="J631" s="124">
        <f t="shared" si="9"/>
        <v>4.1000000000000003E-3</v>
      </c>
      <c r="K631" s="98" t="s">
        <v>4504</v>
      </c>
    </row>
    <row r="632" spans="1:11" ht="15" customHeight="1" x14ac:dyDescent="0.2">
      <c r="A632" s="120" t="s">
        <v>4505</v>
      </c>
      <c r="B632" s="120" t="s">
        <v>4501</v>
      </c>
      <c r="C632" s="98" t="s">
        <v>3533</v>
      </c>
      <c r="D632" s="120" t="s">
        <v>3534</v>
      </c>
      <c r="E632" s="98">
        <v>3.0500000000000002E-3</v>
      </c>
      <c r="F632" s="120">
        <v>0</v>
      </c>
      <c r="G632" s="121">
        <v>0</v>
      </c>
      <c r="H632" s="123">
        <v>3.0500000000000002E-3</v>
      </c>
      <c r="I632" s="122">
        <v>0</v>
      </c>
      <c r="J632" s="124">
        <f t="shared" si="9"/>
        <v>3.0500000000000002E-3</v>
      </c>
      <c r="K632" s="98" t="s">
        <v>4506</v>
      </c>
    </row>
    <row r="633" spans="1:11" ht="15" customHeight="1" x14ac:dyDescent="0.2">
      <c r="A633" s="120" t="s">
        <v>4507</v>
      </c>
      <c r="B633" s="120" t="s">
        <v>4501</v>
      </c>
      <c r="C633" s="98" t="s">
        <v>3533</v>
      </c>
      <c r="D633" s="120" t="s">
        <v>3534</v>
      </c>
      <c r="E633" s="98">
        <v>3.7000000000000002E-3</v>
      </c>
      <c r="F633" s="120">
        <v>0</v>
      </c>
      <c r="G633" s="121">
        <v>0</v>
      </c>
      <c r="H633" s="123">
        <v>3.7000000000000002E-3</v>
      </c>
      <c r="I633" s="122">
        <v>0</v>
      </c>
      <c r="J633" s="124">
        <f t="shared" si="9"/>
        <v>3.7000000000000002E-3</v>
      </c>
      <c r="K633" s="98" t="s">
        <v>4508</v>
      </c>
    </row>
    <row r="634" spans="1:11" ht="15" customHeight="1" x14ac:dyDescent="0.2">
      <c r="A634" s="120" t="s">
        <v>4509</v>
      </c>
      <c r="B634" s="120" t="s">
        <v>4510</v>
      </c>
      <c r="C634" s="98" t="s">
        <v>3533</v>
      </c>
      <c r="D634" s="120" t="s">
        <v>3534</v>
      </c>
      <c r="E634" s="98">
        <v>1.15E-2</v>
      </c>
      <c r="F634" s="120">
        <v>0</v>
      </c>
      <c r="G634" s="121">
        <v>0</v>
      </c>
      <c r="H634" s="123">
        <v>1.15E-2</v>
      </c>
      <c r="I634" s="122">
        <v>0</v>
      </c>
      <c r="J634" s="124">
        <f t="shared" si="9"/>
        <v>1.15E-2</v>
      </c>
    </row>
    <row r="635" spans="1:11" ht="15" customHeight="1" x14ac:dyDescent="0.2">
      <c r="A635" s="120" t="s">
        <v>4511</v>
      </c>
      <c r="B635" s="120" t="s">
        <v>4510</v>
      </c>
      <c r="C635" s="98" t="s">
        <v>3533</v>
      </c>
      <c r="D635" s="120" t="s">
        <v>3534</v>
      </c>
      <c r="E635" s="98">
        <v>8.5000000000000006E-3</v>
      </c>
      <c r="F635" s="120">
        <v>0</v>
      </c>
      <c r="G635" s="121">
        <v>0</v>
      </c>
      <c r="H635" s="123">
        <v>8.5000000000000006E-3</v>
      </c>
      <c r="I635" s="122">
        <v>0</v>
      </c>
      <c r="J635" s="124">
        <f t="shared" si="9"/>
        <v>8.5000000000000006E-3</v>
      </c>
      <c r="K635" s="98" t="s">
        <v>4512</v>
      </c>
    </row>
    <row r="636" spans="1:11" ht="15" customHeight="1" x14ac:dyDescent="0.2">
      <c r="A636" s="120" t="s">
        <v>4513</v>
      </c>
      <c r="B636" s="120" t="s">
        <v>4514</v>
      </c>
      <c r="C636" s="98" t="s">
        <v>3533</v>
      </c>
      <c r="D636" s="120" t="s">
        <v>3534</v>
      </c>
      <c r="E636" s="98">
        <v>1.3769999999999999E-2</v>
      </c>
      <c r="F636" s="120">
        <v>0</v>
      </c>
      <c r="G636" s="121">
        <v>140000</v>
      </c>
      <c r="H636" s="123">
        <v>1.3769999999999999E-2</v>
      </c>
      <c r="I636" s="122">
        <v>1927.8</v>
      </c>
      <c r="J636" s="124">
        <f t="shared" si="9"/>
        <v>1.3769999999999999E-2</v>
      </c>
      <c r="K636" s="98" t="s">
        <v>4515</v>
      </c>
    </row>
    <row r="637" spans="1:11" ht="15" customHeight="1" x14ac:dyDescent="0.2">
      <c r="A637" s="120" t="s">
        <v>4516</v>
      </c>
      <c r="B637" s="120" t="s">
        <v>4510</v>
      </c>
      <c r="C637" s="98" t="s">
        <v>3533</v>
      </c>
      <c r="D637" s="120" t="s">
        <v>3534</v>
      </c>
      <c r="E637" s="98">
        <v>1.2500000000000001E-2</v>
      </c>
      <c r="F637" s="120">
        <v>0</v>
      </c>
      <c r="G637" s="121">
        <v>1090000</v>
      </c>
      <c r="H637" s="123">
        <v>1.2500000000000001E-2</v>
      </c>
      <c r="I637" s="122">
        <v>13625</v>
      </c>
      <c r="J637" s="124">
        <f t="shared" si="9"/>
        <v>1.2500000000000001E-2</v>
      </c>
      <c r="K637" s="98" t="s">
        <v>4517</v>
      </c>
    </row>
    <row r="638" spans="1:11" ht="15" customHeight="1" x14ac:dyDescent="0.2">
      <c r="A638" s="120" t="s">
        <v>4518</v>
      </c>
      <c r="B638" s="120" t="s">
        <v>4510</v>
      </c>
      <c r="C638" s="98" t="s">
        <v>3533</v>
      </c>
      <c r="D638" s="120" t="s">
        <v>3534</v>
      </c>
      <c r="E638" s="98">
        <v>1.04E-2</v>
      </c>
      <c r="F638" s="120">
        <v>0</v>
      </c>
      <c r="G638" s="121">
        <v>333644</v>
      </c>
      <c r="H638" s="123">
        <v>1.04E-2</v>
      </c>
      <c r="I638" s="122">
        <v>3469.8975999999998</v>
      </c>
      <c r="J638" s="124">
        <f t="shared" si="9"/>
        <v>1.04E-2</v>
      </c>
      <c r="K638" s="98" t="s">
        <v>4519</v>
      </c>
    </row>
    <row r="639" spans="1:11" ht="15" customHeight="1" x14ac:dyDescent="0.2">
      <c r="A639" s="120" t="s">
        <v>4520</v>
      </c>
      <c r="B639" s="120" t="s">
        <v>4490</v>
      </c>
      <c r="C639" s="98" t="s">
        <v>3533</v>
      </c>
      <c r="D639" s="120" t="s">
        <v>3534</v>
      </c>
      <c r="E639" s="98">
        <v>5.5999999999999999E-3</v>
      </c>
      <c r="F639" s="120">
        <v>0</v>
      </c>
      <c r="G639" s="121">
        <v>150000</v>
      </c>
      <c r="H639" s="123">
        <v>5.5999999999999999E-3</v>
      </c>
      <c r="I639" s="122">
        <v>840</v>
      </c>
      <c r="J639" s="124">
        <f t="shared" si="9"/>
        <v>5.5999999999999999E-3</v>
      </c>
      <c r="K639" s="98" t="s">
        <v>4515</v>
      </c>
    </row>
    <row r="640" spans="1:11" ht="15" customHeight="1" x14ac:dyDescent="0.2">
      <c r="A640" s="120" t="s">
        <v>4521</v>
      </c>
      <c r="B640" s="120" t="s">
        <v>4490</v>
      </c>
      <c r="C640" s="98" t="s">
        <v>3533</v>
      </c>
      <c r="D640" s="120" t="s">
        <v>3534</v>
      </c>
      <c r="E640" s="98">
        <v>8.0999999999999996E-3</v>
      </c>
      <c r="F640" s="120">
        <v>0</v>
      </c>
      <c r="G640" s="121">
        <v>513285</v>
      </c>
      <c r="H640" s="123">
        <v>8.0999999999999996E-3</v>
      </c>
      <c r="I640" s="122">
        <v>4157.6084999999994</v>
      </c>
      <c r="J640" s="124">
        <f t="shared" si="9"/>
        <v>8.0999999999999996E-3</v>
      </c>
      <c r="K640" s="98" t="s">
        <v>4522</v>
      </c>
    </row>
    <row r="641" spans="1:11" ht="15" customHeight="1" x14ac:dyDescent="0.2">
      <c r="A641" s="120" t="s">
        <v>4523</v>
      </c>
      <c r="B641" s="120" t="s">
        <v>3532</v>
      </c>
      <c r="C641" s="98" t="s">
        <v>3532</v>
      </c>
      <c r="D641" s="120" t="s">
        <v>3534</v>
      </c>
      <c r="E641" s="98">
        <v>0</v>
      </c>
      <c r="F641" s="120">
        <v>0</v>
      </c>
      <c r="G641" s="121">
        <v>0</v>
      </c>
      <c r="H641" s="123">
        <v>0</v>
      </c>
      <c r="I641" s="122">
        <v>0</v>
      </c>
      <c r="J641" s="124">
        <f t="shared" si="9"/>
        <v>0</v>
      </c>
    </row>
    <row r="642" spans="1:11" ht="15" customHeight="1" x14ac:dyDescent="0.2">
      <c r="A642" s="120" t="s">
        <v>4524</v>
      </c>
      <c r="B642" s="120" t="s">
        <v>3625</v>
      </c>
      <c r="C642" s="98" t="s">
        <v>3533</v>
      </c>
      <c r="D642" s="120" t="s">
        <v>3534</v>
      </c>
      <c r="E642" s="98">
        <v>8.9820833333333294E-2</v>
      </c>
      <c r="F642" s="120">
        <v>0</v>
      </c>
      <c r="G642" s="121">
        <v>6243</v>
      </c>
      <c r="H642" s="123">
        <v>8.9820999999999998E-2</v>
      </c>
      <c r="I642" s="122">
        <v>560.75250299999993</v>
      </c>
      <c r="J642" s="124">
        <f t="shared" ref="J642:J705" si="10">IF(D642="gm", E642*1000,+E642)</f>
        <v>8.9820833333333294E-2</v>
      </c>
      <c r="K642" s="98" t="s">
        <v>4525</v>
      </c>
    </row>
    <row r="643" spans="1:11" ht="15" customHeight="1" x14ac:dyDescent="0.2">
      <c r="A643" s="120" t="s">
        <v>4526</v>
      </c>
      <c r="B643" s="120" t="s">
        <v>4527</v>
      </c>
      <c r="C643" s="98" t="s">
        <v>3533</v>
      </c>
      <c r="D643" s="120" t="s">
        <v>3534</v>
      </c>
      <c r="E643" s="98">
        <v>2.2537999999999999E-2</v>
      </c>
      <c r="F643" s="120">
        <v>0</v>
      </c>
      <c r="G643" s="121">
        <v>12284</v>
      </c>
      <c r="H643" s="123">
        <v>2.2537999999999999E-2</v>
      </c>
      <c r="I643" s="122">
        <v>276.85679199999998</v>
      </c>
      <c r="J643" s="124">
        <f t="shared" si="10"/>
        <v>2.2537999999999999E-2</v>
      </c>
      <c r="K643" s="98" t="s">
        <v>4528</v>
      </c>
    </row>
    <row r="644" spans="1:11" ht="15" customHeight="1" x14ac:dyDescent="0.2">
      <c r="A644" s="120" t="s">
        <v>4529</v>
      </c>
      <c r="B644" s="120" t="s">
        <v>3849</v>
      </c>
      <c r="C644" s="98" t="s">
        <v>3533</v>
      </c>
      <c r="D644" s="120" t="s">
        <v>3534</v>
      </c>
      <c r="E644" s="98">
        <v>0.153</v>
      </c>
      <c r="F644" s="120">
        <v>0</v>
      </c>
      <c r="G644" s="121">
        <v>2000</v>
      </c>
      <c r="H644" s="123">
        <v>0.153</v>
      </c>
      <c r="I644" s="122">
        <v>306</v>
      </c>
      <c r="J644" s="124">
        <f t="shared" si="10"/>
        <v>0.153</v>
      </c>
      <c r="K644" s="98" t="s">
        <v>4530</v>
      </c>
    </row>
    <row r="645" spans="1:11" ht="15" customHeight="1" x14ac:dyDescent="0.2">
      <c r="A645" s="120" t="s">
        <v>4531</v>
      </c>
      <c r="B645" s="120" t="s">
        <v>3629</v>
      </c>
      <c r="C645" s="98" t="s">
        <v>3533</v>
      </c>
      <c r="D645" s="120" t="s">
        <v>3534</v>
      </c>
      <c r="E645" s="98">
        <v>0.06</v>
      </c>
      <c r="F645" s="120">
        <v>0</v>
      </c>
      <c r="G645" s="121">
        <v>477</v>
      </c>
      <c r="H645" s="123">
        <v>0.06</v>
      </c>
      <c r="I645" s="122">
        <v>28.619999999999997</v>
      </c>
      <c r="J645" s="124">
        <f t="shared" si="10"/>
        <v>0.06</v>
      </c>
    </row>
    <row r="646" spans="1:11" ht="15" customHeight="1" x14ac:dyDescent="0.2">
      <c r="A646" s="120" t="s">
        <v>4532</v>
      </c>
      <c r="B646" s="120" t="s">
        <v>3632</v>
      </c>
      <c r="C646" s="98" t="s">
        <v>3533</v>
      </c>
      <c r="D646" s="120" t="s">
        <v>3534</v>
      </c>
      <c r="E646" s="98">
        <v>49.16</v>
      </c>
      <c r="F646" s="120">
        <v>0</v>
      </c>
      <c r="G646" s="121">
        <v>165</v>
      </c>
      <c r="H646" s="123">
        <v>49.16</v>
      </c>
      <c r="I646" s="122">
        <v>8111.4</v>
      </c>
      <c r="J646" s="124">
        <f t="shared" si="10"/>
        <v>49.16</v>
      </c>
    </row>
    <row r="647" spans="1:11" ht="15" customHeight="1" x14ac:dyDescent="0.2">
      <c r="A647" s="120" t="s">
        <v>4533</v>
      </c>
      <c r="B647" s="120" t="s">
        <v>3532</v>
      </c>
      <c r="C647" s="98" t="s">
        <v>3532</v>
      </c>
      <c r="D647" s="120" t="s">
        <v>3534</v>
      </c>
      <c r="E647" s="98">
        <v>0</v>
      </c>
      <c r="F647" s="120">
        <v>0</v>
      </c>
      <c r="G647" s="121">
        <v>0</v>
      </c>
      <c r="H647" s="123">
        <v>0</v>
      </c>
      <c r="I647" s="122">
        <v>0</v>
      </c>
      <c r="J647" s="124">
        <f t="shared" si="10"/>
        <v>0</v>
      </c>
    </row>
    <row r="648" spans="1:11" ht="15" customHeight="1" x14ac:dyDescent="0.2">
      <c r="A648" s="120" t="s">
        <v>4534</v>
      </c>
      <c r="B648" s="120" t="s">
        <v>3532</v>
      </c>
      <c r="C648" s="98" t="s">
        <v>3533</v>
      </c>
      <c r="D648" s="120" t="s">
        <v>3534</v>
      </c>
      <c r="E648" s="98">
        <v>74</v>
      </c>
      <c r="F648" s="120">
        <v>0</v>
      </c>
      <c r="G648" s="121">
        <v>0</v>
      </c>
      <c r="H648" s="123">
        <v>74</v>
      </c>
      <c r="I648" s="122">
        <v>0</v>
      </c>
      <c r="J648" s="124">
        <f t="shared" si="10"/>
        <v>74</v>
      </c>
    </row>
    <row r="649" spans="1:11" ht="15" customHeight="1" x14ac:dyDescent="0.2">
      <c r="A649" s="120" t="s">
        <v>4535</v>
      </c>
      <c r="B649" s="120" t="s">
        <v>3532</v>
      </c>
      <c r="C649" s="98" t="s">
        <v>3533</v>
      </c>
      <c r="D649" s="120" t="s">
        <v>3534</v>
      </c>
      <c r="E649" s="98">
        <v>2.1499999999999998E-2</v>
      </c>
      <c r="F649" s="120">
        <v>0</v>
      </c>
      <c r="G649" s="121">
        <v>2938</v>
      </c>
      <c r="H649" s="123">
        <v>2.1499999999999998E-2</v>
      </c>
      <c r="I649" s="122">
        <v>63.166999999999994</v>
      </c>
      <c r="J649" s="124">
        <f t="shared" si="10"/>
        <v>2.1499999999999998E-2</v>
      </c>
    </row>
    <row r="650" spans="1:11" ht="15" customHeight="1" x14ac:dyDescent="0.2">
      <c r="A650" s="120" t="s">
        <v>4536</v>
      </c>
      <c r="B650" s="120" t="s">
        <v>4537</v>
      </c>
      <c r="C650" s="98" t="s">
        <v>3533</v>
      </c>
      <c r="D650" s="120" t="s">
        <v>3534</v>
      </c>
      <c r="E650" s="98">
        <v>1.7999999999999999E-2</v>
      </c>
      <c r="F650" s="120">
        <v>0</v>
      </c>
      <c r="G650" s="121">
        <v>80757</v>
      </c>
      <c r="H650" s="123">
        <v>1.7999999999999999E-2</v>
      </c>
      <c r="I650" s="122">
        <v>1453.626</v>
      </c>
      <c r="J650" s="124">
        <f t="shared" si="10"/>
        <v>1.7999999999999999E-2</v>
      </c>
      <c r="K650" s="98" t="s">
        <v>4538</v>
      </c>
    </row>
    <row r="651" spans="1:11" ht="15" customHeight="1" x14ac:dyDescent="0.2">
      <c r="A651" s="120" t="s">
        <v>4539</v>
      </c>
      <c r="B651" s="120" t="s">
        <v>4537</v>
      </c>
      <c r="C651" s="98" t="s">
        <v>3540</v>
      </c>
      <c r="D651" s="120" t="s">
        <v>3534</v>
      </c>
      <c r="E651" s="98">
        <v>2.41E-2</v>
      </c>
      <c r="F651" s="120">
        <v>0</v>
      </c>
      <c r="G651" s="121">
        <v>0</v>
      </c>
      <c r="H651" s="123">
        <v>2.41E-2</v>
      </c>
      <c r="I651" s="122">
        <v>0</v>
      </c>
      <c r="J651" s="124">
        <f t="shared" si="10"/>
        <v>2.41E-2</v>
      </c>
    </row>
    <row r="652" spans="1:11" ht="15" customHeight="1" x14ac:dyDescent="0.2">
      <c r="A652" s="120" t="s">
        <v>4540</v>
      </c>
      <c r="B652" s="120" t="s">
        <v>4537</v>
      </c>
      <c r="C652" s="98" t="s">
        <v>3533</v>
      </c>
      <c r="D652" s="120" t="s">
        <v>3534</v>
      </c>
      <c r="E652" s="98">
        <v>2.0833000000000001E-2</v>
      </c>
      <c r="F652" s="120">
        <v>0</v>
      </c>
      <c r="G652" s="121">
        <v>37346</v>
      </c>
      <c r="H652" s="123">
        <v>2.0833000000000001E-2</v>
      </c>
      <c r="I652" s="122">
        <v>778.02921800000001</v>
      </c>
      <c r="J652" s="124">
        <f t="shared" si="10"/>
        <v>2.0833000000000001E-2</v>
      </c>
      <c r="K652" s="98" t="s">
        <v>4541</v>
      </c>
    </row>
    <row r="653" spans="1:11" ht="15" customHeight="1" x14ac:dyDescent="0.2">
      <c r="A653" s="120" t="s">
        <v>4542</v>
      </c>
      <c r="B653" s="120" t="s">
        <v>4537</v>
      </c>
      <c r="C653" s="98" t="s">
        <v>3533</v>
      </c>
      <c r="D653" s="120" t="s">
        <v>3534</v>
      </c>
      <c r="E653" s="98">
        <v>8.5000000000000006E-2</v>
      </c>
      <c r="F653" s="120">
        <v>0</v>
      </c>
      <c r="G653" s="121">
        <v>15800</v>
      </c>
      <c r="H653" s="123">
        <v>8.5000000000000006E-2</v>
      </c>
      <c r="I653" s="122">
        <v>1343</v>
      </c>
      <c r="J653" s="124">
        <f t="shared" si="10"/>
        <v>8.5000000000000006E-2</v>
      </c>
      <c r="K653" s="98" t="s">
        <v>4543</v>
      </c>
    </row>
    <row r="654" spans="1:11" ht="15" customHeight="1" x14ac:dyDescent="0.2">
      <c r="A654" s="120" t="s">
        <v>4544</v>
      </c>
      <c r="B654" s="120" t="s">
        <v>4537</v>
      </c>
      <c r="C654" s="98" t="s">
        <v>3533</v>
      </c>
      <c r="D654" s="120" t="s">
        <v>3534</v>
      </c>
      <c r="E654" s="98">
        <v>5.3999999999999999E-2</v>
      </c>
      <c r="F654" s="120">
        <v>0</v>
      </c>
      <c r="G654" s="121">
        <v>243542</v>
      </c>
      <c r="H654" s="123">
        <v>5.3999999999999999E-2</v>
      </c>
      <c r="I654" s="122">
        <v>13151.268</v>
      </c>
      <c r="J654" s="124">
        <f t="shared" si="10"/>
        <v>5.3999999999999999E-2</v>
      </c>
      <c r="K654" s="98" t="s">
        <v>4545</v>
      </c>
    </row>
    <row r="655" spans="1:11" ht="15" customHeight="1" x14ac:dyDescent="0.2">
      <c r="A655" s="120" t="s">
        <v>4546</v>
      </c>
      <c r="B655" s="120" t="s">
        <v>4537</v>
      </c>
      <c r="C655" s="98" t="s">
        <v>3540</v>
      </c>
      <c r="D655" s="120" t="s">
        <v>3534</v>
      </c>
      <c r="E655" s="98">
        <v>2.5000000000000001E-2</v>
      </c>
      <c r="F655" s="120">
        <v>0</v>
      </c>
      <c r="G655" s="121">
        <v>0</v>
      </c>
      <c r="H655" s="123">
        <v>2.5000000000000001E-2</v>
      </c>
      <c r="I655" s="122">
        <v>0</v>
      </c>
      <c r="J655" s="124">
        <f t="shared" si="10"/>
        <v>2.5000000000000001E-2</v>
      </c>
    </row>
    <row r="656" spans="1:11" ht="15" customHeight="1" x14ac:dyDescent="0.2">
      <c r="A656" s="120" t="s">
        <v>4547</v>
      </c>
      <c r="B656" s="120" t="s">
        <v>4537</v>
      </c>
      <c r="C656" s="98" t="s">
        <v>3533</v>
      </c>
      <c r="D656" s="120" t="s">
        <v>3534</v>
      </c>
      <c r="E656" s="98">
        <v>1.695E-2</v>
      </c>
      <c r="F656" s="120">
        <v>0</v>
      </c>
      <c r="G656" s="121">
        <v>7532</v>
      </c>
      <c r="H656" s="123">
        <v>1.695E-2</v>
      </c>
      <c r="I656" s="122">
        <v>127.6674</v>
      </c>
      <c r="J656" s="124">
        <f t="shared" si="10"/>
        <v>1.695E-2</v>
      </c>
      <c r="K656" s="98" t="s">
        <v>4548</v>
      </c>
    </row>
    <row r="657" spans="1:11" ht="15" customHeight="1" x14ac:dyDescent="0.2">
      <c r="A657" s="120" t="s">
        <v>4549</v>
      </c>
      <c r="B657" s="120" t="s">
        <v>3620</v>
      </c>
      <c r="C657" s="98" t="s">
        <v>3533</v>
      </c>
      <c r="D657" s="120" t="s">
        <v>3534</v>
      </c>
      <c r="E657" s="98">
        <v>2.7E-2</v>
      </c>
      <c r="F657" s="120">
        <v>0</v>
      </c>
      <c r="G657" s="121">
        <v>0</v>
      </c>
      <c r="H657" s="123">
        <v>2.7E-2</v>
      </c>
      <c r="I657" s="122">
        <v>0</v>
      </c>
      <c r="J657" s="124">
        <f t="shared" si="10"/>
        <v>2.7E-2</v>
      </c>
    </row>
    <row r="658" spans="1:11" ht="15" customHeight="1" x14ac:dyDescent="0.2">
      <c r="A658" s="120" t="s">
        <v>4550</v>
      </c>
      <c r="B658" s="120" t="s">
        <v>4537</v>
      </c>
      <c r="C658" s="98" t="s">
        <v>3533</v>
      </c>
      <c r="D658" s="120" t="s">
        <v>3534</v>
      </c>
      <c r="E658" s="98">
        <v>2.9499999999999998E-2</v>
      </c>
      <c r="F658" s="120">
        <v>0</v>
      </c>
      <c r="G658" s="121">
        <v>43843</v>
      </c>
      <c r="H658" s="123">
        <v>2.9499999999999998E-2</v>
      </c>
      <c r="I658" s="122">
        <v>1293.3685</v>
      </c>
      <c r="J658" s="124">
        <f t="shared" si="10"/>
        <v>2.9499999999999998E-2</v>
      </c>
      <c r="K658" s="98" t="s">
        <v>4551</v>
      </c>
    </row>
    <row r="659" spans="1:11" ht="15" customHeight="1" x14ac:dyDescent="0.2">
      <c r="A659" s="120" t="s">
        <v>4552</v>
      </c>
      <c r="B659" s="120" t="s">
        <v>4537</v>
      </c>
      <c r="C659" s="98" t="s">
        <v>3533</v>
      </c>
      <c r="D659" s="120" t="s">
        <v>3534</v>
      </c>
      <c r="E659" s="98">
        <v>2.9768222222222196</v>
      </c>
      <c r="F659" s="120">
        <v>0</v>
      </c>
      <c r="G659" s="121">
        <v>612</v>
      </c>
      <c r="H659" s="123">
        <v>2.9768219999999999</v>
      </c>
      <c r="I659" s="122">
        <v>1821.8150639999999</v>
      </c>
      <c r="J659" s="124">
        <f t="shared" si="10"/>
        <v>2.9768222222222196</v>
      </c>
      <c r="K659" s="98" t="s">
        <v>4553</v>
      </c>
    </row>
    <row r="660" spans="1:11" ht="15" customHeight="1" x14ac:dyDescent="0.2">
      <c r="A660" s="120" t="s">
        <v>4554</v>
      </c>
      <c r="B660" s="120" t="s">
        <v>4537</v>
      </c>
      <c r="C660" s="98" t="s">
        <v>3533</v>
      </c>
      <c r="D660" s="120" t="s">
        <v>3534</v>
      </c>
      <c r="E660" s="98">
        <v>2</v>
      </c>
      <c r="F660" s="120">
        <v>0</v>
      </c>
      <c r="G660" s="121">
        <v>0</v>
      </c>
      <c r="H660" s="123">
        <v>2</v>
      </c>
      <c r="I660" s="122">
        <v>0</v>
      </c>
      <c r="J660" s="124">
        <f t="shared" si="10"/>
        <v>2</v>
      </c>
      <c r="K660" s="98" t="s">
        <v>4555</v>
      </c>
    </row>
    <row r="661" spans="1:11" ht="15" customHeight="1" x14ac:dyDescent="0.2">
      <c r="A661" s="120" t="s">
        <v>4556</v>
      </c>
      <c r="B661" s="120" t="s">
        <v>4557</v>
      </c>
      <c r="C661" s="98" t="s">
        <v>3533</v>
      </c>
      <c r="D661" s="120" t="s">
        <v>3534</v>
      </c>
      <c r="E661" s="98">
        <v>2.7E-2</v>
      </c>
      <c r="F661" s="120">
        <v>0</v>
      </c>
      <c r="G661" s="121">
        <v>0</v>
      </c>
      <c r="H661" s="123">
        <v>2.7E-2</v>
      </c>
      <c r="I661" s="122">
        <v>0</v>
      </c>
      <c r="J661" s="124">
        <f t="shared" si="10"/>
        <v>2.7E-2</v>
      </c>
      <c r="K661" s="98" t="s">
        <v>4558</v>
      </c>
    </row>
    <row r="662" spans="1:11" ht="15" customHeight="1" x14ac:dyDescent="0.2">
      <c r="A662" s="120" t="s">
        <v>4559</v>
      </c>
      <c r="B662" s="120" t="s">
        <v>4557</v>
      </c>
      <c r="C662" s="98" t="s">
        <v>3533</v>
      </c>
      <c r="D662" s="120" t="s">
        <v>3534</v>
      </c>
      <c r="E662" s="98">
        <v>5.2999999999999999E-2</v>
      </c>
      <c r="F662" s="120">
        <v>0</v>
      </c>
      <c r="G662" s="121">
        <v>0</v>
      </c>
      <c r="H662" s="123">
        <v>5.2999999999999999E-2</v>
      </c>
      <c r="I662" s="122">
        <v>0</v>
      </c>
      <c r="J662" s="124">
        <f t="shared" si="10"/>
        <v>5.2999999999999999E-2</v>
      </c>
      <c r="K662" s="98" t="s">
        <v>4560</v>
      </c>
    </row>
    <row r="663" spans="1:11" ht="15" customHeight="1" x14ac:dyDescent="0.2">
      <c r="A663" s="120" t="s">
        <v>4561</v>
      </c>
      <c r="B663" s="120" t="s">
        <v>4562</v>
      </c>
      <c r="C663" s="98" t="s">
        <v>3533</v>
      </c>
      <c r="D663" s="120" t="s">
        <v>3563</v>
      </c>
      <c r="E663" s="98">
        <v>3.0346820809248599E-2</v>
      </c>
      <c r="F663" s="120">
        <v>0</v>
      </c>
      <c r="G663" s="121">
        <v>3075</v>
      </c>
      <c r="H663" s="123">
        <v>3.0346999999999999E-2</v>
      </c>
      <c r="I663" s="122">
        <v>93.317025000000001</v>
      </c>
      <c r="J663" s="124">
        <f t="shared" si="10"/>
        <v>30.346820809248598</v>
      </c>
      <c r="K663" s="98" t="s">
        <v>4563</v>
      </c>
    </row>
    <row r="664" spans="1:11" ht="15" customHeight="1" x14ac:dyDescent="0.2">
      <c r="A664" s="120" t="s">
        <v>4564</v>
      </c>
      <c r="B664" s="120" t="s">
        <v>4565</v>
      </c>
      <c r="C664" s="98" t="s">
        <v>3540</v>
      </c>
      <c r="D664" s="120" t="s">
        <v>3534</v>
      </c>
      <c r="E664" s="98">
        <v>5</v>
      </c>
      <c r="F664" s="120">
        <v>0</v>
      </c>
      <c r="G664" s="121">
        <v>0</v>
      </c>
      <c r="H664" s="123">
        <v>5</v>
      </c>
      <c r="I664" s="122">
        <v>0</v>
      </c>
      <c r="J664" s="124">
        <f t="shared" si="10"/>
        <v>5</v>
      </c>
    </row>
    <row r="665" spans="1:11" ht="15" customHeight="1" x14ac:dyDescent="0.2">
      <c r="A665" s="120" t="s">
        <v>4566</v>
      </c>
      <c r="B665" s="120" t="s">
        <v>4567</v>
      </c>
      <c r="C665" s="98" t="s">
        <v>3540</v>
      </c>
      <c r="D665" s="120" t="s">
        <v>3534</v>
      </c>
      <c r="E665" s="98">
        <v>0.2</v>
      </c>
      <c r="F665" s="120">
        <v>0</v>
      </c>
      <c r="G665" s="121">
        <v>0</v>
      </c>
      <c r="H665" s="123">
        <v>0.2</v>
      </c>
      <c r="I665" s="122">
        <v>0</v>
      </c>
      <c r="J665" s="124">
        <f t="shared" si="10"/>
        <v>0.2</v>
      </c>
    </row>
    <row r="666" spans="1:11" ht="15" customHeight="1" x14ac:dyDescent="0.2">
      <c r="A666" s="120" t="s">
        <v>4568</v>
      </c>
      <c r="B666" s="120" t="s">
        <v>3599</v>
      </c>
      <c r="C666" s="98" t="s">
        <v>3533</v>
      </c>
      <c r="D666" s="120" t="s">
        <v>3534</v>
      </c>
      <c r="E666" s="98">
        <v>0</v>
      </c>
      <c r="F666" s="120">
        <v>0</v>
      </c>
      <c r="G666" s="121">
        <v>0</v>
      </c>
      <c r="H666" s="123">
        <v>0</v>
      </c>
      <c r="I666" s="122">
        <v>0</v>
      </c>
      <c r="J666" s="124">
        <f t="shared" si="10"/>
        <v>0</v>
      </c>
    </row>
    <row r="667" spans="1:11" ht="15" customHeight="1" x14ac:dyDescent="0.2">
      <c r="A667" s="120" t="s">
        <v>4569</v>
      </c>
      <c r="B667" s="120" t="s">
        <v>3907</v>
      </c>
      <c r="C667" s="98" t="s">
        <v>3533</v>
      </c>
      <c r="D667" s="120" t="s">
        <v>3534</v>
      </c>
      <c r="E667" s="98">
        <v>3.1</v>
      </c>
      <c r="F667" s="120">
        <v>0</v>
      </c>
      <c r="G667" s="121">
        <v>671</v>
      </c>
      <c r="H667" s="123">
        <v>3.1</v>
      </c>
      <c r="I667" s="122">
        <v>2080.1</v>
      </c>
      <c r="J667" s="124">
        <f t="shared" si="10"/>
        <v>3.1</v>
      </c>
      <c r="K667" s="98" t="s">
        <v>4570</v>
      </c>
    </row>
    <row r="668" spans="1:11" ht="15" customHeight="1" x14ac:dyDescent="0.2">
      <c r="A668" s="120" t="s">
        <v>4571</v>
      </c>
      <c r="B668" s="120" t="s">
        <v>3907</v>
      </c>
      <c r="C668" s="98" t="s">
        <v>3533</v>
      </c>
      <c r="D668" s="120" t="s">
        <v>3534</v>
      </c>
      <c r="E668" s="98">
        <v>3.06</v>
      </c>
      <c r="F668" s="120">
        <v>0</v>
      </c>
      <c r="G668" s="121">
        <v>3093</v>
      </c>
      <c r="H668" s="123">
        <v>3.0609950000000001</v>
      </c>
      <c r="I668" s="122">
        <v>9467.6575350000003</v>
      </c>
      <c r="J668" s="124">
        <f t="shared" si="10"/>
        <v>3.06</v>
      </c>
      <c r="K668" s="98" t="s">
        <v>4572</v>
      </c>
    </row>
    <row r="669" spans="1:11" ht="15" customHeight="1" x14ac:dyDescent="0.2">
      <c r="A669" s="120" t="s">
        <v>4573</v>
      </c>
      <c r="B669" s="120" t="s">
        <v>3907</v>
      </c>
      <c r="C669" s="98" t="s">
        <v>3533</v>
      </c>
      <c r="D669" s="120" t="s">
        <v>3534</v>
      </c>
      <c r="E669" s="98">
        <v>3.5437878787878798</v>
      </c>
      <c r="F669" s="120">
        <v>0</v>
      </c>
      <c r="G669" s="121">
        <v>1794</v>
      </c>
      <c r="H669" s="123">
        <v>3.5438990000000001</v>
      </c>
      <c r="I669" s="122">
        <v>6357.7548059999999</v>
      </c>
      <c r="J669" s="124">
        <f t="shared" si="10"/>
        <v>3.5437878787878798</v>
      </c>
      <c r="K669" s="98" t="s">
        <v>4574</v>
      </c>
    </row>
    <row r="670" spans="1:11" ht="15" customHeight="1" x14ac:dyDescent="0.2">
      <c r="A670" s="120" t="s">
        <v>4575</v>
      </c>
      <c r="B670" s="120" t="s">
        <v>4576</v>
      </c>
      <c r="C670" s="98" t="s">
        <v>3532</v>
      </c>
      <c r="D670" s="120" t="s">
        <v>3534</v>
      </c>
      <c r="E670" s="98">
        <v>0</v>
      </c>
      <c r="F670" s="120">
        <v>0</v>
      </c>
      <c r="G670" s="121">
        <v>0</v>
      </c>
      <c r="H670" s="123">
        <v>0</v>
      </c>
      <c r="I670" s="122">
        <v>0</v>
      </c>
      <c r="J670" s="124">
        <f t="shared" si="10"/>
        <v>0</v>
      </c>
    </row>
    <row r="671" spans="1:11" ht="15" customHeight="1" x14ac:dyDescent="0.2">
      <c r="A671" s="120" t="s">
        <v>4577</v>
      </c>
      <c r="B671" s="120" t="s">
        <v>3532</v>
      </c>
      <c r="C671" s="98" t="s">
        <v>3540</v>
      </c>
      <c r="D671" s="120" t="s">
        <v>3534</v>
      </c>
      <c r="E671" s="98">
        <v>6.2E-2</v>
      </c>
      <c r="F671" s="120">
        <v>0</v>
      </c>
      <c r="G671" s="121">
        <v>756</v>
      </c>
      <c r="H671" s="123">
        <v>6.2E-2</v>
      </c>
      <c r="I671" s="122">
        <v>46.872</v>
      </c>
      <c r="J671" s="124">
        <f t="shared" si="10"/>
        <v>6.2E-2</v>
      </c>
    </row>
    <row r="672" spans="1:11" ht="15" customHeight="1" x14ac:dyDescent="0.2">
      <c r="A672" s="120" t="s">
        <v>4578</v>
      </c>
      <c r="B672" s="120" t="s">
        <v>3532</v>
      </c>
      <c r="C672" s="98" t="s">
        <v>3532</v>
      </c>
      <c r="D672" s="120" t="s">
        <v>3534</v>
      </c>
      <c r="E672" s="98">
        <v>2.5000000000000001E-2</v>
      </c>
      <c r="F672" s="120">
        <v>0</v>
      </c>
      <c r="G672" s="121">
        <v>0</v>
      </c>
      <c r="H672" s="123">
        <v>2.5000000000000001E-2</v>
      </c>
      <c r="I672" s="122">
        <v>0</v>
      </c>
      <c r="J672" s="124">
        <f t="shared" si="10"/>
        <v>2.5000000000000001E-2</v>
      </c>
    </row>
    <row r="673" spans="1:11" ht="15" customHeight="1" x14ac:dyDescent="0.2">
      <c r="A673" s="120" t="s">
        <v>4579</v>
      </c>
      <c r="B673" s="120" t="s">
        <v>3599</v>
      </c>
      <c r="C673" s="98" t="s">
        <v>3533</v>
      </c>
      <c r="D673" s="120" t="s">
        <v>3534</v>
      </c>
      <c r="E673" s="98">
        <v>0.115</v>
      </c>
      <c r="F673" s="120">
        <v>0</v>
      </c>
      <c r="G673" s="121">
        <v>180</v>
      </c>
      <c r="H673" s="123">
        <v>0.115</v>
      </c>
      <c r="I673" s="122">
        <v>20.7</v>
      </c>
      <c r="J673" s="124">
        <f t="shared" si="10"/>
        <v>0.115</v>
      </c>
      <c r="K673" s="98" t="s">
        <v>4580</v>
      </c>
    </row>
    <row r="674" spans="1:11" ht="15" customHeight="1" x14ac:dyDescent="0.2">
      <c r="A674" s="120" t="s">
        <v>4581</v>
      </c>
      <c r="B674" s="120" t="s">
        <v>3532</v>
      </c>
      <c r="C674" s="98" t="s">
        <v>3532</v>
      </c>
      <c r="D674" s="120" t="s">
        <v>3534</v>
      </c>
      <c r="E674" s="98">
        <v>0</v>
      </c>
      <c r="F674" s="120">
        <v>0</v>
      </c>
      <c r="G674" s="121">
        <v>0</v>
      </c>
      <c r="H674" s="123">
        <v>0</v>
      </c>
      <c r="I674" s="122">
        <v>0</v>
      </c>
      <c r="J674" s="124">
        <f t="shared" si="10"/>
        <v>0</v>
      </c>
    </row>
    <row r="675" spans="1:11" ht="15" customHeight="1" x14ac:dyDescent="0.2">
      <c r="A675" s="120" t="s">
        <v>4582</v>
      </c>
      <c r="B675" s="120" t="s">
        <v>3532</v>
      </c>
      <c r="C675" s="98" t="s">
        <v>3532</v>
      </c>
      <c r="D675" s="120" t="s">
        <v>3534</v>
      </c>
      <c r="E675" s="98">
        <v>0</v>
      </c>
      <c r="F675" s="120">
        <v>0</v>
      </c>
      <c r="G675" s="121">
        <v>0</v>
      </c>
      <c r="H675" s="123">
        <v>0</v>
      </c>
      <c r="I675" s="122">
        <v>0</v>
      </c>
      <c r="J675" s="124">
        <f t="shared" si="10"/>
        <v>0</v>
      </c>
    </row>
    <row r="676" spans="1:11" ht="15" customHeight="1" x14ac:dyDescent="0.2">
      <c r="A676" s="120" t="s">
        <v>4583</v>
      </c>
      <c r="B676" s="120" t="s">
        <v>4584</v>
      </c>
      <c r="C676" s="98" t="s">
        <v>3533</v>
      </c>
      <c r="D676" s="120" t="s">
        <v>3534</v>
      </c>
      <c r="E676" s="98">
        <v>0</v>
      </c>
      <c r="F676" s="120">
        <v>0</v>
      </c>
      <c r="G676" s="121">
        <v>466</v>
      </c>
      <c r="H676" s="123">
        <v>0</v>
      </c>
      <c r="I676" s="122">
        <v>0</v>
      </c>
      <c r="J676" s="124">
        <f t="shared" si="10"/>
        <v>0</v>
      </c>
    </row>
    <row r="677" spans="1:11" ht="15" customHeight="1" x14ac:dyDescent="0.2">
      <c r="A677" s="120" t="s">
        <v>3536</v>
      </c>
      <c r="B677" s="120" t="s">
        <v>3532</v>
      </c>
      <c r="C677" s="98" t="s">
        <v>3532</v>
      </c>
      <c r="D677" s="120" t="s">
        <v>3534</v>
      </c>
      <c r="E677" s="98">
        <v>0</v>
      </c>
      <c r="F677" s="120">
        <v>0</v>
      </c>
      <c r="G677" s="121">
        <v>0</v>
      </c>
      <c r="H677" s="123">
        <v>0</v>
      </c>
      <c r="I677" s="122">
        <v>0</v>
      </c>
      <c r="J677" s="124">
        <f t="shared" si="10"/>
        <v>0</v>
      </c>
    </row>
    <row r="678" spans="1:11" ht="15" customHeight="1" x14ac:dyDescent="0.2">
      <c r="A678" s="120" t="s">
        <v>4585</v>
      </c>
      <c r="B678" s="120" t="s">
        <v>3532</v>
      </c>
      <c r="C678" s="98" t="s">
        <v>3532</v>
      </c>
      <c r="D678" s="120" t="s">
        <v>3534</v>
      </c>
      <c r="E678" s="98">
        <v>0</v>
      </c>
      <c r="F678" s="120">
        <v>0</v>
      </c>
      <c r="G678" s="121">
        <v>0</v>
      </c>
      <c r="H678" s="123">
        <v>0</v>
      </c>
      <c r="I678" s="122">
        <v>0</v>
      </c>
      <c r="J678" s="124">
        <f t="shared" si="10"/>
        <v>0</v>
      </c>
    </row>
    <row r="679" spans="1:11" ht="15" customHeight="1" x14ac:dyDescent="0.2">
      <c r="A679" s="120" t="s">
        <v>4586</v>
      </c>
      <c r="B679" s="120" t="s">
        <v>3532</v>
      </c>
      <c r="C679" s="98" t="s">
        <v>3532</v>
      </c>
      <c r="D679" s="120" t="s">
        <v>3534</v>
      </c>
      <c r="E679" s="98">
        <v>0</v>
      </c>
      <c r="F679" s="120">
        <v>0</v>
      </c>
      <c r="G679" s="121">
        <v>0</v>
      </c>
      <c r="H679" s="123">
        <v>0</v>
      </c>
      <c r="I679" s="122">
        <v>0</v>
      </c>
      <c r="J679" s="124">
        <f t="shared" si="10"/>
        <v>0</v>
      </c>
    </row>
    <row r="680" spans="1:11" ht="15" customHeight="1" x14ac:dyDescent="0.2">
      <c r="A680" s="120" t="s">
        <v>4587</v>
      </c>
      <c r="B680" s="120" t="s">
        <v>3532</v>
      </c>
      <c r="C680" s="98" t="s">
        <v>3532</v>
      </c>
      <c r="D680" s="120" t="s">
        <v>3534</v>
      </c>
      <c r="E680" s="98">
        <v>0</v>
      </c>
      <c r="F680" s="120">
        <v>0</v>
      </c>
      <c r="G680" s="121">
        <v>0</v>
      </c>
      <c r="H680" s="123">
        <v>0</v>
      </c>
      <c r="I680" s="122">
        <v>0</v>
      </c>
      <c r="J680" s="124">
        <f t="shared" si="10"/>
        <v>0</v>
      </c>
    </row>
    <row r="681" spans="1:11" ht="15" customHeight="1" x14ac:dyDescent="0.2">
      <c r="A681" s="120" t="s">
        <v>4588</v>
      </c>
      <c r="B681" s="120" t="s">
        <v>3532</v>
      </c>
      <c r="C681" s="98" t="s">
        <v>3532</v>
      </c>
      <c r="D681" s="120" t="s">
        <v>3534</v>
      </c>
      <c r="E681" s="98">
        <v>0</v>
      </c>
      <c r="F681" s="120">
        <v>0</v>
      </c>
      <c r="G681" s="121">
        <v>0</v>
      </c>
      <c r="H681" s="123">
        <v>0</v>
      </c>
      <c r="I681" s="122">
        <v>0</v>
      </c>
      <c r="J681" s="124">
        <f t="shared" si="10"/>
        <v>0</v>
      </c>
    </row>
    <row r="682" spans="1:11" ht="15" customHeight="1" x14ac:dyDescent="0.2">
      <c r="A682" s="120" t="s">
        <v>4589</v>
      </c>
      <c r="B682" s="120" t="s">
        <v>3532</v>
      </c>
      <c r="C682" s="98" t="s">
        <v>3532</v>
      </c>
      <c r="D682" s="120" t="s">
        <v>3534</v>
      </c>
      <c r="E682" s="98">
        <v>0</v>
      </c>
      <c r="F682" s="120">
        <v>0</v>
      </c>
      <c r="G682" s="121">
        <v>0</v>
      </c>
      <c r="H682" s="123">
        <v>0</v>
      </c>
      <c r="I682" s="122">
        <v>0</v>
      </c>
      <c r="J682" s="124">
        <f t="shared" si="10"/>
        <v>0</v>
      </c>
    </row>
    <row r="683" spans="1:11" ht="15" customHeight="1" x14ac:dyDescent="0.2">
      <c r="A683" s="120" t="s">
        <v>4590</v>
      </c>
      <c r="B683" s="120" t="s">
        <v>4591</v>
      </c>
      <c r="C683" s="98" t="s">
        <v>3532</v>
      </c>
      <c r="D683" s="120" t="s">
        <v>3534</v>
      </c>
      <c r="E683" s="98">
        <v>0</v>
      </c>
      <c r="F683" s="120">
        <v>0</v>
      </c>
      <c r="G683" s="121">
        <v>0</v>
      </c>
      <c r="H683" s="123">
        <v>0</v>
      </c>
      <c r="I683" s="122">
        <v>0</v>
      </c>
      <c r="J683" s="124">
        <f t="shared" si="10"/>
        <v>0</v>
      </c>
    </row>
    <row r="684" spans="1:11" ht="15" customHeight="1" x14ac:dyDescent="0.2">
      <c r="A684" s="120" t="s">
        <v>4592</v>
      </c>
      <c r="B684" s="120" t="s">
        <v>3532</v>
      </c>
      <c r="C684" s="98" t="s">
        <v>3532</v>
      </c>
      <c r="D684" s="120" t="s">
        <v>3534</v>
      </c>
      <c r="E684" s="98">
        <v>0</v>
      </c>
      <c r="F684" s="120">
        <v>0</v>
      </c>
      <c r="G684" s="121">
        <v>0</v>
      </c>
      <c r="H684" s="123">
        <v>0</v>
      </c>
      <c r="I684" s="122">
        <v>0</v>
      </c>
      <c r="J684" s="124">
        <f t="shared" si="10"/>
        <v>0</v>
      </c>
    </row>
    <row r="685" spans="1:11" ht="15" customHeight="1" x14ac:dyDescent="0.2">
      <c r="A685" s="120" t="s">
        <v>4593</v>
      </c>
      <c r="B685" s="120" t="s">
        <v>3609</v>
      </c>
      <c r="C685" s="98" t="s">
        <v>3936</v>
      </c>
      <c r="D685" s="120" t="s">
        <v>3534</v>
      </c>
      <c r="E685" s="98">
        <v>0</v>
      </c>
      <c r="F685" s="120">
        <v>0</v>
      </c>
      <c r="G685" s="121">
        <v>0</v>
      </c>
      <c r="H685" s="123">
        <v>0</v>
      </c>
      <c r="I685" s="122">
        <v>0</v>
      </c>
      <c r="J685" s="124">
        <f t="shared" si="10"/>
        <v>0</v>
      </c>
    </row>
    <row r="686" spans="1:11" ht="15" customHeight="1" x14ac:dyDescent="0.2">
      <c r="A686" s="120" t="s">
        <v>4594</v>
      </c>
      <c r="B686" s="120" t="s">
        <v>4584</v>
      </c>
      <c r="C686" s="98" t="s">
        <v>3533</v>
      </c>
      <c r="D686" s="120" t="s">
        <v>3534</v>
      </c>
      <c r="E686" s="98">
        <v>0</v>
      </c>
      <c r="F686" s="120">
        <v>0</v>
      </c>
      <c r="G686" s="121">
        <v>0</v>
      </c>
      <c r="H686" s="123">
        <v>0</v>
      </c>
      <c r="I686" s="122">
        <v>0</v>
      </c>
      <c r="J686" s="124">
        <f t="shared" si="10"/>
        <v>0</v>
      </c>
    </row>
    <row r="687" spans="1:11" ht="15" customHeight="1" x14ac:dyDescent="0.2">
      <c r="A687" s="120" t="s">
        <v>4595</v>
      </c>
      <c r="B687" s="120" t="s">
        <v>3532</v>
      </c>
      <c r="C687" s="98" t="s">
        <v>3532</v>
      </c>
      <c r="D687" s="120" t="s">
        <v>3534</v>
      </c>
      <c r="E687" s="98">
        <v>0</v>
      </c>
      <c r="F687" s="120">
        <v>0</v>
      </c>
      <c r="G687" s="121">
        <v>21751</v>
      </c>
      <c r="H687" s="123">
        <v>0</v>
      </c>
      <c r="I687" s="122">
        <v>0</v>
      </c>
      <c r="J687" s="124">
        <f t="shared" si="10"/>
        <v>0</v>
      </c>
    </row>
    <row r="688" spans="1:11" ht="15" customHeight="1" x14ac:dyDescent="0.2">
      <c r="A688" s="120" t="s">
        <v>4596</v>
      </c>
      <c r="B688" s="120" t="s">
        <v>3609</v>
      </c>
      <c r="C688" s="98" t="s">
        <v>3936</v>
      </c>
      <c r="D688" s="120" t="s">
        <v>3534</v>
      </c>
      <c r="E688" s="98">
        <v>0</v>
      </c>
      <c r="F688" s="120">
        <v>0</v>
      </c>
      <c r="G688" s="121">
        <v>0</v>
      </c>
      <c r="H688" s="123">
        <v>0</v>
      </c>
      <c r="I688" s="122">
        <v>0</v>
      </c>
      <c r="J688" s="124">
        <f t="shared" si="10"/>
        <v>0</v>
      </c>
    </row>
    <row r="689" spans="1:10" ht="15" customHeight="1" x14ac:dyDescent="0.2">
      <c r="A689" s="120" t="s">
        <v>4597</v>
      </c>
      <c r="B689" s="120" t="s">
        <v>3609</v>
      </c>
      <c r="C689" s="98" t="s">
        <v>3936</v>
      </c>
      <c r="D689" s="120" t="s">
        <v>3534</v>
      </c>
      <c r="E689" s="98">
        <v>0</v>
      </c>
      <c r="F689" s="120">
        <v>0</v>
      </c>
      <c r="G689" s="121">
        <v>0</v>
      </c>
      <c r="H689" s="123">
        <v>0</v>
      </c>
      <c r="I689" s="122">
        <v>0</v>
      </c>
      <c r="J689" s="124">
        <f t="shared" si="10"/>
        <v>0</v>
      </c>
    </row>
    <row r="690" spans="1:10" ht="15" customHeight="1" x14ac:dyDescent="0.2">
      <c r="A690" s="120" t="s">
        <v>4598</v>
      </c>
      <c r="B690" s="120" t="s">
        <v>3609</v>
      </c>
      <c r="C690" s="98" t="s">
        <v>4599</v>
      </c>
      <c r="D690" s="120" t="s">
        <v>3534</v>
      </c>
      <c r="E690" s="98">
        <v>0</v>
      </c>
      <c r="F690" s="120">
        <v>0</v>
      </c>
      <c r="G690" s="121">
        <v>0</v>
      </c>
      <c r="H690" s="123">
        <v>0</v>
      </c>
      <c r="I690" s="122">
        <v>0</v>
      </c>
      <c r="J690" s="124">
        <f t="shared" si="10"/>
        <v>0</v>
      </c>
    </row>
    <row r="691" spans="1:10" ht="15" customHeight="1" x14ac:dyDescent="0.2">
      <c r="A691" s="120" t="s">
        <v>4600</v>
      </c>
      <c r="B691" s="120" t="s">
        <v>4584</v>
      </c>
      <c r="C691" s="98" t="s">
        <v>3533</v>
      </c>
      <c r="D691" s="120" t="s">
        <v>3534</v>
      </c>
      <c r="E691" s="98">
        <v>0</v>
      </c>
      <c r="F691" s="120">
        <v>0</v>
      </c>
      <c r="G691" s="121">
        <v>314</v>
      </c>
      <c r="H691" s="123">
        <v>0</v>
      </c>
      <c r="I691" s="122">
        <v>0</v>
      </c>
      <c r="J691" s="124">
        <f t="shared" si="10"/>
        <v>0</v>
      </c>
    </row>
    <row r="692" spans="1:10" ht="15" customHeight="1" x14ac:dyDescent="0.2">
      <c r="A692" s="120" t="s">
        <v>4600</v>
      </c>
      <c r="B692" s="120" t="s">
        <v>4584</v>
      </c>
      <c r="C692" s="98" t="s">
        <v>3540</v>
      </c>
      <c r="D692" s="120" t="s">
        <v>3534</v>
      </c>
      <c r="E692" s="98">
        <v>0.16736400000000001</v>
      </c>
      <c r="F692" s="120">
        <v>0</v>
      </c>
      <c r="G692" s="121">
        <v>0</v>
      </c>
      <c r="H692" s="123">
        <v>0.16736400000000001</v>
      </c>
      <c r="I692" s="122">
        <v>0</v>
      </c>
      <c r="J692" s="124">
        <f t="shared" si="10"/>
        <v>0.16736400000000001</v>
      </c>
    </row>
    <row r="693" spans="1:10" ht="15" customHeight="1" x14ac:dyDescent="0.2">
      <c r="A693" s="120" t="s">
        <v>4601</v>
      </c>
      <c r="B693" s="120" t="s">
        <v>3609</v>
      </c>
      <c r="C693" s="98" t="s">
        <v>3532</v>
      </c>
      <c r="D693" s="120" t="s">
        <v>3534</v>
      </c>
      <c r="E693" s="98">
        <v>0</v>
      </c>
      <c r="F693" s="120">
        <v>0</v>
      </c>
      <c r="G693" s="121">
        <v>0</v>
      </c>
      <c r="H693" s="123">
        <v>0</v>
      </c>
      <c r="I693" s="122">
        <v>0</v>
      </c>
      <c r="J693" s="124">
        <f t="shared" si="10"/>
        <v>0</v>
      </c>
    </row>
    <row r="694" spans="1:10" ht="15" customHeight="1" x14ac:dyDescent="0.2">
      <c r="A694" s="120" t="s">
        <v>4602</v>
      </c>
      <c r="B694" s="120" t="s">
        <v>3609</v>
      </c>
      <c r="C694" s="98" t="s">
        <v>4599</v>
      </c>
      <c r="D694" s="120" t="s">
        <v>3534</v>
      </c>
      <c r="E694" s="98">
        <v>0</v>
      </c>
      <c r="F694" s="120">
        <v>0</v>
      </c>
      <c r="G694" s="121">
        <v>0</v>
      </c>
      <c r="H694" s="123">
        <v>0</v>
      </c>
      <c r="I694" s="122">
        <v>0</v>
      </c>
      <c r="J694" s="124">
        <f t="shared" si="10"/>
        <v>0</v>
      </c>
    </row>
    <row r="695" spans="1:10" ht="15" customHeight="1" x14ac:dyDescent="0.2">
      <c r="A695" s="120" t="s">
        <v>4603</v>
      </c>
      <c r="B695" s="120" t="s">
        <v>3609</v>
      </c>
      <c r="C695" s="98" t="s">
        <v>4599</v>
      </c>
      <c r="D695" s="120" t="s">
        <v>3534</v>
      </c>
      <c r="E695" s="98">
        <v>0</v>
      </c>
      <c r="F695" s="120">
        <v>0</v>
      </c>
      <c r="G695" s="121">
        <v>0</v>
      </c>
      <c r="H695" s="123">
        <v>0</v>
      </c>
      <c r="I695" s="122">
        <v>0</v>
      </c>
      <c r="J695" s="124">
        <f t="shared" si="10"/>
        <v>0</v>
      </c>
    </row>
    <row r="696" spans="1:10" ht="15" customHeight="1" x14ac:dyDescent="0.2">
      <c r="A696" s="120" t="s">
        <v>4604</v>
      </c>
      <c r="B696" s="120" t="s">
        <v>3609</v>
      </c>
      <c r="C696" s="98" t="s">
        <v>4599</v>
      </c>
      <c r="D696" s="120" t="s">
        <v>3534</v>
      </c>
      <c r="E696" s="98">
        <v>0</v>
      </c>
      <c r="F696" s="120">
        <v>0</v>
      </c>
      <c r="G696" s="121">
        <v>0</v>
      </c>
      <c r="H696" s="123">
        <v>0</v>
      </c>
      <c r="I696" s="122">
        <v>0</v>
      </c>
      <c r="J696" s="124">
        <f t="shared" si="10"/>
        <v>0</v>
      </c>
    </row>
    <row r="697" spans="1:10" ht="15" customHeight="1" x14ac:dyDescent="0.2">
      <c r="A697" s="120" t="s">
        <v>4605</v>
      </c>
      <c r="B697" s="120" t="s">
        <v>4584</v>
      </c>
      <c r="C697" s="98" t="s">
        <v>3540</v>
      </c>
      <c r="D697" s="120" t="s">
        <v>3534</v>
      </c>
      <c r="E697" s="98">
        <v>7.2542999999999996E-2</v>
      </c>
      <c r="F697" s="120">
        <v>0</v>
      </c>
      <c r="G697" s="121">
        <v>0</v>
      </c>
      <c r="H697" s="123">
        <v>7.2542999999999996E-2</v>
      </c>
      <c r="I697" s="122">
        <v>0</v>
      </c>
      <c r="J697" s="124">
        <f t="shared" si="10"/>
        <v>7.2542999999999996E-2</v>
      </c>
    </row>
    <row r="698" spans="1:10" ht="15" customHeight="1" x14ac:dyDescent="0.2">
      <c r="A698" s="120" t="s">
        <v>4606</v>
      </c>
      <c r="B698" s="120" t="s">
        <v>3532</v>
      </c>
      <c r="C698" s="98" t="s">
        <v>3533</v>
      </c>
      <c r="D698" s="120" t="s">
        <v>3534</v>
      </c>
      <c r="E698" s="98">
        <v>7.4503E-2</v>
      </c>
      <c r="F698" s="120">
        <v>0</v>
      </c>
      <c r="G698" s="121">
        <v>29482</v>
      </c>
      <c r="H698" s="123">
        <v>7.4503E-2</v>
      </c>
      <c r="I698" s="122">
        <v>2196.4974459999999</v>
      </c>
      <c r="J698" s="124">
        <f t="shared" si="10"/>
        <v>7.4503E-2</v>
      </c>
    </row>
    <row r="699" spans="1:10" ht="15" customHeight="1" x14ac:dyDescent="0.2">
      <c r="A699" s="120" t="s">
        <v>4607</v>
      </c>
      <c r="B699" s="120" t="s">
        <v>4584</v>
      </c>
      <c r="C699" s="98" t="s">
        <v>3540</v>
      </c>
      <c r="D699" s="120" t="s">
        <v>3534</v>
      </c>
      <c r="E699" s="98">
        <v>0</v>
      </c>
      <c r="F699" s="120">
        <v>0</v>
      </c>
      <c r="G699" s="121">
        <v>0</v>
      </c>
      <c r="H699" s="123">
        <v>0</v>
      </c>
      <c r="I699" s="122">
        <v>0</v>
      </c>
      <c r="J699" s="124">
        <f t="shared" si="10"/>
        <v>0</v>
      </c>
    </row>
    <row r="700" spans="1:10" ht="15" customHeight="1" x14ac:dyDescent="0.2">
      <c r="A700" s="120" t="s">
        <v>4608</v>
      </c>
      <c r="B700" s="120" t="s">
        <v>4584</v>
      </c>
      <c r="C700" s="98" t="s">
        <v>3540</v>
      </c>
      <c r="D700" s="120" t="s">
        <v>3534</v>
      </c>
      <c r="E700" s="98">
        <v>0</v>
      </c>
      <c r="F700" s="120">
        <v>0</v>
      </c>
      <c r="G700" s="121">
        <v>2571</v>
      </c>
      <c r="H700" s="123">
        <v>0</v>
      </c>
      <c r="I700" s="122">
        <v>0</v>
      </c>
      <c r="J700" s="124">
        <f t="shared" si="10"/>
        <v>0</v>
      </c>
    </row>
    <row r="701" spans="1:10" ht="15" customHeight="1" x14ac:dyDescent="0.2">
      <c r="A701" s="120" t="s">
        <v>4609</v>
      </c>
      <c r="B701" s="120" t="s">
        <v>3532</v>
      </c>
      <c r="C701" s="98" t="s">
        <v>3540</v>
      </c>
      <c r="D701" s="120" t="s">
        <v>3534</v>
      </c>
      <c r="E701" s="98">
        <v>0</v>
      </c>
      <c r="F701" s="120">
        <v>0</v>
      </c>
      <c r="G701" s="121">
        <v>0</v>
      </c>
      <c r="H701" s="123">
        <v>0</v>
      </c>
      <c r="I701" s="122">
        <v>0</v>
      </c>
      <c r="J701" s="124">
        <f t="shared" si="10"/>
        <v>0</v>
      </c>
    </row>
    <row r="702" spans="1:10" ht="15" customHeight="1" x14ac:dyDescent="0.2">
      <c r="A702" s="120" t="s">
        <v>4610</v>
      </c>
      <c r="B702" s="120" t="s">
        <v>4584</v>
      </c>
      <c r="C702" s="98" t="s">
        <v>3540</v>
      </c>
      <c r="D702" s="120" t="s">
        <v>3534</v>
      </c>
      <c r="E702" s="98">
        <v>0</v>
      </c>
      <c r="F702" s="120">
        <v>0</v>
      </c>
      <c r="G702" s="121">
        <v>0</v>
      </c>
      <c r="H702" s="123">
        <v>0</v>
      </c>
      <c r="I702" s="122">
        <v>0</v>
      </c>
      <c r="J702" s="124">
        <f t="shared" si="10"/>
        <v>0</v>
      </c>
    </row>
    <row r="703" spans="1:10" ht="15" customHeight="1" x14ac:dyDescent="0.2">
      <c r="A703" s="120" t="s">
        <v>4611</v>
      </c>
      <c r="B703" s="120" t="s">
        <v>3532</v>
      </c>
      <c r="C703" s="98" t="s">
        <v>3533</v>
      </c>
      <c r="D703" s="120" t="s">
        <v>3534</v>
      </c>
      <c r="E703" s="98">
        <v>0</v>
      </c>
      <c r="F703" s="120">
        <v>0</v>
      </c>
      <c r="G703" s="121">
        <v>34589</v>
      </c>
      <c r="H703" s="123">
        <v>0</v>
      </c>
      <c r="I703" s="122">
        <v>0</v>
      </c>
      <c r="J703" s="124">
        <f t="shared" si="10"/>
        <v>0</v>
      </c>
    </row>
    <row r="704" spans="1:10" ht="15" customHeight="1" x14ac:dyDescent="0.2">
      <c r="A704" s="120" t="s">
        <v>4612</v>
      </c>
      <c r="B704" s="120" t="s">
        <v>3609</v>
      </c>
      <c r="C704" s="98" t="s">
        <v>4613</v>
      </c>
      <c r="D704" s="120" t="s">
        <v>3534</v>
      </c>
      <c r="E704" s="98">
        <v>0</v>
      </c>
      <c r="F704" s="120">
        <v>0</v>
      </c>
      <c r="G704" s="121">
        <v>0</v>
      </c>
      <c r="H704" s="123">
        <v>0</v>
      </c>
      <c r="I704" s="122">
        <v>0</v>
      </c>
      <c r="J704" s="124">
        <f t="shared" si="10"/>
        <v>0</v>
      </c>
    </row>
    <row r="705" spans="1:11" ht="15" customHeight="1" x14ac:dyDescent="0.2">
      <c r="A705" s="120" t="s">
        <v>4614</v>
      </c>
      <c r="B705" s="120" t="s">
        <v>3609</v>
      </c>
      <c r="C705" s="98" t="s">
        <v>3936</v>
      </c>
      <c r="D705" s="120" t="s">
        <v>3534</v>
      </c>
      <c r="E705" s="98">
        <v>0</v>
      </c>
      <c r="F705" s="120">
        <v>0</v>
      </c>
      <c r="G705" s="121">
        <v>0</v>
      </c>
      <c r="H705" s="123">
        <v>0</v>
      </c>
      <c r="I705" s="122">
        <v>0</v>
      </c>
      <c r="J705" s="124">
        <f t="shared" si="10"/>
        <v>0</v>
      </c>
    </row>
    <row r="706" spans="1:11" ht="15" customHeight="1" x14ac:dyDescent="0.2">
      <c r="A706" s="120" t="s">
        <v>4615</v>
      </c>
      <c r="B706" s="120" t="s">
        <v>3609</v>
      </c>
      <c r="C706" s="98" t="s">
        <v>4613</v>
      </c>
      <c r="D706" s="120" t="s">
        <v>3534</v>
      </c>
      <c r="E706" s="98">
        <v>1.8499999999999999E-2</v>
      </c>
      <c r="F706" s="120">
        <v>0</v>
      </c>
      <c r="G706" s="121">
        <v>0</v>
      </c>
      <c r="H706" s="123">
        <v>1.8499999999999999E-2</v>
      </c>
      <c r="I706" s="122">
        <v>0</v>
      </c>
      <c r="J706" s="124">
        <f t="shared" ref="J706:J769" si="11">IF(D706="gm", E706*1000,+E706)</f>
        <v>1.8499999999999999E-2</v>
      </c>
    </row>
    <row r="707" spans="1:11" ht="15" customHeight="1" x14ac:dyDescent="0.2">
      <c r="A707" s="120" t="s">
        <v>4615</v>
      </c>
      <c r="B707" s="120" t="s">
        <v>3532</v>
      </c>
      <c r="C707" s="98" t="s">
        <v>3533</v>
      </c>
      <c r="D707" s="120" t="s">
        <v>3534</v>
      </c>
      <c r="E707" s="98">
        <v>9.5058394429503007E-2</v>
      </c>
      <c r="F707" s="120">
        <v>0</v>
      </c>
      <c r="G707" s="121">
        <v>2168</v>
      </c>
      <c r="H707" s="123">
        <v>9.5058000000000004E-2</v>
      </c>
      <c r="I707" s="122">
        <v>206.08574400000001</v>
      </c>
      <c r="J707" s="124">
        <f t="shared" si="11"/>
        <v>9.5058394429503007E-2</v>
      </c>
    </row>
    <row r="708" spans="1:11" ht="15" customHeight="1" x14ac:dyDescent="0.2">
      <c r="A708" s="120" t="s">
        <v>4616</v>
      </c>
      <c r="B708" s="120" t="s">
        <v>3609</v>
      </c>
      <c r="C708" s="98" t="s">
        <v>3540</v>
      </c>
      <c r="D708" s="120" t="s">
        <v>3534</v>
      </c>
      <c r="E708" s="98">
        <v>0</v>
      </c>
      <c r="F708" s="120">
        <v>0</v>
      </c>
      <c r="G708" s="121">
        <v>0</v>
      </c>
      <c r="H708" s="123">
        <v>0</v>
      </c>
      <c r="I708" s="122">
        <v>0</v>
      </c>
      <c r="J708" s="124">
        <f t="shared" si="11"/>
        <v>0</v>
      </c>
    </row>
    <row r="709" spans="1:11" ht="15" customHeight="1" x14ac:dyDescent="0.2">
      <c r="A709" s="120" t="s">
        <v>4617</v>
      </c>
      <c r="B709" s="120" t="s">
        <v>4584</v>
      </c>
      <c r="C709" s="98" t="s">
        <v>3540</v>
      </c>
      <c r="D709" s="120" t="s">
        <v>3534</v>
      </c>
      <c r="E709" s="98">
        <v>6.7067000000000002E-2</v>
      </c>
      <c r="F709" s="120">
        <v>0</v>
      </c>
      <c r="G709" s="121">
        <v>0</v>
      </c>
      <c r="H709" s="123">
        <v>6.7067000000000002E-2</v>
      </c>
      <c r="I709" s="122">
        <v>0</v>
      </c>
      <c r="J709" s="124">
        <f t="shared" si="11"/>
        <v>6.7067000000000002E-2</v>
      </c>
    </row>
    <row r="710" spans="1:11" ht="15" customHeight="1" x14ac:dyDescent="0.2">
      <c r="A710" s="120" t="s">
        <v>4618</v>
      </c>
      <c r="B710" s="120" t="s">
        <v>3599</v>
      </c>
      <c r="C710" s="98" t="s">
        <v>3533</v>
      </c>
      <c r="D710" s="120" t="s">
        <v>3534</v>
      </c>
      <c r="E710" s="98">
        <v>2.4E-2</v>
      </c>
      <c r="F710" s="120">
        <v>0</v>
      </c>
      <c r="G710" s="121">
        <v>2536.0000009999999</v>
      </c>
      <c r="H710" s="123">
        <v>2.4E-2</v>
      </c>
      <c r="I710" s="122">
        <v>60.864000023999999</v>
      </c>
      <c r="J710" s="124">
        <f t="shared" si="11"/>
        <v>2.4E-2</v>
      </c>
      <c r="K710" s="98" t="s">
        <v>4619</v>
      </c>
    </row>
    <row r="711" spans="1:11" ht="15" customHeight="1" x14ac:dyDescent="0.2">
      <c r="A711" s="120" t="s">
        <v>4620</v>
      </c>
      <c r="B711" s="120" t="s">
        <v>4621</v>
      </c>
      <c r="C711" s="98" t="s">
        <v>3533</v>
      </c>
      <c r="D711" s="120" t="s">
        <v>3534</v>
      </c>
      <c r="E711" s="98">
        <v>0</v>
      </c>
      <c r="F711" s="120">
        <v>0</v>
      </c>
      <c r="G711" s="121">
        <v>2000</v>
      </c>
      <c r="H711" s="123">
        <v>0</v>
      </c>
      <c r="I711" s="122">
        <v>0</v>
      </c>
      <c r="J711" s="124">
        <f t="shared" si="11"/>
        <v>0</v>
      </c>
      <c r="K711" s="98" t="s">
        <v>4622</v>
      </c>
    </row>
    <row r="712" spans="1:11" ht="15" customHeight="1" x14ac:dyDescent="0.2">
      <c r="A712" s="120" t="s">
        <v>4623</v>
      </c>
      <c r="B712" s="120" t="s">
        <v>3599</v>
      </c>
      <c r="C712" s="98" t="s">
        <v>3533</v>
      </c>
      <c r="D712" s="120" t="s">
        <v>3534</v>
      </c>
      <c r="E712" s="98">
        <v>4.7000000000000002E-3</v>
      </c>
      <c r="F712" s="120">
        <v>0</v>
      </c>
      <c r="G712" s="121">
        <v>48450</v>
      </c>
      <c r="H712" s="123">
        <v>4.7000000000000002E-3</v>
      </c>
      <c r="I712" s="122">
        <v>227.715</v>
      </c>
      <c r="J712" s="124">
        <f t="shared" si="11"/>
        <v>4.7000000000000002E-3</v>
      </c>
      <c r="K712" s="98" t="s">
        <v>4624</v>
      </c>
    </row>
    <row r="713" spans="1:11" ht="15" customHeight="1" x14ac:dyDescent="0.2">
      <c r="A713" s="120" t="s">
        <v>4625</v>
      </c>
      <c r="B713" s="120" t="s">
        <v>3609</v>
      </c>
      <c r="C713" s="98" t="s">
        <v>3533</v>
      </c>
      <c r="D713" s="120" t="s">
        <v>3534</v>
      </c>
      <c r="E713" s="98">
        <v>2.3800000000000002E-2</v>
      </c>
      <c r="F713" s="120">
        <v>0</v>
      </c>
      <c r="G713" s="121">
        <v>35560</v>
      </c>
      <c r="H713" s="123">
        <v>2.3800000000000002E-2</v>
      </c>
      <c r="I713" s="122">
        <v>846.32800000000009</v>
      </c>
      <c r="J713" s="124">
        <f t="shared" si="11"/>
        <v>2.3800000000000002E-2</v>
      </c>
    </row>
    <row r="714" spans="1:11" ht="15" customHeight="1" x14ac:dyDescent="0.2">
      <c r="A714" s="120" t="s">
        <v>4626</v>
      </c>
      <c r="B714" s="120" t="s">
        <v>4627</v>
      </c>
      <c r="C714" s="98" t="s">
        <v>3533</v>
      </c>
      <c r="D714" s="120" t="s">
        <v>3534</v>
      </c>
      <c r="E714" s="98">
        <v>0</v>
      </c>
      <c r="F714" s="120">
        <v>0</v>
      </c>
      <c r="G714" s="121">
        <v>0</v>
      </c>
      <c r="H714" s="123">
        <v>0</v>
      </c>
      <c r="I714" s="122">
        <v>0</v>
      </c>
      <c r="J714" s="124">
        <f t="shared" si="11"/>
        <v>0</v>
      </c>
    </row>
    <row r="715" spans="1:11" ht="15" customHeight="1" x14ac:dyDescent="0.2">
      <c r="A715" s="120" t="s">
        <v>4628</v>
      </c>
      <c r="B715" s="120" t="s">
        <v>4621</v>
      </c>
      <c r="C715" s="98" t="s">
        <v>3533</v>
      </c>
      <c r="D715" s="120" t="s">
        <v>3534</v>
      </c>
      <c r="E715" s="98">
        <v>0</v>
      </c>
      <c r="F715" s="120">
        <v>0</v>
      </c>
      <c r="G715" s="121">
        <v>0</v>
      </c>
      <c r="H715" s="123">
        <v>0</v>
      </c>
      <c r="I715" s="122">
        <v>0</v>
      </c>
      <c r="J715" s="124">
        <f t="shared" si="11"/>
        <v>0</v>
      </c>
    </row>
    <row r="716" spans="1:11" ht="15" customHeight="1" x14ac:dyDescent="0.2">
      <c r="A716" s="120" t="s">
        <v>4629</v>
      </c>
      <c r="B716" s="120" t="s">
        <v>4630</v>
      </c>
      <c r="C716" s="98" t="s">
        <v>3533</v>
      </c>
      <c r="D716" s="120" t="s">
        <v>3534</v>
      </c>
      <c r="E716" s="98">
        <v>5.5809999999999998E-2</v>
      </c>
      <c r="F716" s="120">
        <v>0</v>
      </c>
      <c r="G716" s="121">
        <v>7500</v>
      </c>
      <c r="H716" s="123">
        <v>5.5809999999999998E-2</v>
      </c>
      <c r="I716" s="122">
        <v>418.57499999999999</v>
      </c>
      <c r="J716" s="124">
        <f t="shared" si="11"/>
        <v>5.5809999999999998E-2</v>
      </c>
      <c r="K716" s="98" t="s">
        <v>4631</v>
      </c>
    </row>
    <row r="717" spans="1:11" ht="15" customHeight="1" x14ac:dyDescent="0.2">
      <c r="A717" s="120" t="s">
        <v>4632</v>
      </c>
      <c r="B717" s="120" t="s">
        <v>3980</v>
      </c>
      <c r="C717" s="98" t="s">
        <v>3533</v>
      </c>
      <c r="D717" s="120" t="s">
        <v>3534</v>
      </c>
      <c r="E717" s="98">
        <v>0</v>
      </c>
      <c r="F717" s="120">
        <v>0</v>
      </c>
      <c r="G717" s="121">
        <v>772</v>
      </c>
      <c r="H717" s="123">
        <v>0</v>
      </c>
      <c r="I717" s="122">
        <v>0</v>
      </c>
      <c r="J717" s="124">
        <f t="shared" si="11"/>
        <v>0</v>
      </c>
    </row>
    <row r="718" spans="1:11" ht="15" customHeight="1" x14ac:dyDescent="0.2">
      <c r="A718" s="120" t="s">
        <v>4633</v>
      </c>
      <c r="B718" s="120" t="s">
        <v>3671</v>
      </c>
      <c r="C718" s="98" t="s">
        <v>3533</v>
      </c>
      <c r="D718" s="120" t="s">
        <v>3534</v>
      </c>
      <c r="E718" s="98">
        <v>0</v>
      </c>
      <c r="F718" s="120">
        <v>0</v>
      </c>
      <c r="G718" s="121">
        <v>794</v>
      </c>
      <c r="H718" s="123">
        <v>0</v>
      </c>
      <c r="I718" s="122">
        <v>0</v>
      </c>
      <c r="J718" s="124">
        <f t="shared" si="11"/>
        <v>0</v>
      </c>
    </row>
    <row r="719" spans="1:11" ht="15" customHeight="1" x14ac:dyDescent="0.2">
      <c r="A719" s="120" t="s">
        <v>4634</v>
      </c>
      <c r="B719" s="120" t="s">
        <v>3671</v>
      </c>
      <c r="C719" s="98" t="s">
        <v>3533</v>
      </c>
      <c r="D719" s="120" t="s">
        <v>3534</v>
      </c>
      <c r="E719" s="98">
        <v>0</v>
      </c>
      <c r="F719" s="120">
        <v>0</v>
      </c>
      <c r="G719" s="121">
        <v>429</v>
      </c>
      <c r="H719" s="123">
        <v>0</v>
      </c>
      <c r="I719" s="122">
        <v>0</v>
      </c>
      <c r="J719" s="124">
        <f t="shared" si="11"/>
        <v>0</v>
      </c>
    </row>
    <row r="720" spans="1:11" ht="15" customHeight="1" x14ac:dyDescent="0.2">
      <c r="A720" s="120" t="s">
        <v>4635</v>
      </c>
      <c r="B720" s="120" t="s">
        <v>3980</v>
      </c>
      <c r="C720" s="98" t="s">
        <v>3533</v>
      </c>
      <c r="D720" s="120" t="s">
        <v>3534</v>
      </c>
      <c r="E720" s="98">
        <v>0</v>
      </c>
      <c r="F720" s="120">
        <v>0</v>
      </c>
      <c r="G720" s="121">
        <v>791</v>
      </c>
      <c r="H720" s="123">
        <v>0</v>
      </c>
      <c r="I720" s="122">
        <v>0</v>
      </c>
      <c r="J720" s="124">
        <f t="shared" si="11"/>
        <v>0</v>
      </c>
    </row>
    <row r="721" spans="1:11" ht="15" customHeight="1" x14ac:dyDescent="0.2">
      <c r="A721" s="120" t="s">
        <v>4636</v>
      </c>
      <c r="B721" s="120" t="s">
        <v>3980</v>
      </c>
      <c r="C721" s="98" t="s">
        <v>3533</v>
      </c>
      <c r="D721" s="120" t="s">
        <v>3534</v>
      </c>
      <c r="E721" s="98">
        <v>3.8064000000000001E-2</v>
      </c>
      <c r="F721" s="120">
        <v>0</v>
      </c>
      <c r="G721" s="121">
        <v>715</v>
      </c>
      <c r="H721" s="123">
        <v>3.8064000000000001E-2</v>
      </c>
      <c r="I721" s="122">
        <v>27.21576</v>
      </c>
      <c r="J721" s="124">
        <f t="shared" si="11"/>
        <v>3.8064000000000001E-2</v>
      </c>
    </row>
    <row r="722" spans="1:11" ht="15" customHeight="1" x14ac:dyDescent="0.2">
      <c r="A722" s="120" t="s">
        <v>4637</v>
      </c>
      <c r="B722" s="120" t="s">
        <v>3532</v>
      </c>
      <c r="C722" s="98" t="s">
        <v>3533</v>
      </c>
      <c r="D722" s="120" t="s">
        <v>3534</v>
      </c>
      <c r="E722" s="98">
        <v>0.11368399999999999</v>
      </c>
      <c r="F722" s="120">
        <v>0</v>
      </c>
      <c r="G722" s="121">
        <v>655</v>
      </c>
      <c r="H722" s="123">
        <v>0.11368399999999999</v>
      </c>
      <c r="I722" s="122">
        <v>74.46302</v>
      </c>
      <c r="J722" s="124">
        <f t="shared" si="11"/>
        <v>0.11368399999999999</v>
      </c>
    </row>
    <row r="723" spans="1:11" ht="15" customHeight="1" x14ac:dyDescent="0.2">
      <c r="A723" s="120" t="s">
        <v>4638</v>
      </c>
      <c r="B723" s="120" t="s">
        <v>4584</v>
      </c>
      <c r="C723" s="98" t="s">
        <v>3533</v>
      </c>
      <c r="D723" s="120" t="s">
        <v>3534</v>
      </c>
      <c r="E723" s="98">
        <v>5.1223831775700897E-2</v>
      </c>
      <c r="F723" s="120">
        <v>0</v>
      </c>
      <c r="G723" s="121">
        <v>11173</v>
      </c>
      <c r="H723" s="123">
        <v>5.2569999999999999E-2</v>
      </c>
      <c r="I723" s="122">
        <v>587.36460999999997</v>
      </c>
      <c r="J723" s="124">
        <f t="shared" si="11"/>
        <v>5.1223831775700897E-2</v>
      </c>
    </row>
    <row r="724" spans="1:11" ht="15" customHeight="1" x14ac:dyDescent="0.2">
      <c r="A724" s="120" t="s">
        <v>4639</v>
      </c>
      <c r="B724" s="120" t="s">
        <v>4584</v>
      </c>
      <c r="C724" s="98" t="s">
        <v>3533</v>
      </c>
      <c r="D724" s="120" t="s">
        <v>3534</v>
      </c>
      <c r="E724" s="98">
        <v>5.1224285714285694E-2</v>
      </c>
      <c r="F724" s="120">
        <v>0</v>
      </c>
      <c r="G724" s="121">
        <v>11070</v>
      </c>
      <c r="H724" s="123">
        <v>5.3277999999999999E-2</v>
      </c>
      <c r="I724" s="122">
        <v>589.78746000000001</v>
      </c>
      <c r="J724" s="124">
        <f t="shared" si="11"/>
        <v>5.1224285714285694E-2</v>
      </c>
    </row>
    <row r="725" spans="1:11" ht="15" customHeight="1" x14ac:dyDescent="0.2">
      <c r="A725" s="120" t="s">
        <v>4640</v>
      </c>
      <c r="B725" s="120" t="s">
        <v>4584</v>
      </c>
      <c r="C725" s="98" t="s">
        <v>3533</v>
      </c>
      <c r="D725" s="120" t="s">
        <v>3534</v>
      </c>
      <c r="E725" s="98">
        <v>0</v>
      </c>
      <c r="F725" s="120">
        <v>0</v>
      </c>
      <c r="G725" s="121">
        <v>18678</v>
      </c>
      <c r="H725" s="123">
        <v>0</v>
      </c>
      <c r="I725" s="122">
        <v>0</v>
      </c>
      <c r="J725" s="124">
        <f t="shared" si="11"/>
        <v>0</v>
      </c>
    </row>
    <row r="726" spans="1:11" ht="15" customHeight="1" x14ac:dyDescent="0.2">
      <c r="A726" s="120" t="s">
        <v>4641</v>
      </c>
      <c r="B726" s="120" t="s">
        <v>3599</v>
      </c>
      <c r="C726" s="98" t="s">
        <v>3533</v>
      </c>
      <c r="D726" s="120" t="s">
        <v>3534</v>
      </c>
      <c r="E726" s="98">
        <v>2.643E-3</v>
      </c>
      <c r="F726" s="120">
        <v>0</v>
      </c>
      <c r="G726" s="121">
        <v>2800</v>
      </c>
      <c r="H726" s="123">
        <v>2.643E-3</v>
      </c>
      <c r="I726" s="122">
        <v>7.4003999999999994</v>
      </c>
      <c r="J726" s="124">
        <f t="shared" si="11"/>
        <v>2.643E-3</v>
      </c>
      <c r="K726" s="98" t="s">
        <v>4642</v>
      </c>
    </row>
    <row r="727" spans="1:11" ht="15" customHeight="1" x14ac:dyDescent="0.2">
      <c r="A727" s="120" t="s">
        <v>4643</v>
      </c>
      <c r="B727" s="120" t="s">
        <v>3599</v>
      </c>
      <c r="C727" s="98" t="s">
        <v>3532</v>
      </c>
      <c r="D727" s="120" t="s">
        <v>3534</v>
      </c>
      <c r="E727" s="98">
        <v>0</v>
      </c>
      <c r="F727" s="120">
        <v>0</v>
      </c>
      <c r="G727" s="121">
        <v>19293</v>
      </c>
      <c r="H727" s="123">
        <v>0</v>
      </c>
      <c r="I727" s="122">
        <v>0</v>
      </c>
      <c r="J727" s="124">
        <f t="shared" si="11"/>
        <v>0</v>
      </c>
    </row>
    <row r="728" spans="1:11" ht="15" customHeight="1" x14ac:dyDescent="0.2">
      <c r="A728" s="120" t="s">
        <v>4644</v>
      </c>
      <c r="B728" s="120" t="s">
        <v>3609</v>
      </c>
      <c r="C728" s="98" t="s">
        <v>3936</v>
      </c>
      <c r="D728" s="120" t="s">
        <v>3534</v>
      </c>
      <c r="E728" s="98">
        <v>0</v>
      </c>
      <c r="F728" s="120">
        <v>0</v>
      </c>
      <c r="G728" s="121">
        <v>0</v>
      </c>
      <c r="H728" s="123">
        <v>0</v>
      </c>
      <c r="I728" s="122">
        <v>0</v>
      </c>
      <c r="J728" s="124">
        <f t="shared" si="11"/>
        <v>0</v>
      </c>
    </row>
    <row r="729" spans="1:11" ht="15" customHeight="1" x14ac:dyDescent="0.2">
      <c r="A729" s="120" t="s">
        <v>4645</v>
      </c>
      <c r="B729" s="120" t="s">
        <v>3609</v>
      </c>
      <c r="C729" s="98" t="s">
        <v>3532</v>
      </c>
      <c r="D729" s="120" t="s">
        <v>3534</v>
      </c>
      <c r="E729" s="98">
        <v>0</v>
      </c>
      <c r="F729" s="120">
        <v>0</v>
      </c>
      <c r="G729" s="121">
        <v>0</v>
      </c>
      <c r="H729" s="123">
        <v>0</v>
      </c>
      <c r="I729" s="122">
        <v>0</v>
      </c>
      <c r="J729" s="124">
        <f t="shared" si="11"/>
        <v>0</v>
      </c>
    </row>
    <row r="730" spans="1:11" ht="15" customHeight="1" x14ac:dyDescent="0.2">
      <c r="A730" s="120" t="s">
        <v>4646</v>
      </c>
      <c r="B730" s="120" t="s">
        <v>3532</v>
      </c>
      <c r="C730" s="98" t="s">
        <v>3532</v>
      </c>
      <c r="D730" s="120" t="s">
        <v>3534</v>
      </c>
      <c r="E730" s="98">
        <v>2.64E-3</v>
      </c>
      <c r="F730" s="120">
        <v>0</v>
      </c>
      <c r="G730" s="121">
        <v>0</v>
      </c>
      <c r="H730" s="123">
        <v>2.64E-3</v>
      </c>
      <c r="I730" s="122">
        <v>0</v>
      </c>
      <c r="J730" s="124">
        <f t="shared" si="11"/>
        <v>2.64E-3</v>
      </c>
    </row>
    <row r="731" spans="1:11" ht="15" customHeight="1" x14ac:dyDescent="0.2">
      <c r="A731" s="120" t="s">
        <v>4647</v>
      </c>
      <c r="B731" s="120" t="s">
        <v>3599</v>
      </c>
      <c r="C731" s="98" t="s">
        <v>3533</v>
      </c>
      <c r="D731" s="120" t="s">
        <v>3534</v>
      </c>
      <c r="E731" s="98">
        <v>2.1142999999999999E-2</v>
      </c>
      <c r="F731" s="120">
        <v>0</v>
      </c>
      <c r="G731" s="121">
        <v>8741</v>
      </c>
      <c r="H731" s="123">
        <v>2.1142999999999999E-2</v>
      </c>
      <c r="I731" s="122">
        <v>184.81096299999999</v>
      </c>
      <c r="J731" s="124">
        <f t="shared" si="11"/>
        <v>2.1142999999999999E-2</v>
      </c>
      <c r="K731" s="98" t="s">
        <v>4648</v>
      </c>
    </row>
    <row r="732" spans="1:11" ht="15" customHeight="1" x14ac:dyDescent="0.2">
      <c r="A732" s="120" t="s">
        <v>4649</v>
      </c>
      <c r="B732" s="120" t="s">
        <v>3532</v>
      </c>
      <c r="C732" s="98" t="s">
        <v>3532</v>
      </c>
      <c r="D732" s="120" t="s">
        <v>3534</v>
      </c>
      <c r="E732" s="98">
        <v>17</v>
      </c>
      <c r="F732" s="120">
        <v>0</v>
      </c>
      <c r="G732" s="121">
        <v>0</v>
      </c>
      <c r="H732" s="123">
        <v>17</v>
      </c>
      <c r="I732" s="122">
        <v>0</v>
      </c>
      <c r="J732" s="124">
        <f t="shared" si="11"/>
        <v>17</v>
      </c>
    </row>
    <row r="733" spans="1:11" ht="15" customHeight="1" x14ac:dyDescent="0.2">
      <c r="A733" s="120" t="s">
        <v>4650</v>
      </c>
      <c r="B733" s="120" t="s">
        <v>3532</v>
      </c>
      <c r="C733" s="98" t="s">
        <v>3532</v>
      </c>
      <c r="D733" s="120" t="s">
        <v>3534</v>
      </c>
      <c r="E733" s="98">
        <v>62.99</v>
      </c>
      <c r="F733" s="120">
        <v>0</v>
      </c>
      <c r="G733" s="121">
        <v>0</v>
      </c>
      <c r="H733" s="123">
        <v>62.99</v>
      </c>
      <c r="I733" s="122">
        <v>0</v>
      </c>
      <c r="J733" s="124">
        <f t="shared" si="11"/>
        <v>62.99</v>
      </c>
    </row>
    <row r="734" spans="1:11" ht="15" customHeight="1" x14ac:dyDescent="0.2">
      <c r="A734" s="120" t="s">
        <v>4651</v>
      </c>
      <c r="B734" s="120" t="s">
        <v>4652</v>
      </c>
      <c r="C734" s="98" t="s">
        <v>3532</v>
      </c>
      <c r="D734" s="120" t="s">
        <v>4653</v>
      </c>
      <c r="E734" s="98">
        <v>0</v>
      </c>
      <c r="F734" s="120">
        <v>0</v>
      </c>
      <c r="G734" s="121">
        <v>0</v>
      </c>
      <c r="H734" s="123">
        <v>0</v>
      </c>
      <c r="I734" s="122">
        <v>0</v>
      </c>
      <c r="J734" s="124">
        <f t="shared" si="11"/>
        <v>0</v>
      </c>
    </row>
    <row r="735" spans="1:11" ht="15" customHeight="1" x14ac:dyDescent="0.2">
      <c r="A735" s="120" t="s">
        <v>4654</v>
      </c>
      <c r="B735" s="120" t="s">
        <v>3532</v>
      </c>
      <c r="C735" s="98" t="s">
        <v>3532</v>
      </c>
      <c r="D735" s="120" t="s">
        <v>4653</v>
      </c>
      <c r="E735" s="98">
        <v>0</v>
      </c>
      <c r="F735" s="120">
        <v>0</v>
      </c>
      <c r="G735" s="121">
        <v>0</v>
      </c>
      <c r="H735" s="123">
        <v>0</v>
      </c>
      <c r="I735" s="122">
        <v>0</v>
      </c>
      <c r="J735" s="124">
        <f t="shared" si="11"/>
        <v>0</v>
      </c>
    </row>
    <row r="736" spans="1:11" ht="15" customHeight="1" x14ac:dyDescent="0.2">
      <c r="A736" s="120" t="s">
        <v>4655</v>
      </c>
      <c r="B736" s="120" t="s">
        <v>3532</v>
      </c>
      <c r="C736" s="98" t="s">
        <v>3532</v>
      </c>
      <c r="D736" s="120" t="s">
        <v>3563</v>
      </c>
      <c r="E736" s="98">
        <v>0</v>
      </c>
      <c r="F736" s="120">
        <v>0</v>
      </c>
      <c r="G736" s="121">
        <v>0</v>
      </c>
      <c r="H736" s="123">
        <v>0</v>
      </c>
      <c r="I736" s="122">
        <v>0</v>
      </c>
      <c r="J736" s="124">
        <f t="shared" si="11"/>
        <v>0</v>
      </c>
    </row>
    <row r="737" spans="1:11" ht="15" customHeight="1" x14ac:dyDescent="0.2">
      <c r="A737" s="120" t="s">
        <v>4656</v>
      </c>
      <c r="B737" s="120" t="s">
        <v>4657</v>
      </c>
      <c r="C737" s="98" t="s">
        <v>3532</v>
      </c>
      <c r="D737" s="120" t="s">
        <v>3534</v>
      </c>
      <c r="E737" s="98">
        <v>0.41</v>
      </c>
      <c r="F737" s="120">
        <v>0</v>
      </c>
      <c r="G737" s="121">
        <v>2025</v>
      </c>
      <c r="H737" s="123">
        <v>0.41</v>
      </c>
      <c r="I737" s="122">
        <v>830.25</v>
      </c>
      <c r="J737" s="124">
        <f t="shared" si="11"/>
        <v>0.41</v>
      </c>
    </row>
    <row r="738" spans="1:11" ht="15" customHeight="1" x14ac:dyDescent="0.2">
      <c r="A738" s="120" t="s">
        <v>4658</v>
      </c>
      <c r="B738" s="120" t="s">
        <v>3532</v>
      </c>
      <c r="C738" s="98" t="s">
        <v>3533</v>
      </c>
      <c r="D738" s="120" t="s">
        <v>3534</v>
      </c>
      <c r="E738" s="98">
        <v>4.8599999999999997E-2</v>
      </c>
      <c r="F738" s="120">
        <v>0</v>
      </c>
      <c r="G738" s="121">
        <v>2020</v>
      </c>
      <c r="H738" s="123">
        <v>4.8599999999999997E-2</v>
      </c>
      <c r="I738" s="122">
        <v>98.171999999999997</v>
      </c>
      <c r="J738" s="124">
        <f t="shared" si="11"/>
        <v>4.8599999999999997E-2</v>
      </c>
    </row>
    <row r="739" spans="1:11" ht="15" customHeight="1" x14ac:dyDescent="0.2">
      <c r="A739" s="120" t="s">
        <v>4659</v>
      </c>
      <c r="B739" s="120" t="s">
        <v>3940</v>
      </c>
      <c r="C739" s="98" t="s">
        <v>3532</v>
      </c>
      <c r="D739" s="120" t="s">
        <v>3534</v>
      </c>
      <c r="E739" s="98">
        <v>6.1825000000000001</v>
      </c>
      <c r="F739" s="120">
        <v>0</v>
      </c>
      <c r="G739" s="121">
        <v>0</v>
      </c>
      <c r="H739" s="123">
        <v>6.1825000000000001</v>
      </c>
      <c r="I739" s="122">
        <v>0</v>
      </c>
      <c r="J739" s="124">
        <f t="shared" si="11"/>
        <v>6.1825000000000001</v>
      </c>
    </row>
    <row r="740" spans="1:11" ht="15" customHeight="1" x14ac:dyDescent="0.2">
      <c r="A740" s="120" t="s">
        <v>4660</v>
      </c>
      <c r="B740" s="120" t="s">
        <v>4657</v>
      </c>
      <c r="C740" s="98" t="s">
        <v>3532</v>
      </c>
      <c r="D740" s="120" t="s">
        <v>3534</v>
      </c>
      <c r="E740" s="98">
        <v>0.3145</v>
      </c>
      <c r="F740" s="120">
        <v>0</v>
      </c>
      <c r="G740" s="121">
        <v>12643</v>
      </c>
      <c r="H740" s="123">
        <v>0.3145</v>
      </c>
      <c r="I740" s="122">
        <v>3976.2235000000001</v>
      </c>
      <c r="J740" s="124">
        <f t="shared" si="11"/>
        <v>0.3145</v>
      </c>
    </row>
    <row r="741" spans="1:11" ht="15" customHeight="1" x14ac:dyDescent="0.2">
      <c r="A741" s="120" t="s">
        <v>4661</v>
      </c>
      <c r="B741" s="120" t="s">
        <v>4657</v>
      </c>
      <c r="C741" s="98" t="s">
        <v>3533</v>
      </c>
      <c r="D741" s="120" t="s">
        <v>3534</v>
      </c>
      <c r="E741" s="98">
        <v>0.67</v>
      </c>
      <c r="F741" s="120">
        <v>0</v>
      </c>
      <c r="G741" s="121">
        <v>662</v>
      </c>
      <c r="H741" s="123">
        <v>0.67</v>
      </c>
      <c r="I741" s="122">
        <v>443.54</v>
      </c>
      <c r="J741" s="124">
        <f t="shared" si="11"/>
        <v>0.67</v>
      </c>
    </row>
    <row r="742" spans="1:11" ht="15" customHeight="1" x14ac:dyDescent="0.2">
      <c r="A742" s="120" t="s">
        <v>4662</v>
      </c>
      <c r="B742" s="120" t="s">
        <v>4663</v>
      </c>
      <c r="C742" s="98" t="s">
        <v>3533</v>
      </c>
      <c r="D742" s="120" t="s">
        <v>3534</v>
      </c>
      <c r="E742" s="98">
        <v>0.41320000000000001</v>
      </c>
      <c r="F742" s="120">
        <v>0</v>
      </c>
      <c r="G742" s="121">
        <v>142</v>
      </c>
      <c r="H742" s="123">
        <v>0.41320000000000001</v>
      </c>
      <c r="I742" s="122">
        <v>58.674399999999999</v>
      </c>
      <c r="J742" s="124">
        <f t="shared" si="11"/>
        <v>0.41320000000000001</v>
      </c>
      <c r="K742" s="98" t="s">
        <v>4664</v>
      </c>
    </row>
    <row r="743" spans="1:11" ht="15" customHeight="1" x14ac:dyDescent="0.2">
      <c r="A743" s="120" t="s">
        <v>4665</v>
      </c>
      <c r="B743" s="120" t="s">
        <v>4657</v>
      </c>
      <c r="C743" s="98" t="s">
        <v>3533</v>
      </c>
      <c r="D743" s="120" t="s">
        <v>3534</v>
      </c>
      <c r="E743" s="98">
        <v>0.25585000000000002</v>
      </c>
      <c r="F743" s="120">
        <v>0</v>
      </c>
      <c r="G743" s="121">
        <v>1200</v>
      </c>
      <c r="H743" s="123">
        <v>0.25585000000000002</v>
      </c>
      <c r="I743" s="122">
        <v>307.02000000000004</v>
      </c>
      <c r="J743" s="124">
        <f t="shared" si="11"/>
        <v>0.25585000000000002</v>
      </c>
      <c r="K743" s="98" t="s">
        <v>4666</v>
      </c>
    </row>
    <row r="744" spans="1:11" ht="15" customHeight="1" x14ac:dyDescent="0.2">
      <c r="A744" s="120" t="s">
        <v>4667</v>
      </c>
      <c r="B744" s="120" t="s">
        <v>4621</v>
      </c>
      <c r="C744" s="98" t="s">
        <v>3533</v>
      </c>
      <c r="D744" s="120" t="s">
        <v>3534</v>
      </c>
      <c r="E744" s="98">
        <v>0.57999999999999996</v>
      </c>
      <c r="F744" s="120">
        <v>0</v>
      </c>
      <c r="G744" s="121">
        <v>426</v>
      </c>
      <c r="H744" s="123">
        <v>0.57999999999999996</v>
      </c>
      <c r="I744" s="122">
        <v>247.07999999999998</v>
      </c>
      <c r="J744" s="124">
        <f t="shared" si="11"/>
        <v>0.57999999999999996</v>
      </c>
      <c r="K744" s="98" t="s">
        <v>4668</v>
      </c>
    </row>
    <row r="745" spans="1:11" ht="15" customHeight="1" x14ac:dyDescent="0.2">
      <c r="A745" s="120" t="s">
        <v>4669</v>
      </c>
      <c r="B745" s="120" t="s">
        <v>4657</v>
      </c>
      <c r="C745" s="98" t="s">
        <v>3533</v>
      </c>
      <c r="D745" s="120" t="s">
        <v>3534</v>
      </c>
      <c r="E745" s="98">
        <v>0.46239999999999998</v>
      </c>
      <c r="F745" s="120">
        <v>0</v>
      </c>
      <c r="G745" s="121">
        <v>40500</v>
      </c>
      <c r="H745" s="123">
        <v>0.46239999999999998</v>
      </c>
      <c r="I745" s="122">
        <v>18727.2</v>
      </c>
      <c r="J745" s="124">
        <f t="shared" si="11"/>
        <v>0.46239999999999998</v>
      </c>
      <c r="K745" s="98" t="s">
        <v>4670</v>
      </c>
    </row>
    <row r="746" spans="1:11" ht="15" customHeight="1" x14ac:dyDescent="0.2">
      <c r="A746" s="120" t="s">
        <v>4671</v>
      </c>
      <c r="B746" s="120" t="s">
        <v>3599</v>
      </c>
      <c r="C746" s="98" t="s">
        <v>3533</v>
      </c>
      <c r="D746" s="120" t="s">
        <v>3534</v>
      </c>
      <c r="E746" s="98">
        <v>0.17499999999999999</v>
      </c>
      <c r="F746" s="120">
        <v>0</v>
      </c>
      <c r="G746" s="121">
        <v>1362</v>
      </c>
      <c r="H746" s="123">
        <v>0.17499999999999999</v>
      </c>
      <c r="I746" s="122">
        <v>238.35</v>
      </c>
      <c r="J746" s="124">
        <f t="shared" si="11"/>
        <v>0.17499999999999999</v>
      </c>
      <c r="K746" s="98" t="s">
        <v>4672</v>
      </c>
    </row>
    <row r="747" spans="1:11" ht="15" customHeight="1" x14ac:dyDescent="0.2">
      <c r="A747" s="120" t="s">
        <v>4673</v>
      </c>
      <c r="B747" s="120" t="s">
        <v>3599</v>
      </c>
      <c r="C747" s="98" t="s">
        <v>3533</v>
      </c>
      <c r="D747" s="120" t="s">
        <v>3534</v>
      </c>
      <c r="E747" s="98">
        <v>0.32800000000000001</v>
      </c>
      <c r="F747" s="120">
        <v>0</v>
      </c>
      <c r="G747" s="121">
        <v>898</v>
      </c>
      <c r="H747" s="123">
        <v>0.32800000000000001</v>
      </c>
      <c r="I747" s="122">
        <v>294.54400000000004</v>
      </c>
      <c r="J747" s="124">
        <f t="shared" si="11"/>
        <v>0.32800000000000001</v>
      </c>
      <c r="K747" s="98" t="s">
        <v>4674</v>
      </c>
    </row>
    <row r="748" spans="1:11" ht="15" customHeight="1" x14ac:dyDescent="0.2">
      <c r="A748" s="120" t="s">
        <v>4675</v>
      </c>
      <c r="B748" s="120" t="s">
        <v>3532</v>
      </c>
      <c r="C748" s="98" t="s">
        <v>3532</v>
      </c>
      <c r="D748" s="120" t="s">
        <v>3563</v>
      </c>
      <c r="E748" s="98">
        <v>4.6299999999999996E-3</v>
      </c>
      <c r="F748" s="120">
        <v>0</v>
      </c>
      <c r="G748" s="121">
        <v>0</v>
      </c>
      <c r="H748" s="123">
        <v>4.6299999999999996E-3</v>
      </c>
      <c r="I748" s="122">
        <v>0</v>
      </c>
      <c r="J748" s="124">
        <f t="shared" si="11"/>
        <v>4.63</v>
      </c>
    </row>
    <row r="749" spans="1:11" ht="15" customHeight="1" x14ac:dyDescent="0.2">
      <c r="A749" s="120" t="s">
        <v>4676</v>
      </c>
      <c r="B749" s="120" t="s">
        <v>3532</v>
      </c>
      <c r="C749" s="98" t="s">
        <v>3532</v>
      </c>
      <c r="D749" s="120" t="s">
        <v>3563</v>
      </c>
      <c r="E749" s="98">
        <v>1.3780000000000001E-2</v>
      </c>
      <c r="F749" s="120">
        <v>0</v>
      </c>
      <c r="G749" s="121">
        <v>0</v>
      </c>
      <c r="H749" s="123">
        <v>1.3780000000000001E-2</v>
      </c>
      <c r="I749" s="122">
        <v>0</v>
      </c>
      <c r="J749" s="124">
        <f t="shared" si="11"/>
        <v>13.780000000000001</v>
      </c>
    </row>
    <row r="750" spans="1:11" ht="15" customHeight="1" x14ac:dyDescent="0.2">
      <c r="A750" s="120" t="s">
        <v>4677</v>
      </c>
      <c r="B750" s="120" t="s">
        <v>3532</v>
      </c>
      <c r="C750" s="98" t="s">
        <v>3532</v>
      </c>
      <c r="D750" s="120" t="s">
        <v>3563</v>
      </c>
      <c r="E750" s="98">
        <v>9.3699999999999999E-3</v>
      </c>
      <c r="F750" s="120">
        <v>0</v>
      </c>
      <c r="G750" s="121">
        <v>0</v>
      </c>
      <c r="H750" s="123">
        <v>9.3699999999999999E-3</v>
      </c>
      <c r="I750" s="122">
        <v>0</v>
      </c>
      <c r="J750" s="124">
        <f t="shared" si="11"/>
        <v>9.3699999999999992</v>
      </c>
    </row>
    <row r="751" spans="1:11" ht="15" customHeight="1" x14ac:dyDescent="0.2">
      <c r="A751" s="120" t="s">
        <v>4678</v>
      </c>
      <c r="B751" s="120" t="s">
        <v>3532</v>
      </c>
      <c r="C751" s="98" t="s">
        <v>3532</v>
      </c>
      <c r="D751" s="120" t="s">
        <v>3563</v>
      </c>
      <c r="E751" s="98">
        <v>2.1499999999999998E-2</v>
      </c>
      <c r="F751" s="120">
        <v>0</v>
      </c>
      <c r="G751" s="121">
        <v>0</v>
      </c>
      <c r="H751" s="123">
        <v>2.1499999999999998E-2</v>
      </c>
      <c r="I751" s="122">
        <v>0</v>
      </c>
      <c r="J751" s="124">
        <f t="shared" si="11"/>
        <v>21.5</v>
      </c>
    </row>
    <row r="752" spans="1:11" ht="15" customHeight="1" x14ac:dyDescent="0.2">
      <c r="A752" s="120" t="s">
        <v>4679</v>
      </c>
      <c r="B752" s="120" t="s">
        <v>3532</v>
      </c>
      <c r="C752" s="98" t="s">
        <v>3533</v>
      </c>
      <c r="D752" s="120" t="s">
        <v>3563</v>
      </c>
      <c r="E752" s="98">
        <v>0</v>
      </c>
      <c r="F752" s="120">
        <v>0</v>
      </c>
      <c r="G752" s="121">
        <v>0</v>
      </c>
      <c r="H752" s="123">
        <v>0</v>
      </c>
      <c r="I752" s="122">
        <v>0</v>
      </c>
      <c r="J752" s="124">
        <f t="shared" si="11"/>
        <v>0</v>
      </c>
    </row>
    <row r="753" spans="1:11" ht="15" customHeight="1" x14ac:dyDescent="0.2">
      <c r="A753" s="120" t="s">
        <v>4680</v>
      </c>
      <c r="B753" s="120" t="s">
        <v>4681</v>
      </c>
      <c r="C753" s="98" t="s">
        <v>4682</v>
      </c>
      <c r="D753" s="120" t="s">
        <v>3563</v>
      </c>
      <c r="E753" s="98">
        <v>0</v>
      </c>
      <c r="F753" s="120">
        <v>0</v>
      </c>
      <c r="G753" s="121">
        <v>0</v>
      </c>
      <c r="H753" s="123">
        <v>0</v>
      </c>
      <c r="I753" s="122">
        <v>0</v>
      </c>
      <c r="J753" s="124">
        <f t="shared" si="11"/>
        <v>0</v>
      </c>
    </row>
    <row r="754" spans="1:11" ht="15" customHeight="1" x14ac:dyDescent="0.2">
      <c r="A754" s="120" t="s">
        <v>4683</v>
      </c>
      <c r="B754" s="120" t="s">
        <v>3532</v>
      </c>
      <c r="C754" s="98" t="s">
        <v>3532</v>
      </c>
      <c r="D754" s="120" t="s">
        <v>3563</v>
      </c>
      <c r="E754" s="98">
        <v>0</v>
      </c>
      <c r="F754" s="120">
        <v>0</v>
      </c>
      <c r="G754" s="121">
        <v>0</v>
      </c>
      <c r="H754" s="123">
        <v>0</v>
      </c>
      <c r="I754" s="122">
        <v>0</v>
      </c>
      <c r="J754" s="124">
        <f t="shared" si="11"/>
        <v>0</v>
      </c>
    </row>
    <row r="755" spans="1:11" ht="15" customHeight="1" x14ac:dyDescent="0.2">
      <c r="A755" s="120" t="s">
        <v>4684</v>
      </c>
      <c r="B755" s="120" t="s">
        <v>4685</v>
      </c>
      <c r="C755" s="98" t="s">
        <v>3533</v>
      </c>
      <c r="D755" s="120" t="s">
        <v>3563</v>
      </c>
      <c r="E755" s="98">
        <v>4.3964250734573905E-2</v>
      </c>
      <c r="F755" s="120">
        <v>0</v>
      </c>
      <c r="G755" s="121">
        <v>5345</v>
      </c>
      <c r="H755" s="123">
        <v>4.3964000000000003E-2</v>
      </c>
      <c r="I755" s="122">
        <v>234.98758000000001</v>
      </c>
      <c r="J755" s="124">
        <f t="shared" si="11"/>
        <v>43.964250734573902</v>
      </c>
      <c r="K755" s="98" t="s">
        <v>4686</v>
      </c>
    </row>
    <row r="756" spans="1:11" ht="15" customHeight="1" x14ac:dyDescent="0.2">
      <c r="A756" s="120" t="s">
        <v>4687</v>
      </c>
      <c r="B756" s="120" t="s">
        <v>4688</v>
      </c>
      <c r="C756" s="98" t="s">
        <v>3533</v>
      </c>
      <c r="D756" s="120" t="s">
        <v>3563</v>
      </c>
      <c r="E756" s="98">
        <v>2.9919999999999999E-2</v>
      </c>
      <c r="F756" s="120">
        <v>0</v>
      </c>
      <c r="G756" s="121">
        <v>0</v>
      </c>
      <c r="H756" s="123">
        <v>2.9919999999999999E-2</v>
      </c>
      <c r="I756" s="122">
        <v>0</v>
      </c>
      <c r="J756" s="124">
        <f t="shared" si="11"/>
        <v>29.919999999999998</v>
      </c>
      <c r="K756" s="98" t="s">
        <v>4689</v>
      </c>
    </row>
    <row r="757" spans="1:11" ht="15" customHeight="1" x14ac:dyDescent="0.2">
      <c r="A757" s="120" t="s">
        <v>4690</v>
      </c>
      <c r="B757" s="120" t="s">
        <v>2198</v>
      </c>
      <c r="C757" s="98" t="s">
        <v>3533</v>
      </c>
      <c r="D757" s="120" t="s">
        <v>3563</v>
      </c>
      <c r="E757" s="98">
        <v>5.0397683397683402E-3</v>
      </c>
      <c r="F757" s="120">
        <v>0</v>
      </c>
      <c r="G757" s="121">
        <v>127010</v>
      </c>
      <c r="H757" s="123">
        <v>5.0400000000000002E-3</v>
      </c>
      <c r="I757" s="122">
        <v>640.13040000000001</v>
      </c>
      <c r="J757" s="124">
        <f t="shared" si="11"/>
        <v>5.0397683397683402</v>
      </c>
      <c r="K757" s="98" t="s">
        <v>4691</v>
      </c>
    </row>
    <row r="758" spans="1:11" ht="15" customHeight="1" x14ac:dyDescent="0.2">
      <c r="A758" s="120" t="s">
        <v>4692</v>
      </c>
      <c r="B758" s="120" t="s">
        <v>4681</v>
      </c>
      <c r="C758" s="98" t="s">
        <v>3533</v>
      </c>
      <c r="D758" s="120" t="s">
        <v>3563</v>
      </c>
      <c r="E758" s="98">
        <v>3.986E-3</v>
      </c>
      <c r="F758" s="120">
        <v>0</v>
      </c>
      <c r="G758" s="121">
        <v>0</v>
      </c>
      <c r="H758" s="123">
        <v>3.986E-3</v>
      </c>
      <c r="I758" s="122">
        <v>0</v>
      </c>
      <c r="J758" s="124">
        <f t="shared" si="11"/>
        <v>3.9859999999999998</v>
      </c>
      <c r="K758" s="98" t="s">
        <v>4693</v>
      </c>
    </row>
    <row r="759" spans="1:11" ht="15" customHeight="1" x14ac:dyDescent="0.2">
      <c r="A759" s="120" t="s">
        <v>4694</v>
      </c>
      <c r="B759" s="120" t="s">
        <v>4681</v>
      </c>
      <c r="C759" s="98" t="s">
        <v>3533</v>
      </c>
      <c r="D759" s="120" t="s">
        <v>3563</v>
      </c>
      <c r="E759" s="98">
        <v>1.4881E-2</v>
      </c>
      <c r="F759" s="120">
        <v>0</v>
      </c>
      <c r="G759" s="121">
        <v>0</v>
      </c>
      <c r="H759" s="123">
        <v>1.4881E-2</v>
      </c>
      <c r="I759" s="122">
        <v>0</v>
      </c>
      <c r="J759" s="124">
        <f t="shared" si="11"/>
        <v>14.881</v>
      </c>
      <c r="K759" s="98" t="s">
        <v>4695</v>
      </c>
    </row>
    <row r="760" spans="1:11" ht="15" customHeight="1" x14ac:dyDescent="0.2">
      <c r="A760" s="120" t="s">
        <v>4696</v>
      </c>
      <c r="B760" s="120" t="s">
        <v>3532</v>
      </c>
      <c r="C760" s="98" t="s">
        <v>3532</v>
      </c>
      <c r="D760" s="120" t="s">
        <v>3563</v>
      </c>
      <c r="E760" s="98">
        <v>2.4250000000000001E-2</v>
      </c>
      <c r="F760" s="120">
        <v>0</v>
      </c>
      <c r="G760" s="121">
        <v>0</v>
      </c>
      <c r="H760" s="123">
        <v>2.4250000000000001E-2</v>
      </c>
      <c r="I760" s="122">
        <v>0</v>
      </c>
      <c r="J760" s="124">
        <f t="shared" si="11"/>
        <v>24.25</v>
      </c>
    </row>
    <row r="761" spans="1:11" ht="15" customHeight="1" x14ac:dyDescent="0.2">
      <c r="A761" s="120" t="s">
        <v>4697</v>
      </c>
      <c r="B761" s="120" t="s">
        <v>3532</v>
      </c>
      <c r="C761" s="98" t="s">
        <v>3532</v>
      </c>
      <c r="D761" s="120" t="s">
        <v>3563</v>
      </c>
      <c r="E761" s="98">
        <v>3.4810000000000001E-2</v>
      </c>
      <c r="F761" s="120">
        <v>0</v>
      </c>
      <c r="G761" s="121">
        <v>0</v>
      </c>
      <c r="H761" s="123">
        <v>3.4810000000000001E-2</v>
      </c>
      <c r="I761" s="122">
        <v>0</v>
      </c>
      <c r="J761" s="124">
        <f t="shared" si="11"/>
        <v>34.81</v>
      </c>
    </row>
    <row r="762" spans="1:11" ht="15" customHeight="1" x14ac:dyDescent="0.2">
      <c r="A762" s="120" t="s">
        <v>4698</v>
      </c>
      <c r="B762" s="120" t="s">
        <v>4699</v>
      </c>
      <c r="C762" s="98" t="s">
        <v>3533</v>
      </c>
      <c r="D762" s="120" t="s">
        <v>3563</v>
      </c>
      <c r="E762" s="98">
        <v>5.8100000000000001E-3</v>
      </c>
      <c r="F762" s="120">
        <v>0</v>
      </c>
      <c r="G762" s="121">
        <v>0</v>
      </c>
      <c r="H762" s="123">
        <v>5.8100000000000001E-3</v>
      </c>
      <c r="I762" s="122">
        <v>0</v>
      </c>
      <c r="J762" s="124">
        <f t="shared" si="11"/>
        <v>5.8100000000000005</v>
      </c>
    </row>
    <row r="763" spans="1:11" ht="15" customHeight="1" x14ac:dyDescent="0.2">
      <c r="A763" s="120" t="s">
        <v>4700</v>
      </c>
      <c r="B763" s="120" t="s">
        <v>4701</v>
      </c>
      <c r="C763" s="98" t="s">
        <v>3532</v>
      </c>
      <c r="D763" s="120" t="s">
        <v>3563</v>
      </c>
      <c r="E763" s="98">
        <v>0.03</v>
      </c>
      <c r="F763" s="120">
        <v>0</v>
      </c>
      <c r="G763" s="121">
        <v>0</v>
      </c>
      <c r="H763" s="123">
        <v>0.03</v>
      </c>
      <c r="I763" s="122">
        <v>0</v>
      </c>
      <c r="J763" s="124">
        <f t="shared" si="11"/>
        <v>30</v>
      </c>
    </row>
    <row r="764" spans="1:11" ht="15" customHeight="1" x14ac:dyDescent="0.2">
      <c r="A764" s="120" t="s">
        <v>4702</v>
      </c>
      <c r="B764" s="120" t="s">
        <v>3532</v>
      </c>
      <c r="C764" s="98" t="s">
        <v>3532</v>
      </c>
      <c r="D764" s="120" t="s">
        <v>3563</v>
      </c>
      <c r="E764" s="98">
        <v>1.8180000000000002E-2</v>
      </c>
      <c r="F764" s="120">
        <v>0</v>
      </c>
      <c r="G764" s="121">
        <v>0</v>
      </c>
      <c r="H764" s="123">
        <v>1.8180000000000002E-2</v>
      </c>
      <c r="I764" s="122">
        <v>0</v>
      </c>
      <c r="J764" s="124">
        <f t="shared" si="11"/>
        <v>18.180000000000003</v>
      </c>
    </row>
    <row r="765" spans="1:11" ht="15" customHeight="1" x14ac:dyDescent="0.2">
      <c r="A765" s="120" t="s">
        <v>4703</v>
      </c>
      <c r="B765" s="120" t="s">
        <v>3532</v>
      </c>
      <c r="C765" s="98" t="s">
        <v>3532</v>
      </c>
      <c r="D765" s="120" t="s">
        <v>3563</v>
      </c>
      <c r="E765" s="98">
        <v>3.857E-2</v>
      </c>
      <c r="F765" s="120">
        <v>0</v>
      </c>
      <c r="G765" s="121">
        <v>0</v>
      </c>
      <c r="H765" s="123">
        <v>3.857E-2</v>
      </c>
      <c r="I765" s="122">
        <v>0</v>
      </c>
      <c r="J765" s="124">
        <f t="shared" si="11"/>
        <v>38.57</v>
      </c>
    </row>
    <row r="766" spans="1:11" ht="15" customHeight="1" x14ac:dyDescent="0.2">
      <c r="A766" s="120" t="s">
        <v>4704</v>
      </c>
      <c r="B766" s="120" t="s">
        <v>3532</v>
      </c>
      <c r="C766" s="98" t="s">
        <v>3532</v>
      </c>
      <c r="D766" s="120" t="s">
        <v>3563</v>
      </c>
      <c r="E766" s="98">
        <v>1.583E-2</v>
      </c>
      <c r="F766" s="120">
        <v>0</v>
      </c>
      <c r="G766" s="121">
        <v>0</v>
      </c>
      <c r="H766" s="123">
        <v>1.583E-2</v>
      </c>
      <c r="I766" s="122">
        <v>0</v>
      </c>
      <c r="J766" s="124">
        <f t="shared" si="11"/>
        <v>15.83</v>
      </c>
    </row>
    <row r="767" spans="1:11" ht="15" customHeight="1" x14ac:dyDescent="0.2">
      <c r="A767" s="120" t="s">
        <v>4705</v>
      </c>
      <c r="B767" s="120" t="s">
        <v>3532</v>
      </c>
      <c r="C767" s="98" t="s">
        <v>3533</v>
      </c>
      <c r="D767" s="120" t="s">
        <v>3563</v>
      </c>
      <c r="E767" s="98">
        <v>3.1710000000000002E-2</v>
      </c>
      <c r="F767" s="120">
        <v>0</v>
      </c>
      <c r="G767" s="121">
        <v>0</v>
      </c>
      <c r="H767" s="123">
        <v>3.1710000000000002E-2</v>
      </c>
      <c r="I767" s="122">
        <v>0</v>
      </c>
      <c r="J767" s="124">
        <f t="shared" si="11"/>
        <v>31.71</v>
      </c>
    </row>
    <row r="768" spans="1:11" ht="15" customHeight="1" x14ac:dyDescent="0.2">
      <c r="A768" s="120" t="s">
        <v>4706</v>
      </c>
      <c r="B768" s="120" t="s">
        <v>3532</v>
      </c>
      <c r="C768" s="98" t="s">
        <v>3532</v>
      </c>
      <c r="D768" s="120" t="s">
        <v>3563</v>
      </c>
      <c r="E768" s="98">
        <v>5.1609999999999998E-3</v>
      </c>
      <c r="F768" s="120">
        <v>0</v>
      </c>
      <c r="G768" s="121">
        <v>0</v>
      </c>
      <c r="H768" s="123">
        <v>5.1609999999999998E-3</v>
      </c>
      <c r="I768" s="122">
        <v>0</v>
      </c>
      <c r="J768" s="124">
        <f t="shared" si="11"/>
        <v>5.1609999999999996</v>
      </c>
    </row>
    <row r="769" spans="1:11" ht="15" customHeight="1" x14ac:dyDescent="0.2">
      <c r="A769" s="120" t="s">
        <v>4707</v>
      </c>
      <c r="B769" s="120" t="s">
        <v>3532</v>
      </c>
      <c r="C769" s="98" t="s">
        <v>3532</v>
      </c>
      <c r="D769" s="120" t="s">
        <v>3563</v>
      </c>
      <c r="E769" s="98">
        <v>3.0899999999999999E-3</v>
      </c>
      <c r="F769" s="120">
        <v>0</v>
      </c>
      <c r="G769" s="121">
        <v>0</v>
      </c>
      <c r="H769" s="123">
        <v>3.0899999999999999E-3</v>
      </c>
      <c r="I769" s="122">
        <v>0</v>
      </c>
      <c r="J769" s="124">
        <f t="shared" si="11"/>
        <v>3.09</v>
      </c>
    </row>
    <row r="770" spans="1:11" ht="15" customHeight="1" x14ac:dyDescent="0.2">
      <c r="A770" s="120" t="s">
        <v>4708</v>
      </c>
      <c r="B770" s="120" t="s">
        <v>3532</v>
      </c>
      <c r="C770" s="98" t="s">
        <v>3532</v>
      </c>
      <c r="D770" s="120" t="s">
        <v>3563</v>
      </c>
      <c r="E770" s="98">
        <v>8.8520000000000001E-2</v>
      </c>
      <c r="F770" s="120">
        <v>0</v>
      </c>
      <c r="G770" s="121">
        <v>0</v>
      </c>
      <c r="H770" s="123">
        <v>8.8520000000000001E-2</v>
      </c>
      <c r="I770" s="122">
        <v>0</v>
      </c>
      <c r="J770" s="124">
        <f t="shared" ref="J770:J833" si="12">IF(D770="gm", E770*1000,+E770)</f>
        <v>88.52</v>
      </c>
    </row>
    <row r="771" spans="1:11" ht="15" customHeight="1" x14ac:dyDescent="0.2">
      <c r="A771" s="120" t="s">
        <v>4709</v>
      </c>
      <c r="B771" s="120" t="s">
        <v>3532</v>
      </c>
      <c r="C771" s="98" t="s">
        <v>3533</v>
      </c>
      <c r="D771" s="120" t="s">
        <v>3563</v>
      </c>
      <c r="E771" s="98">
        <v>0</v>
      </c>
      <c r="F771" s="120">
        <v>0</v>
      </c>
      <c r="G771" s="121">
        <v>0</v>
      </c>
      <c r="H771" s="123">
        <v>0</v>
      </c>
      <c r="I771" s="122">
        <v>0</v>
      </c>
      <c r="J771" s="124">
        <f t="shared" si="12"/>
        <v>0</v>
      </c>
    </row>
    <row r="772" spans="1:11" ht="15" customHeight="1" x14ac:dyDescent="0.2">
      <c r="A772" s="120" t="s">
        <v>4710</v>
      </c>
      <c r="B772" s="120" t="s">
        <v>3532</v>
      </c>
      <c r="C772" s="98" t="s">
        <v>3532</v>
      </c>
      <c r="D772" s="120" t="s">
        <v>3563</v>
      </c>
      <c r="E772" s="98">
        <v>0</v>
      </c>
      <c r="F772" s="120">
        <v>0</v>
      </c>
      <c r="G772" s="121">
        <v>0</v>
      </c>
      <c r="H772" s="123">
        <v>0</v>
      </c>
      <c r="I772" s="122">
        <v>0</v>
      </c>
      <c r="J772" s="124">
        <f t="shared" si="12"/>
        <v>0</v>
      </c>
    </row>
    <row r="773" spans="1:11" ht="15" customHeight="1" x14ac:dyDescent="0.2">
      <c r="A773" s="120" t="s">
        <v>4711</v>
      </c>
      <c r="B773" s="120" t="s">
        <v>3532</v>
      </c>
      <c r="C773" s="98" t="s">
        <v>3532</v>
      </c>
      <c r="D773" s="120" t="s">
        <v>3563</v>
      </c>
      <c r="E773" s="98">
        <v>3.4719999999999998E-3</v>
      </c>
      <c r="F773" s="120">
        <v>0</v>
      </c>
      <c r="G773" s="121">
        <v>0</v>
      </c>
      <c r="H773" s="123">
        <v>3.4719999999999998E-3</v>
      </c>
      <c r="I773" s="122">
        <v>0</v>
      </c>
      <c r="J773" s="124">
        <f t="shared" si="12"/>
        <v>3.472</v>
      </c>
    </row>
    <row r="774" spans="1:11" ht="15" customHeight="1" x14ac:dyDescent="0.2">
      <c r="A774" s="120" t="s">
        <v>4712</v>
      </c>
      <c r="B774" s="120" t="s">
        <v>3532</v>
      </c>
      <c r="C774" s="98" t="s">
        <v>3532</v>
      </c>
      <c r="D774" s="120" t="s">
        <v>3563</v>
      </c>
      <c r="E774" s="98">
        <v>2.2880000000000001E-2</v>
      </c>
      <c r="F774" s="120">
        <v>0</v>
      </c>
      <c r="G774" s="121">
        <v>0</v>
      </c>
      <c r="H774" s="123">
        <v>2.2880000000000001E-2</v>
      </c>
      <c r="I774" s="122">
        <v>0</v>
      </c>
      <c r="J774" s="124">
        <f t="shared" si="12"/>
        <v>22.880000000000003</v>
      </c>
    </row>
    <row r="775" spans="1:11" ht="15" customHeight="1" x14ac:dyDescent="0.2">
      <c r="A775" s="120" t="s">
        <v>4713</v>
      </c>
      <c r="B775" s="120" t="s">
        <v>4681</v>
      </c>
      <c r="C775" s="98" t="s">
        <v>3532</v>
      </c>
      <c r="D775" s="120" t="s">
        <v>3563</v>
      </c>
      <c r="E775" s="98">
        <v>1.0050999999999999E-2</v>
      </c>
      <c r="F775" s="120">
        <v>0</v>
      </c>
      <c r="G775" s="121">
        <v>0</v>
      </c>
      <c r="H775" s="123">
        <v>1.0050999999999999E-2</v>
      </c>
      <c r="I775" s="122">
        <v>0</v>
      </c>
      <c r="J775" s="124">
        <f t="shared" si="12"/>
        <v>10.050999999999998</v>
      </c>
    </row>
    <row r="776" spans="1:11" ht="15" customHeight="1" x14ac:dyDescent="0.2">
      <c r="A776" s="120" t="s">
        <v>4714</v>
      </c>
      <c r="B776" s="120" t="s">
        <v>3532</v>
      </c>
      <c r="C776" s="98" t="s">
        <v>3533</v>
      </c>
      <c r="D776" s="120" t="s">
        <v>3563</v>
      </c>
      <c r="E776" s="98">
        <v>1.33E-3</v>
      </c>
      <c r="F776" s="120">
        <v>0</v>
      </c>
      <c r="G776" s="121">
        <v>0</v>
      </c>
      <c r="H776" s="123">
        <v>1.33E-3</v>
      </c>
      <c r="I776" s="122">
        <v>0</v>
      </c>
      <c r="J776" s="124">
        <f t="shared" si="12"/>
        <v>1.33</v>
      </c>
    </row>
    <row r="777" spans="1:11" ht="15" customHeight="1" x14ac:dyDescent="0.2">
      <c r="A777" s="120" t="s">
        <v>4715</v>
      </c>
      <c r="B777" s="120" t="s">
        <v>4716</v>
      </c>
      <c r="C777" s="98" t="s">
        <v>3533</v>
      </c>
      <c r="D777" s="120" t="s">
        <v>3563</v>
      </c>
      <c r="E777" s="98">
        <v>2.988E-2</v>
      </c>
      <c r="F777" s="120">
        <v>0</v>
      </c>
      <c r="G777" s="121">
        <v>13640</v>
      </c>
      <c r="H777" s="123">
        <v>2.988E-2</v>
      </c>
      <c r="I777" s="122">
        <v>407.56319999999999</v>
      </c>
      <c r="J777" s="124">
        <f t="shared" si="12"/>
        <v>29.88</v>
      </c>
    </row>
    <row r="778" spans="1:11" ht="15" customHeight="1" x14ac:dyDescent="0.2">
      <c r="A778" s="120" t="s">
        <v>4717</v>
      </c>
      <c r="B778" s="120" t="s">
        <v>4716</v>
      </c>
      <c r="C778" s="98" t="s">
        <v>3533</v>
      </c>
      <c r="D778" s="120" t="s">
        <v>3563</v>
      </c>
      <c r="E778" s="98">
        <v>8.4169999999999995E-2</v>
      </c>
      <c r="F778" s="120">
        <v>0</v>
      </c>
      <c r="G778" s="121">
        <v>18355</v>
      </c>
      <c r="H778" s="123">
        <v>8.4169999999999995E-2</v>
      </c>
      <c r="I778" s="122">
        <v>1544.9403499999999</v>
      </c>
      <c r="J778" s="124">
        <f t="shared" si="12"/>
        <v>84.17</v>
      </c>
    </row>
    <row r="779" spans="1:11" ht="15" customHeight="1" x14ac:dyDescent="0.2">
      <c r="A779" s="120" t="s">
        <v>4718</v>
      </c>
      <c r="B779" s="120" t="s">
        <v>3532</v>
      </c>
      <c r="C779" s="98" t="s">
        <v>3532</v>
      </c>
      <c r="D779" s="120" t="s">
        <v>3563</v>
      </c>
      <c r="E779" s="98">
        <v>3.2599999999999999E-3</v>
      </c>
      <c r="F779" s="120">
        <v>0</v>
      </c>
      <c r="G779" s="121">
        <v>0</v>
      </c>
      <c r="H779" s="123">
        <v>3.2599999999999999E-3</v>
      </c>
      <c r="I779" s="122">
        <v>0</v>
      </c>
      <c r="J779" s="124">
        <f t="shared" si="12"/>
        <v>3.26</v>
      </c>
    </row>
    <row r="780" spans="1:11" ht="15" customHeight="1" x14ac:dyDescent="0.2">
      <c r="A780" s="120" t="s">
        <v>4719</v>
      </c>
      <c r="B780" s="120" t="s">
        <v>4720</v>
      </c>
      <c r="C780" s="98" t="s">
        <v>3533</v>
      </c>
      <c r="D780" s="120" t="s">
        <v>3563</v>
      </c>
      <c r="E780" s="98">
        <v>4.5199999999999997E-2</v>
      </c>
      <c r="F780" s="120">
        <v>0</v>
      </c>
      <c r="G780" s="121">
        <v>7738</v>
      </c>
      <c r="H780" s="123">
        <v>4.5199999999999997E-2</v>
      </c>
      <c r="I780" s="122">
        <v>349.75759999999997</v>
      </c>
      <c r="J780" s="124">
        <f t="shared" si="12"/>
        <v>45.199999999999996</v>
      </c>
      <c r="K780" s="98" t="s">
        <v>4721</v>
      </c>
    </row>
    <row r="781" spans="1:11" ht="15" customHeight="1" x14ac:dyDescent="0.2">
      <c r="A781" s="120" t="s">
        <v>4722</v>
      </c>
      <c r="B781" s="120" t="s">
        <v>4723</v>
      </c>
      <c r="C781" s="98" t="s">
        <v>3533</v>
      </c>
      <c r="D781" s="120" t="s">
        <v>3563</v>
      </c>
      <c r="E781" s="98">
        <v>1.4E-2</v>
      </c>
      <c r="F781" s="120">
        <v>0</v>
      </c>
      <c r="G781" s="121">
        <v>0</v>
      </c>
      <c r="H781" s="123">
        <v>1.4E-2</v>
      </c>
      <c r="I781" s="122">
        <v>0</v>
      </c>
      <c r="J781" s="124">
        <f t="shared" si="12"/>
        <v>14</v>
      </c>
    </row>
    <row r="782" spans="1:11" ht="15" customHeight="1" x14ac:dyDescent="0.2">
      <c r="A782" s="120" t="s">
        <v>4724</v>
      </c>
      <c r="B782" s="120" t="s">
        <v>4725</v>
      </c>
      <c r="C782" s="98" t="s">
        <v>3533</v>
      </c>
      <c r="D782" s="120" t="s">
        <v>3563</v>
      </c>
      <c r="E782" s="98">
        <v>1.6E-2</v>
      </c>
      <c r="F782" s="120">
        <v>0</v>
      </c>
      <c r="G782" s="121">
        <v>0</v>
      </c>
      <c r="H782" s="123">
        <v>1.6E-2</v>
      </c>
      <c r="I782" s="122">
        <v>0</v>
      </c>
      <c r="J782" s="124">
        <f t="shared" si="12"/>
        <v>16</v>
      </c>
    </row>
    <row r="783" spans="1:11" ht="15" customHeight="1" x14ac:dyDescent="0.2">
      <c r="A783" s="120" t="s">
        <v>4726</v>
      </c>
      <c r="B783" s="120" t="s">
        <v>3532</v>
      </c>
      <c r="C783" s="98" t="s">
        <v>3532</v>
      </c>
      <c r="D783" s="120" t="s">
        <v>3563</v>
      </c>
      <c r="E783" s="98">
        <v>1.2099999999999999E-3</v>
      </c>
      <c r="F783" s="120">
        <v>0</v>
      </c>
      <c r="G783" s="121">
        <v>0</v>
      </c>
      <c r="H783" s="123">
        <v>1.2099999999999999E-3</v>
      </c>
      <c r="I783" s="122">
        <v>0</v>
      </c>
      <c r="J783" s="124">
        <f t="shared" si="12"/>
        <v>1.21</v>
      </c>
    </row>
    <row r="784" spans="1:11" ht="15" customHeight="1" x14ac:dyDescent="0.2">
      <c r="A784" s="120" t="s">
        <v>4727</v>
      </c>
      <c r="B784" s="120" t="s">
        <v>3532</v>
      </c>
      <c r="C784" s="98" t="s">
        <v>3532</v>
      </c>
      <c r="D784" s="120" t="s">
        <v>3563</v>
      </c>
      <c r="E784" s="98">
        <v>2.3E-3</v>
      </c>
      <c r="F784" s="120">
        <v>0</v>
      </c>
      <c r="G784" s="121">
        <v>0</v>
      </c>
      <c r="H784" s="123">
        <v>2.3E-3</v>
      </c>
      <c r="I784" s="122">
        <v>0</v>
      </c>
      <c r="J784" s="124">
        <f t="shared" si="12"/>
        <v>2.2999999999999998</v>
      </c>
    </row>
    <row r="785" spans="1:11" ht="15" customHeight="1" x14ac:dyDescent="0.2">
      <c r="A785" s="120" t="s">
        <v>4728</v>
      </c>
      <c r="B785" s="120" t="s">
        <v>3532</v>
      </c>
      <c r="C785" s="98" t="s">
        <v>3532</v>
      </c>
      <c r="D785" s="120" t="s">
        <v>3563</v>
      </c>
      <c r="E785" s="98">
        <v>7.7200000000000003E-3</v>
      </c>
      <c r="F785" s="120">
        <v>0</v>
      </c>
      <c r="G785" s="121">
        <v>0</v>
      </c>
      <c r="H785" s="123">
        <v>7.7200000000000003E-3</v>
      </c>
      <c r="I785" s="122">
        <v>0</v>
      </c>
      <c r="J785" s="124">
        <f t="shared" si="12"/>
        <v>7.7200000000000006</v>
      </c>
    </row>
    <row r="786" spans="1:11" ht="15" customHeight="1" x14ac:dyDescent="0.2">
      <c r="A786" s="120" t="s">
        <v>4729</v>
      </c>
      <c r="B786" s="120" t="s">
        <v>3532</v>
      </c>
      <c r="C786" s="98" t="s">
        <v>3532</v>
      </c>
      <c r="D786" s="120" t="s">
        <v>3563</v>
      </c>
      <c r="E786" s="98">
        <v>4.6100000000000004E-3</v>
      </c>
      <c r="F786" s="120">
        <v>0</v>
      </c>
      <c r="G786" s="121">
        <v>0</v>
      </c>
      <c r="H786" s="123">
        <v>4.6100000000000004E-3</v>
      </c>
      <c r="I786" s="122">
        <v>0</v>
      </c>
      <c r="J786" s="124">
        <f t="shared" si="12"/>
        <v>4.6100000000000003</v>
      </c>
    </row>
    <row r="787" spans="1:11" ht="15" customHeight="1" x14ac:dyDescent="0.2">
      <c r="A787" s="120" t="s">
        <v>4730</v>
      </c>
      <c r="B787" s="120" t="s">
        <v>3532</v>
      </c>
      <c r="C787" s="98" t="s">
        <v>3532</v>
      </c>
      <c r="D787" s="120" t="s">
        <v>3563</v>
      </c>
      <c r="E787" s="98">
        <v>1.6580000000000001E-2</v>
      </c>
      <c r="F787" s="120">
        <v>0</v>
      </c>
      <c r="G787" s="121">
        <v>0</v>
      </c>
      <c r="H787" s="123">
        <v>1.6580000000000001E-2</v>
      </c>
      <c r="I787" s="122">
        <v>0</v>
      </c>
      <c r="J787" s="124">
        <f t="shared" si="12"/>
        <v>16.580000000000002</v>
      </c>
    </row>
    <row r="788" spans="1:11" ht="15" customHeight="1" x14ac:dyDescent="0.2">
      <c r="A788" s="120" t="s">
        <v>4731</v>
      </c>
      <c r="B788" s="120" t="s">
        <v>4685</v>
      </c>
      <c r="C788" s="98" t="s">
        <v>3533</v>
      </c>
      <c r="D788" s="120" t="s">
        <v>3563</v>
      </c>
      <c r="E788" s="98">
        <v>7.0557717250324198E-2</v>
      </c>
      <c r="F788" s="120">
        <v>0</v>
      </c>
      <c r="G788" s="121">
        <v>0</v>
      </c>
      <c r="H788" s="123">
        <v>7.0557999999999996E-2</v>
      </c>
      <c r="I788" s="122">
        <v>0</v>
      </c>
      <c r="J788" s="124">
        <f t="shared" si="12"/>
        <v>70.557717250324202</v>
      </c>
      <c r="K788" s="98" t="s">
        <v>4732</v>
      </c>
    </row>
    <row r="789" spans="1:11" ht="15" customHeight="1" x14ac:dyDescent="0.2">
      <c r="A789" s="120" t="s">
        <v>4733</v>
      </c>
      <c r="B789" s="120" t="s">
        <v>3532</v>
      </c>
      <c r="C789" s="98" t="s">
        <v>3532</v>
      </c>
      <c r="D789" s="120" t="s">
        <v>3563</v>
      </c>
      <c r="E789" s="98">
        <v>2.3429999999999999E-2</v>
      </c>
      <c r="F789" s="120">
        <v>0</v>
      </c>
      <c r="G789" s="121">
        <v>0</v>
      </c>
      <c r="H789" s="123">
        <v>2.3429999999999999E-2</v>
      </c>
      <c r="I789" s="122">
        <v>0</v>
      </c>
      <c r="J789" s="124">
        <f t="shared" si="12"/>
        <v>23.43</v>
      </c>
    </row>
    <row r="790" spans="1:11" ht="15" customHeight="1" x14ac:dyDescent="0.2">
      <c r="A790" s="120" t="s">
        <v>4734</v>
      </c>
      <c r="B790" s="120" t="s">
        <v>3532</v>
      </c>
      <c r="C790" s="98" t="s">
        <v>3532</v>
      </c>
      <c r="D790" s="120" t="s">
        <v>3563</v>
      </c>
      <c r="E790" s="98">
        <v>3.3950000000000001E-2</v>
      </c>
      <c r="F790" s="120">
        <v>0</v>
      </c>
      <c r="G790" s="121">
        <v>0</v>
      </c>
      <c r="H790" s="123">
        <v>3.3950000000000001E-2</v>
      </c>
      <c r="I790" s="122">
        <v>0</v>
      </c>
      <c r="J790" s="124">
        <f t="shared" si="12"/>
        <v>33.950000000000003</v>
      </c>
    </row>
    <row r="791" spans="1:11" ht="15" customHeight="1" x14ac:dyDescent="0.2">
      <c r="A791" s="120" t="s">
        <v>4735</v>
      </c>
      <c r="B791" s="120" t="s">
        <v>4723</v>
      </c>
      <c r="C791" s="98" t="s">
        <v>3532</v>
      </c>
      <c r="D791" s="120" t="s">
        <v>3563</v>
      </c>
      <c r="E791" s="98">
        <v>0.48499999999999999</v>
      </c>
      <c r="F791" s="120">
        <v>0</v>
      </c>
      <c r="G791" s="121">
        <v>0</v>
      </c>
      <c r="H791" s="123">
        <v>0.48499999999999999</v>
      </c>
      <c r="I791" s="122">
        <v>0</v>
      </c>
      <c r="J791" s="124">
        <f t="shared" si="12"/>
        <v>485</v>
      </c>
    </row>
    <row r="792" spans="1:11" ht="15" customHeight="1" x14ac:dyDescent="0.2">
      <c r="A792" s="120" t="s">
        <v>4736</v>
      </c>
      <c r="B792" s="120" t="s">
        <v>3532</v>
      </c>
      <c r="C792" s="98" t="s">
        <v>3540</v>
      </c>
      <c r="D792" s="120" t="s">
        <v>3563</v>
      </c>
      <c r="E792" s="98">
        <v>0</v>
      </c>
      <c r="F792" s="120">
        <v>0</v>
      </c>
      <c r="G792" s="121">
        <v>0</v>
      </c>
      <c r="H792" s="123">
        <v>0</v>
      </c>
      <c r="I792" s="122">
        <v>0</v>
      </c>
      <c r="J792" s="124">
        <f t="shared" si="12"/>
        <v>0</v>
      </c>
    </row>
    <row r="793" spans="1:11" ht="15" customHeight="1" x14ac:dyDescent="0.2">
      <c r="A793" s="120" t="s">
        <v>4737</v>
      </c>
      <c r="B793" s="120" t="s">
        <v>3532</v>
      </c>
      <c r="C793" s="98" t="s">
        <v>3532</v>
      </c>
      <c r="D793" s="120" t="s">
        <v>3563</v>
      </c>
      <c r="E793" s="98">
        <v>0</v>
      </c>
      <c r="F793" s="120">
        <v>0</v>
      </c>
      <c r="G793" s="121">
        <v>0</v>
      </c>
      <c r="H793" s="123">
        <v>0</v>
      </c>
      <c r="I793" s="122">
        <v>0</v>
      </c>
      <c r="J793" s="124">
        <f t="shared" si="12"/>
        <v>0</v>
      </c>
    </row>
    <row r="794" spans="1:11" ht="15" customHeight="1" x14ac:dyDescent="0.2">
      <c r="A794" s="120" t="s">
        <v>4738</v>
      </c>
      <c r="B794" s="120" t="s">
        <v>3532</v>
      </c>
      <c r="C794" s="98" t="s">
        <v>3532</v>
      </c>
      <c r="D794" s="120" t="s">
        <v>3563</v>
      </c>
      <c r="E794" s="98">
        <v>0</v>
      </c>
      <c r="F794" s="120">
        <v>0</v>
      </c>
      <c r="G794" s="121">
        <v>0</v>
      </c>
      <c r="H794" s="123">
        <v>0</v>
      </c>
      <c r="I794" s="122">
        <v>0</v>
      </c>
      <c r="J794" s="124">
        <f t="shared" si="12"/>
        <v>0</v>
      </c>
    </row>
    <row r="795" spans="1:11" ht="15" customHeight="1" x14ac:dyDescent="0.2">
      <c r="A795" s="120" t="s">
        <v>4739</v>
      </c>
      <c r="B795" s="120" t="s">
        <v>3532</v>
      </c>
      <c r="C795" s="98" t="s">
        <v>3532</v>
      </c>
      <c r="D795" s="120" t="s">
        <v>3563</v>
      </c>
      <c r="E795" s="98">
        <v>0</v>
      </c>
      <c r="F795" s="120">
        <v>0</v>
      </c>
      <c r="G795" s="121">
        <v>0</v>
      </c>
      <c r="H795" s="123">
        <v>0</v>
      </c>
      <c r="I795" s="122">
        <v>0</v>
      </c>
      <c r="J795" s="124">
        <f t="shared" si="12"/>
        <v>0</v>
      </c>
    </row>
    <row r="796" spans="1:11" ht="15" customHeight="1" x14ac:dyDescent="0.2">
      <c r="A796" s="120" t="s">
        <v>4740</v>
      </c>
      <c r="B796" s="120" t="s">
        <v>3532</v>
      </c>
      <c r="C796" s="98" t="s">
        <v>3532</v>
      </c>
      <c r="D796" s="120" t="s">
        <v>3563</v>
      </c>
      <c r="E796" s="98">
        <v>8.2500000000000004E-3</v>
      </c>
      <c r="F796" s="120">
        <v>0</v>
      </c>
      <c r="G796" s="121">
        <v>0</v>
      </c>
      <c r="H796" s="123">
        <v>8.2500000000000004E-3</v>
      </c>
      <c r="I796" s="122">
        <v>0</v>
      </c>
      <c r="J796" s="124">
        <f t="shared" si="12"/>
        <v>8.25</v>
      </c>
    </row>
    <row r="797" spans="1:11" ht="15" customHeight="1" x14ac:dyDescent="0.2">
      <c r="A797" s="120" t="s">
        <v>4741</v>
      </c>
      <c r="B797" s="120" t="s">
        <v>3532</v>
      </c>
      <c r="C797" s="98" t="s">
        <v>3532</v>
      </c>
      <c r="D797" s="120" t="s">
        <v>3563</v>
      </c>
      <c r="E797" s="98">
        <v>6.6E-3</v>
      </c>
      <c r="F797" s="120">
        <v>0</v>
      </c>
      <c r="G797" s="121">
        <v>0</v>
      </c>
      <c r="H797" s="123">
        <v>6.6E-3</v>
      </c>
      <c r="I797" s="122">
        <v>0</v>
      </c>
      <c r="J797" s="124">
        <f t="shared" si="12"/>
        <v>6.6</v>
      </c>
    </row>
    <row r="798" spans="1:11" ht="15" customHeight="1" x14ac:dyDescent="0.2">
      <c r="A798" s="120" t="s">
        <v>4742</v>
      </c>
      <c r="B798" s="120" t="s">
        <v>4720</v>
      </c>
      <c r="C798" s="98" t="s">
        <v>3533</v>
      </c>
      <c r="D798" s="120" t="s">
        <v>3563</v>
      </c>
      <c r="E798" s="98">
        <v>0</v>
      </c>
      <c r="F798" s="120">
        <v>0</v>
      </c>
      <c r="G798" s="121">
        <v>0</v>
      </c>
      <c r="H798" s="123">
        <v>0</v>
      </c>
      <c r="I798" s="122">
        <v>0</v>
      </c>
      <c r="J798" s="124">
        <f t="shared" si="12"/>
        <v>0</v>
      </c>
      <c r="K798" s="98" t="s">
        <v>4743</v>
      </c>
    </row>
    <row r="799" spans="1:11" ht="15" customHeight="1" x14ac:dyDescent="0.2">
      <c r="A799" s="120" t="s">
        <v>4744</v>
      </c>
      <c r="B799" s="120" t="s">
        <v>4720</v>
      </c>
      <c r="C799" s="98" t="s">
        <v>3533</v>
      </c>
      <c r="D799" s="120" t="s">
        <v>3563</v>
      </c>
      <c r="E799" s="98">
        <v>5.8959999999999999E-2</v>
      </c>
      <c r="F799" s="120">
        <v>0</v>
      </c>
      <c r="G799" s="121">
        <v>0</v>
      </c>
      <c r="H799" s="123">
        <v>5.8959999999999999E-2</v>
      </c>
      <c r="I799" s="122">
        <v>0</v>
      </c>
      <c r="J799" s="124">
        <f t="shared" si="12"/>
        <v>58.96</v>
      </c>
      <c r="K799" s="98" t="s">
        <v>4745</v>
      </c>
    </row>
    <row r="800" spans="1:11" ht="15" customHeight="1" x14ac:dyDescent="0.2">
      <c r="A800" s="120" t="s">
        <v>4746</v>
      </c>
      <c r="B800" s="120" t="s">
        <v>4747</v>
      </c>
      <c r="C800" s="98" t="s">
        <v>3533</v>
      </c>
      <c r="D800" s="120" t="s">
        <v>3563</v>
      </c>
      <c r="E800" s="98">
        <v>2.4170000000000001E-2</v>
      </c>
      <c r="F800" s="120">
        <v>0</v>
      </c>
      <c r="G800" s="121">
        <v>0</v>
      </c>
      <c r="H800" s="123">
        <v>2.4170000000000001E-2</v>
      </c>
      <c r="I800" s="122">
        <v>0</v>
      </c>
      <c r="J800" s="124">
        <f t="shared" si="12"/>
        <v>24.17</v>
      </c>
    </row>
    <row r="801" spans="1:11" ht="15" customHeight="1" x14ac:dyDescent="0.2">
      <c r="A801" s="120" t="s">
        <v>4748</v>
      </c>
      <c r="B801" s="120" t="s">
        <v>3532</v>
      </c>
      <c r="C801" s="98" t="s">
        <v>3532</v>
      </c>
      <c r="D801" s="120" t="s">
        <v>3563</v>
      </c>
      <c r="E801" s="98">
        <v>3.1329999999999997E-2</v>
      </c>
      <c r="F801" s="120">
        <v>0</v>
      </c>
      <c r="G801" s="121">
        <v>0</v>
      </c>
      <c r="H801" s="123">
        <v>3.1329999999999997E-2</v>
      </c>
      <c r="I801" s="122">
        <v>0</v>
      </c>
      <c r="J801" s="124">
        <f t="shared" si="12"/>
        <v>31.33</v>
      </c>
    </row>
    <row r="802" spans="1:11" ht="15" customHeight="1" x14ac:dyDescent="0.2">
      <c r="A802" s="120" t="s">
        <v>4749</v>
      </c>
      <c r="B802" s="120" t="s">
        <v>3532</v>
      </c>
      <c r="C802" s="98" t="s">
        <v>3532</v>
      </c>
      <c r="D802" s="120" t="s">
        <v>3563</v>
      </c>
      <c r="E802" s="98">
        <v>2.9680000000000002E-2</v>
      </c>
      <c r="F802" s="120">
        <v>0</v>
      </c>
      <c r="G802" s="121">
        <v>0</v>
      </c>
      <c r="H802" s="123">
        <v>2.9680000000000002E-2</v>
      </c>
      <c r="I802" s="122">
        <v>0</v>
      </c>
      <c r="J802" s="124">
        <f t="shared" si="12"/>
        <v>29.680000000000003</v>
      </c>
    </row>
    <row r="803" spans="1:11" ht="15" customHeight="1" x14ac:dyDescent="0.2">
      <c r="A803" s="120" t="s">
        <v>4750</v>
      </c>
      <c r="B803" s="120" t="s">
        <v>3532</v>
      </c>
      <c r="C803" s="98" t="s">
        <v>3532</v>
      </c>
      <c r="D803" s="120" t="s">
        <v>3563</v>
      </c>
      <c r="E803" s="98">
        <v>6.2280000000000002E-2</v>
      </c>
      <c r="F803" s="120">
        <v>0</v>
      </c>
      <c r="G803" s="121">
        <v>0</v>
      </c>
      <c r="H803" s="123">
        <v>6.2280000000000002E-2</v>
      </c>
      <c r="I803" s="122">
        <v>0</v>
      </c>
      <c r="J803" s="124">
        <f t="shared" si="12"/>
        <v>62.28</v>
      </c>
    </row>
    <row r="804" spans="1:11" ht="15" customHeight="1" x14ac:dyDescent="0.2">
      <c r="A804" s="120" t="s">
        <v>4751</v>
      </c>
      <c r="B804" s="120" t="s">
        <v>3532</v>
      </c>
      <c r="C804" s="98" t="s">
        <v>3532</v>
      </c>
      <c r="D804" s="120" t="s">
        <v>3563</v>
      </c>
      <c r="E804" s="98">
        <v>2.8400000000000001E-3</v>
      </c>
      <c r="F804" s="120">
        <v>0</v>
      </c>
      <c r="G804" s="121">
        <v>0</v>
      </c>
      <c r="H804" s="123">
        <v>2.8400000000000001E-3</v>
      </c>
      <c r="I804" s="122">
        <v>0</v>
      </c>
      <c r="J804" s="124">
        <f t="shared" si="12"/>
        <v>2.84</v>
      </c>
    </row>
    <row r="805" spans="1:11" ht="15" customHeight="1" x14ac:dyDescent="0.2">
      <c r="A805" s="120" t="s">
        <v>4752</v>
      </c>
      <c r="B805" s="120" t="s">
        <v>3532</v>
      </c>
      <c r="C805" s="98" t="s">
        <v>3532</v>
      </c>
      <c r="D805" s="120" t="s">
        <v>3563</v>
      </c>
      <c r="E805" s="98">
        <v>3.1040000000000002E-2</v>
      </c>
      <c r="F805" s="120">
        <v>0</v>
      </c>
      <c r="G805" s="121">
        <v>0</v>
      </c>
      <c r="H805" s="123">
        <v>3.1040000000000002E-2</v>
      </c>
      <c r="I805" s="122">
        <v>0</v>
      </c>
      <c r="J805" s="124">
        <f t="shared" si="12"/>
        <v>31.040000000000003</v>
      </c>
    </row>
    <row r="806" spans="1:11" ht="15" customHeight="1" x14ac:dyDescent="0.2">
      <c r="A806" s="120" t="s">
        <v>4753</v>
      </c>
      <c r="B806" s="120" t="s">
        <v>3532</v>
      </c>
      <c r="C806" s="98" t="s">
        <v>3532</v>
      </c>
      <c r="D806" s="120" t="s">
        <v>3563</v>
      </c>
      <c r="E806" s="98">
        <v>7.9089999999999994E-2</v>
      </c>
      <c r="F806" s="120">
        <v>0</v>
      </c>
      <c r="G806" s="121">
        <v>0</v>
      </c>
      <c r="H806" s="123">
        <v>7.9089999999999994E-2</v>
      </c>
      <c r="I806" s="122">
        <v>0</v>
      </c>
      <c r="J806" s="124">
        <f t="shared" si="12"/>
        <v>79.089999999999989</v>
      </c>
    </row>
    <row r="807" spans="1:11" ht="15" customHeight="1" x14ac:dyDescent="0.2">
      <c r="A807" s="120" t="s">
        <v>4754</v>
      </c>
      <c r="B807" s="120" t="s">
        <v>3532</v>
      </c>
      <c r="C807" s="98" t="s">
        <v>3532</v>
      </c>
      <c r="D807" s="120" t="s">
        <v>3563</v>
      </c>
      <c r="E807" s="98">
        <v>7.3699999999999998E-3</v>
      </c>
      <c r="F807" s="120">
        <v>0</v>
      </c>
      <c r="G807" s="121">
        <v>0</v>
      </c>
      <c r="H807" s="123">
        <v>7.3699999999999998E-3</v>
      </c>
      <c r="I807" s="122">
        <v>0</v>
      </c>
      <c r="J807" s="124">
        <f t="shared" si="12"/>
        <v>7.37</v>
      </c>
    </row>
    <row r="808" spans="1:11" ht="15" customHeight="1" x14ac:dyDescent="0.2">
      <c r="A808" s="120" t="s">
        <v>4755</v>
      </c>
      <c r="B808" s="120" t="s">
        <v>3532</v>
      </c>
      <c r="C808" s="98" t="s">
        <v>3532</v>
      </c>
      <c r="D808" s="120" t="s">
        <v>3563</v>
      </c>
      <c r="E808" s="98">
        <v>5.7020000000000001E-2</v>
      </c>
      <c r="F808" s="120">
        <v>0</v>
      </c>
      <c r="G808" s="121">
        <v>0</v>
      </c>
      <c r="H808" s="123">
        <v>5.7020000000000001E-2</v>
      </c>
      <c r="I808" s="122">
        <v>0</v>
      </c>
      <c r="J808" s="124">
        <f t="shared" si="12"/>
        <v>57.02</v>
      </c>
    </row>
    <row r="809" spans="1:11" ht="15" customHeight="1" x14ac:dyDescent="0.2">
      <c r="A809" s="120" t="s">
        <v>4756</v>
      </c>
      <c r="B809" s="120" t="s">
        <v>3532</v>
      </c>
      <c r="C809" s="98" t="s">
        <v>3532</v>
      </c>
      <c r="D809" s="120" t="s">
        <v>3563</v>
      </c>
      <c r="E809" s="98">
        <v>3.6720000000000003E-2</v>
      </c>
      <c r="F809" s="120">
        <v>0</v>
      </c>
      <c r="G809" s="121">
        <v>0</v>
      </c>
      <c r="H809" s="123">
        <v>3.6720000000000003E-2</v>
      </c>
      <c r="I809" s="122">
        <v>0</v>
      </c>
      <c r="J809" s="124">
        <f t="shared" si="12"/>
        <v>36.720000000000006</v>
      </c>
    </row>
    <row r="810" spans="1:11" ht="15" customHeight="1" x14ac:dyDescent="0.2">
      <c r="A810" s="120" t="s">
        <v>4757</v>
      </c>
      <c r="B810" s="120" t="s">
        <v>3532</v>
      </c>
      <c r="C810" s="98" t="s">
        <v>3532</v>
      </c>
      <c r="D810" s="120" t="s">
        <v>3563</v>
      </c>
      <c r="E810" s="98">
        <v>4.3099999999999999E-2</v>
      </c>
      <c r="F810" s="120">
        <v>0</v>
      </c>
      <c r="G810" s="121">
        <v>0</v>
      </c>
      <c r="H810" s="123">
        <v>4.3099999999999999E-2</v>
      </c>
      <c r="I810" s="122">
        <v>0</v>
      </c>
      <c r="J810" s="124">
        <f t="shared" si="12"/>
        <v>43.1</v>
      </c>
    </row>
    <row r="811" spans="1:11" ht="15" customHeight="1" x14ac:dyDescent="0.2">
      <c r="A811" s="120" t="s">
        <v>4758</v>
      </c>
      <c r="B811" s="120" t="s">
        <v>3532</v>
      </c>
      <c r="C811" s="98" t="s">
        <v>3532</v>
      </c>
      <c r="D811" s="120" t="s">
        <v>3563</v>
      </c>
      <c r="E811" s="98">
        <v>4.2790000000000002E-2</v>
      </c>
      <c r="F811" s="120">
        <v>0</v>
      </c>
      <c r="G811" s="121">
        <v>0</v>
      </c>
      <c r="H811" s="123">
        <v>4.2790000000000002E-2</v>
      </c>
      <c r="I811" s="122">
        <v>0</v>
      </c>
      <c r="J811" s="124">
        <f t="shared" si="12"/>
        <v>42.79</v>
      </c>
    </row>
    <row r="812" spans="1:11" ht="15" customHeight="1" x14ac:dyDescent="0.2">
      <c r="A812" s="120" t="s">
        <v>4759</v>
      </c>
      <c r="B812" s="120" t="s">
        <v>4760</v>
      </c>
      <c r="C812" s="98" t="s">
        <v>3532</v>
      </c>
      <c r="D812" s="120" t="s">
        <v>3563</v>
      </c>
      <c r="E812" s="98">
        <v>8.8570000000000003E-3</v>
      </c>
      <c r="F812" s="120">
        <v>0</v>
      </c>
      <c r="G812" s="121">
        <v>0</v>
      </c>
      <c r="H812" s="123">
        <v>8.8570000000000003E-3</v>
      </c>
      <c r="I812" s="122">
        <v>0</v>
      </c>
      <c r="J812" s="124">
        <f t="shared" si="12"/>
        <v>8.8570000000000011</v>
      </c>
    </row>
    <row r="813" spans="1:11" ht="15" customHeight="1" x14ac:dyDescent="0.2">
      <c r="A813" s="120" t="s">
        <v>4761</v>
      </c>
      <c r="B813" s="120" t="s">
        <v>3532</v>
      </c>
      <c r="C813" s="98" t="s">
        <v>3532</v>
      </c>
      <c r="D813" s="120" t="s">
        <v>3563</v>
      </c>
      <c r="E813" s="98">
        <v>4.2500000000000003E-3</v>
      </c>
      <c r="F813" s="120">
        <v>0</v>
      </c>
      <c r="G813" s="121">
        <v>0</v>
      </c>
      <c r="H813" s="123">
        <v>4.2500000000000003E-3</v>
      </c>
      <c r="I813" s="122">
        <v>0</v>
      </c>
      <c r="J813" s="124">
        <f t="shared" si="12"/>
        <v>4.25</v>
      </c>
    </row>
    <row r="814" spans="1:11" ht="15" customHeight="1" x14ac:dyDescent="0.2">
      <c r="A814" s="120" t="s">
        <v>4762</v>
      </c>
      <c r="B814" s="120" t="s">
        <v>3532</v>
      </c>
      <c r="C814" s="98" t="s">
        <v>3532</v>
      </c>
      <c r="D814" s="120" t="s">
        <v>3563</v>
      </c>
      <c r="E814" s="98">
        <v>3.39</v>
      </c>
      <c r="F814" s="120">
        <v>0</v>
      </c>
      <c r="G814" s="121">
        <v>0</v>
      </c>
      <c r="H814" s="123">
        <v>3.39</v>
      </c>
      <c r="I814" s="122">
        <v>0</v>
      </c>
      <c r="J814" s="124">
        <f t="shared" si="12"/>
        <v>3390</v>
      </c>
    </row>
    <row r="815" spans="1:11" ht="15" customHeight="1" x14ac:dyDescent="0.2">
      <c r="A815" s="120" t="s">
        <v>4763</v>
      </c>
      <c r="B815" s="120" t="s">
        <v>4764</v>
      </c>
      <c r="C815" s="98" t="s">
        <v>3533</v>
      </c>
      <c r="D815" s="120" t="s">
        <v>3563</v>
      </c>
      <c r="E815" s="98">
        <v>2.7399999999999998E-3</v>
      </c>
      <c r="F815" s="120">
        <v>0</v>
      </c>
      <c r="G815" s="121">
        <v>65396</v>
      </c>
      <c r="H815" s="123">
        <v>2.7399999999999998E-3</v>
      </c>
      <c r="I815" s="122">
        <v>179.18503999999999</v>
      </c>
      <c r="J815" s="124">
        <f t="shared" si="12"/>
        <v>2.7399999999999998</v>
      </c>
      <c r="K815" s="98" t="s">
        <v>4765</v>
      </c>
    </row>
    <row r="816" spans="1:11" ht="15" customHeight="1" x14ac:dyDescent="0.2">
      <c r="A816" s="120" t="s">
        <v>4766</v>
      </c>
      <c r="B816" s="120" t="s">
        <v>3532</v>
      </c>
      <c r="C816" s="98" t="s">
        <v>3532</v>
      </c>
      <c r="D816" s="120" t="s">
        <v>3563</v>
      </c>
      <c r="E816" s="98">
        <v>1.155E-2</v>
      </c>
      <c r="F816" s="120">
        <v>0</v>
      </c>
      <c r="G816" s="121">
        <v>0</v>
      </c>
      <c r="H816" s="123">
        <v>1.155E-2</v>
      </c>
      <c r="I816" s="122">
        <v>0</v>
      </c>
      <c r="J816" s="124">
        <f t="shared" si="12"/>
        <v>11.549999999999999</v>
      </c>
    </row>
    <row r="817" spans="1:11" ht="15" customHeight="1" x14ac:dyDescent="0.2">
      <c r="A817" s="120" t="s">
        <v>4767</v>
      </c>
      <c r="B817" s="120" t="s">
        <v>4768</v>
      </c>
      <c r="C817" s="98" t="s">
        <v>3533</v>
      </c>
      <c r="D817" s="120" t="s">
        <v>3563</v>
      </c>
      <c r="E817" s="98">
        <v>4.5180000000000003E-3</v>
      </c>
      <c r="F817" s="120">
        <v>0</v>
      </c>
      <c r="G817" s="121">
        <v>0</v>
      </c>
      <c r="H817" s="123">
        <v>4.5180000000000003E-3</v>
      </c>
      <c r="I817" s="122">
        <v>0</v>
      </c>
      <c r="J817" s="124">
        <f t="shared" si="12"/>
        <v>4.5180000000000007</v>
      </c>
    </row>
    <row r="818" spans="1:11" ht="15" customHeight="1" x14ac:dyDescent="0.2">
      <c r="A818" s="120" t="s">
        <v>4769</v>
      </c>
      <c r="B818" s="120" t="s">
        <v>4770</v>
      </c>
      <c r="C818" s="98" t="s">
        <v>3532</v>
      </c>
      <c r="D818" s="120" t="s">
        <v>3563</v>
      </c>
      <c r="E818" s="98">
        <v>1.179E-2</v>
      </c>
      <c r="F818" s="120">
        <v>0</v>
      </c>
      <c r="G818" s="121">
        <v>0</v>
      </c>
      <c r="H818" s="123">
        <v>1.179E-2</v>
      </c>
      <c r="I818" s="122">
        <v>0</v>
      </c>
      <c r="J818" s="124">
        <f t="shared" si="12"/>
        <v>11.790000000000001</v>
      </c>
    </row>
    <row r="819" spans="1:11" ht="15" customHeight="1" x14ac:dyDescent="0.2">
      <c r="A819" s="120" t="s">
        <v>4771</v>
      </c>
      <c r="B819" s="120" t="s">
        <v>3532</v>
      </c>
      <c r="C819" s="98" t="s">
        <v>3533</v>
      </c>
      <c r="D819" s="120" t="s">
        <v>3563</v>
      </c>
      <c r="E819" s="98">
        <v>1.038E-2</v>
      </c>
      <c r="F819" s="120">
        <v>0</v>
      </c>
      <c r="G819" s="121">
        <v>0</v>
      </c>
      <c r="H819" s="123">
        <v>1.038E-2</v>
      </c>
      <c r="I819" s="122">
        <v>0</v>
      </c>
      <c r="J819" s="124">
        <f t="shared" si="12"/>
        <v>10.38</v>
      </c>
    </row>
    <row r="820" spans="1:11" ht="15" customHeight="1" x14ac:dyDescent="0.2">
      <c r="A820" s="120" t="s">
        <v>4772</v>
      </c>
      <c r="B820" s="120" t="s">
        <v>4773</v>
      </c>
      <c r="C820" s="98" t="s">
        <v>3533</v>
      </c>
      <c r="D820" s="120" t="s">
        <v>3563</v>
      </c>
      <c r="E820" s="98">
        <v>1.28920590773952E-2</v>
      </c>
      <c r="F820" s="120">
        <v>0</v>
      </c>
      <c r="G820" s="121">
        <v>405560</v>
      </c>
      <c r="H820" s="123">
        <v>1.2892000000000001E-2</v>
      </c>
      <c r="I820" s="122">
        <v>5228.4795199999999</v>
      </c>
      <c r="J820" s="124">
        <f t="shared" si="12"/>
        <v>12.892059077395201</v>
      </c>
      <c r="K820" s="98" t="s">
        <v>4774</v>
      </c>
    </row>
    <row r="821" spans="1:11" ht="15" customHeight="1" x14ac:dyDescent="0.2">
      <c r="A821" s="120" t="s">
        <v>4775</v>
      </c>
      <c r="B821" s="120" t="s">
        <v>3532</v>
      </c>
      <c r="C821" s="98" t="s">
        <v>3532</v>
      </c>
      <c r="D821" s="120" t="s">
        <v>3563</v>
      </c>
      <c r="E821" s="98">
        <v>2.2259999999999999E-2</v>
      </c>
      <c r="F821" s="120">
        <v>0</v>
      </c>
      <c r="G821" s="121">
        <v>0</v>
      </c>
      <c r="H821" s="123">
        <v>2.2259999999999999E-2</v>
      </c>
      <c r="I821" s="122">
        <v>0</v>
      </c>
      <c r="J821" s="124">
        <f t="shared" si="12"/>
        <v>22.259999999999998</v>
      </c>
    </row>
    <row r="822" spans="1:11" ht="15" customHeight="1" x14ac:dyDescent="0.2">
      <c r="A822" s="120" t="s">
        <v>4776</v>
      </c>
      <c r="B822" s="120" t="s">
        <v>3532</v>
      </c>
      <c r="C822" s="98" t="s">
        <v>3532</v>
      </c>
      <c r="D822" s="120" t="s">
        <v>3563</v>
      </c>
      <c r="E822" s="98">
        <v>8.0670000000000006E-2</v>
      </c>
      <c r="F822" s="120">
        <v>0</v>
      </c>
      <c r="G822" s="121">
        <v>0</v>
      </c>
      <c r="H822" s="123">
        <v>8.0670000000000006E-2</v>
      </c>
      <c r="I822" s="122">
        <v>0</v>
      </c>
      <c r="J822" s="124">
        <f t="shared" si="12"/>
        <v>80.67</v>
      </c>
    </row>
    <row r="823" spans="1:11" ht="15" customHeight="1" x14ac:dyDescent="0.2">
      <c r="A823" s="120" t="s">
        <v>4777</v>
      </c>
      <c r="B823" s="120" t="s">
        <v>3532</v>
      </c>
      <c r="C823" s="98" t="s">
        <v>3532</v>
      </c>
      <c r="D823" s="120" t="s">
        <v>3563</v>
      </c>
      <c r="E823" s="98">
        <v>9.2999999999999999E-2</v>
      </c>
      <c r="F823" s="120">
        <v>0</v>
      </c>
      <c r="G823" s="121">
        <v>0</v>
      </c>
      <c r="H823" s="123">
        <v>9.2999999999999999E-2</v>
      </c>
      <c r="I823" s="122">
        <v>0</v>
      </c>
      <c r="J823" s="124">
        <f t="shared" si="12"/>
        <v>93</v>
      </c>
    </row>
    <row r="824" spans="1:11" ht="15" customHeight="1" x14ac:dyDescent="0.2">
      <c r="A824" s="120" t="s">
        <v>4778</v>
      </c>
      <c r="B824" s="120" t="s">
        <v>3532</v>
      </c>
      <c r="C824" s="98" t="s">
        <v>3532</v>
      </c>
      <c r="D824" s="120" t="s">
        <v>3563</v>
      </c>
      <c r="E824" s="98">
        <v>1.6E-2</v>
      </c>
      <c r="F824" s="120">
        <v>0</v>
      </c>
      <c r="G824" s="121">
        <v>0</v>
      </c>
      <c r="H824" s="123">
        <v>1.6E-2</v>
      </c>
      <c r="I824" s="122">
        <v>0</v>
      </c>
      <c r="J824" s="124">
        <f t="shared" si="12"/>
        <v>16</v>
      </c>
    </row>
    <row r="825" spans="1:11" ht="15" customHeight="1" x14ac:dyDescent="0.2">
      <c r="A825" s="120" t="s">
        <v>4779</v>
      </c>
      <c r="B825" s="120" t="s">
        <v>4780</v>
      </c>
      <c r="C825" s="98" t="s">
        <v>3533</v>
      </c>
      <c r="D825" s="120" t="s">
        <v>3563</v>
      </c>
      <c r="E825" s="98">
        <v>2.3099999999999999E-2</v>
      </c>
      <c r="F825" s="120">
        <v>0</v>
      </c>
      <c r="G825" s="121">
        <v>115000</v>
      </c>
      <c r="H825" s="123">
        <v>2.3099999999999999E-2</v>
      </c>
      <c r="I825" s="122">
        <v>2656.5</v>
      </c>
      <c r="J825" s="124">
        <f t="shared" si="12"/>
        <v>23.099999999999998</v>
      </c>
      <c r="K825" s="98" t="s">
        <v>4781</v>
      </c>
    </row>
    <row r="826" spans="1:11" ht="15" customHeight="1" x14ac:dyDescent="0.2">
      <c r="A826" s="120" t="s">
        <v>4782</v>
      </c>
      <c r="B826" s="120" t="s">
        <v>4783</v>
      </c>
      <c r="C826" s="98" t="s">
        <v>3532</v>
      </c>
      <c r="D826" s="120" t="s">
        <v>3563</v>
      </c>
      <c r="E826" s="98">
        <v>7.6249999999999998E-2</v>
      </c>
      <c r="F826" s="120">
        <v>0</v>
      </c>
      <c r="G826" s="121">
        <v>0</v>
      </c>
      <c r="H826" s="123">
        <v>7.6249999999999998E-2</v>
      </c>
      <c r="I826" s="122">
        <v>0</v>
      </c>
      <c r="J826" s="124">
        <f t="shared" si="12"/>
        <v>76.25</v>
      </c>
    </row>
    <row r="827" spans="1:11" ht="15" customHeight="1" x14ac:dyDescent="0.2">
      <c r="A827" s="120" t="s">
        <v>4784</v>
      </c>
      <c r="B827" s="120" t="s">
        <v>3532</v>
      </c>
      <c r="C827" s="98" t="s">
        <v>3532</v>
      </c>
      <c r="D827" s="120" t="s">
        <v>3563</v>
      </c>
      <c r="E827" s="98">
        <v>4.0840000000000001E-2</v>
      </c>
      <c r="F827" s="120">
        <v>0</v>
      </c>
      <c r="G827" s="121">
        <v>0</v>
      </c>
      <c r="H827" s="123">
        <v>4.0840000000000001E-2</v>
      </c>
      <c r="I827" s="122">
        <v>0</v>
      </c>
      <c r="J827" s="124">
        <f t="shared" si="12"/>
        <v>40.840000000000003</v>
      </c>
    </row>
    <row r="828" spans="1:11" ht="15" customHeight="1" x14ac:dyDescent="0.2">
      <c r="A828" s="120" t="s">
        <v>4785</v>
      </c>
      <c r="B828" s="120" t="s">
        <v>3532</v>
      </c>
      <c r="C828" s="98" t="s">
        <v>3533</v>
      </c>
      <c r="D828" s="120" t="s">
        <v>3563</v>
      </c>
      <c r="E828" s="98">
        <v>0.11020000000000001</v>
      </c>
      <c r="F828" s="120">
        <v>0</v>
      </c>
      <c r="G828" s="121">
        <v>0</v>
      </c>
      <c r="H828" s="123">
        <v>0.11020000000000001</v>
      </c>
      <c r="I828" s="122">
        <v>0</v>
      </c>
      <c r="J828" s="124">
        <f t="shared" si="12"/>
        <v>110.2</v>
      </c>
    </row>
    <row r="829" spans="1:11" ht="15" customHeight="1" x14ac:dyDescent="0.2">
      <c r="A829" s="120" t="s">
        <v>4786</v>
      </c>
      <c r="B829" s="120" t="s">
        <v>4787</v>
      </c>
      <c r="C829" s="98" t="s">
        <v>3532</v>
      </c>
      <c r="D829" s="120" t="s">
        <v>3563</v>
      </c>
      <c r="E829" s="98">
        <v>1.5428000000000001E-2</v>
      </c>
      <c r="F829" s="120">
        <v>0</v>
      </c>
      <c r="G829" s="121">
        <v>0</v>
      </c>
      <c r="H829" s="123">
        <v>1.5428000000000001E-2</v>
      </c>
      <c r="I829" s="122">
        <v>0</v>
      </c>
      <c r="J829" s="124">
        <f t="shared" si="12"/>
        <v>15.428000000000001</v>
      </c>
    </row>
    <row r="830" spans="1:11" ht="15" customHeight="1" x14ac:dyDescent="0.2">
      <c r="A830" s="120" t="s">
        <v>4788</v>
      </c>
      <c r="B830" s="120" t="s">
        <v>4787</v>
      </c>
      <c r="C830" s="98" t="s">
        <v>3533</v>
      </c>
      <c r="D830" s="120" t="s">
        <v>3563</v>
      </c>
      <c r="E830" s="98">
        <v>2.0937999999999998E-2</v>
      </c>
      <c r="F830" s="120">
        <v>0</v>
      </c>
      <c r="G830" s="121">
        <v>0</v>
      </c>
      <c r="H830" s="123">
        <v>2.0937999999999998E-2</v>
      </c>
      <c r="I830" s="122">
        <v>0</v>
      </c>
      <c r="J830" s="124">
        <f t="shared" si="12"/>
        <v>20.937999999999999</v>
      </c>
    </row>
    <row r="831" spans="1:11" ht="15" customHeight="1" x14ac:dyDescent="0.2">
      <c r="A831" s="120" t="s">
        <v>4789</v>
      </c>
      <c r="B831" s="120" t="s">
        <v>4787</v>
      </c>
      <c r="C831" s="98" t="s">
        <v>3533</v>
      </c>
      <c r="D831" s="120" t="s">
        <v>3563</v>
      </c>
      <c r="E831" s="98">
        <v>2.1489000000000001E-2</v>
      </c>
      <c r="F831" s="120">
        <v>0</v>
      </c>
      <c r="G831" s="121">
        <v>0</v>
      </c>
      <c r="H831" s="123">
        <v>2.1489000000000001E-2</v>
      </c>
      <c r="I831" s="122">
        <v>0</v>
      </c>
      <c r="J831" s="124">
        <f t="shared" si="12"/>
        <v>21.489000000000001</v>
      </c>
    </row>
    <row r="832" spans="1:11" ht="15" customHeight="1" x14ac:dyDescent="0.2">
      <c r="A832" s="120" t="s">
        <v>4790</v>
      </c>
      <c r="B832" s="120" t="s">
        <v>4787</v>
      </c>
      <c r="C832" s="98" t="s">
        <v>3532</v>
      </c>
      <c r="D832" s="120" t="s">
        <v>3563</v>
      </c>
      <c r="E832" s="98">
        <v>1.8183000000000001E-2</v>
      </c>
      <c r="F832" s="120">
        <v>0</v>
      </c>
      <c r="G832" s="121">
        <v>0</v>
      </c>
      <c r="H832" s="123">
        <v>1.8183000000000001E-2</v>
      </c>
      <c r="I832" s="122">
        <v>0</v>
      </c>
      <c r="J832" s="124">
        <f t="shared" si="12"/>
        <v>18.183</v>
      </c>
    </row>
    <row r="833" spans="1:11" ht="15" customHeight="1" x14ac:dyDescent="0.2">
      <c r="A833" s="120" t="s">
        <v>4791</v>
      </c>
      <c r="B833" s="120" t="s">
        <v>4792</v>
      </c>
      <c r="C833" s="98" t="s">
        <v>3533</v>
      </c>
      <c r="D833" s="120" t="s">
        <v>3563</v>
      </c>
      <c r="E833" s="98">
        <v>1.688E-3</v>
      </c>
      <c r="F833" s="120">
        <v>0</v>
      </c>
      <c r="G833" s="121">
        <v>0</v>
      </c>
      <c r="H833" s="123">
        <v>1.688E-3</v>
      </c>
      <c r="I833" s="122">
        <v>0</v>
      </c>
      <c r="J833" s="124">
        <f t="shared" si="12"/>
        <v>1.6879999999999999</v>
      </c>
    </row>
    <row r="834" spans="1:11" ht="15" customHeight="1" x14ac:dyDescent="0.2">
      <c r="A834" s="120" t="s">
        <v>4793</v>
      </c>
      <c r="B834" s="120" t="s">
        <v>4794</v>
      </c>
      <c r="C834" s="98" t="s">
        <v>3532</v>
      </c>
      <c r="D834" s="120" t="s">
        <v>3563</v>
      </c>
      <c r="E834" s="98">
        <v>1.4687E-2</v>
      </c>
      <c r="F834" s="120">
        <v>0</v>
      </c>
      <c r="G834" s="121">
        <v>0</v>
      </c>
      <c r="H834" s="123">
        <v>1.4687E-2</v>
      </c>
      <c r="I834" s="122">
        <v>0</v>
      </c>
      <c r="J834" s="124">
        <f t="shared" ref="J834:J897" si="13">IF(D834="gm", E834*1000,+E834)</f>
        <v>14.687000000000001</v>
      </c>
    </row>
    <row r="835" spans="1:11" ht="15" customHeight="1" x14ac:dyDescent="0.2">
      <c r="A835" s="120" t="s">
        <v>4795</v>
      </c>
      <c r="B835" s="120" t="s">
        <v>4764</v>
      </c>
      <c r="C835" s="98" t="s">
        <v>3533</v>
      </c>
      <c r="D835" s="120" t="s">
        <v>3563</v>
      </c>
      <c r="E835" s="98">
        <v>2.248E-3</v>
      </c>
      <c r="F835" s="120">
        <v>0</v>
      </c>
      <c r="G835" s="121">
        <v>0</v>
      </c>
      <c r="H835" s="123">
        <v>2.248E-3</v>
      </c>
      <c r="I835" s="122">
        <v>0</v>
      </c>
      <c r="J835" s="124">
        <f t="shared" si="13"/>
        <v>2.2480000000000002</v>
      </c>
    </row>
    <row r="836" spans="1:11" ht="15" customHeight="1" x14ac:dyDescent="0.2">
      <c r="A836" s="120" t="s">
        <v>4796</v>
      </c>
      <c r="B836" s="120" t="s">
        <v>4685</v>
      </c>
      <c r="C836" s="98" t="s">
        <v>3532</v>
      </c>
      <c r="D836" s="120" t="s">
        <v>3563</v>
      </c>
      <c r="E836" s="98">
        <v>6.6009999999999999E-2</v>
      </c>
      <c r="F836" s="120">
        <v>0</v>
      </c>
      <c r="G836" s="121">
        <v>0</v>
      </c>
      <c r="H836" s="123">
        <v>6.6009999999999999E-2</v>
      </c>
      <c r="I836" s="122">
        <v>0</v>
      </c>
      <c r="J836" s="124">
        <f t="shared" si="13"/>
        <v>66.010000000000005</v>
      </c>
    </row>
    <row r="837" spans="1:11" ht="15" customHeight="1" x14ac:dyDescent="0.2">
      <c r="A837" s="120" t="s">
        <v>4797</v>
      </c>
      <c r="B837" s="120" t="s">
        <v>4685</v>
      </c>
      <c r="C837" s="98" t="s">
        <v>3532</v>
      </c>
      <c r="D837" s="120" t="s">
        <v>3563</v>
      </c>
      <c r="E837" s="98">
        <v>2.9749999999999999E-2</v>
      </c>
      <c r="F837" s="120">
        <v>0</v>
      </c>
      <c r="G837" s="121">
        <v>0</v>
      </c>
      <c r="H837" s="123">
        <v>2.9749999999999999E-2</v>
      </c>
      <c r="I837" s="122">
        <v>0</v>
      </c>
      <c r="J837" s="124">
        <f t="shared" si="13"/>
        <v>29.75</v>
      </c>
    </row>
    <row r="838" spans="1:11" ht="15" customHeight="1" x14ac:dyDescent="0.2">
      <c r="A838" s="120" t="s">
        <v>4798</v>
      </c>
      <c r="B838" s="120" t="s">
        <v>4685</v>
      </c>
      <c r="C838" s="98" t="s">
        <v>3532</v>
      </c>
      <c r="D838" s="120" t="s">
        <v>3563</v>
      </c>
      <c r="E838" s="98">
        <v>2.6339999999999999E-2</v>
      </c>
      <c r="F838" s="120">
        <v>0</v>
      </c>
      <c r="G838" s="121">
        <v>0</v>
      </c>
      <c r="H838" s="123">
        <v>2.6339999999999999E-2</v>
      </c>
      <c r="I838" s="122">
        <v>0</v>
      </c>
      <c r="J838" s="124">
        <f t="shared" si="13"/>
        <v>26.34</v>
      </c>
    </row>
    <row r="839" spans="1:11" ht="15" customHeight="1" x14ac:dyDescent="0.2">
      <c r="A839" s="120" t="s">
        <v>4799</v>
      </c>
      <c r="B839" s="120" t="s">
        <v>4764</v>
      </c>
      <c r="C839" s="98" t="s">
        <v>3533</v>
      </c>
      <c r="D839" s="120" t="s">
        <v>3563</v>
      </c>
      <c r="E839" s="98">
        <v>1.869E-3</v>
      </c>
      <c r="F839" s="120">
        <v>0</v>
      </c>
      <c r="G839" s="121">
        <v>84810</v>
      </c>
      <c r="H839" s="123">
        <v>1.869E-3</v>
      </c>
      <c r="I839" s="122">
        <v>158.50989000000001</v>
      </c>
      <c r="J839" s="124">
        <f t="shared" si="13"/>
        <v>1.869</v>
      </c>
      <c r="K839" s="98" t="s">
        <v>4800</v>
      </c>
    </row>
    <row r="840" spans="1:11" ht="15" customHeight="1" x14ac:dyDescent="0.2">
      <c r="A840" s="120" t="s">
        <v>4801</v>
      </c>
      <c r="B840" s="120" t="s">
        <v>4802</v>
      </c>
      <c r="C840" s="98" t="s">
        <v>3533</v>
      </c>
      <c r="D840" s="120" t="s">
        <v>3563</v>
      </c>
      <c r="E840" s="98">
        <v>1.04740904079383E-2</v>
      </c>
      <c r="F840" s="120">
        <v>0</v>
      </c>
      <c r="G840" s="121">
        <v>10730</v>
      </c>
      <c r="H840" s="123">
        <v>1.0474000000000001E-2</v>
      </c>
      <c r="I840" s="122">
        <v>112.38602</v>
      </c>
      <c r="J840" s="124">
        <f t="shared" si="13"/>
        <v>10.4740904079383</v>
      </c>
      <c r="K840" s="98" t="s">
        <v>4803</v>
      </c>
    </row>
    <row r="841" spans="1:11" ht="15" customHeight="1" x14ac:dyDescent="0.2">
      <c r="A841" s="120" t="s">
        <v>4804</v>
      </c>
      <c r="B841" s="120" t="s">
        <v>4805</v>
      </c>
      <c r="C841" s="98" t="s">
        <v>3532</v>
      </c>
      <c r="D841" s="120" t="s">
        <v>3563</v>
      </c>
      <c r="E841" s="98">
        <v>3.7999999999999999E-2</v>
      </c>
      <c r="F841" s="120">
        <v>0</v>
      </c>
      <c r="G841" s="121">
        <v>0</v>
      </c>
      <c r="H841" s="123">
        <v>3.7999999999999999E-2</v>
      </c>
      <c r="I841" s="122">
        <v>0</v>
      </c>
      <c r="J841" s="124">
        <f t="shared" si="13"/>
        <v>38</v>
      </c>
    </row>
    <row r="842" spans="1:11" ht="15" customHeight="1" x14ac:dyDescent="0.2">
      <c r="A842" s="120" t="s">
        <v>4806</v>
      </c>
      <c r="B842" s="120" t="s">
        <v>4685</v>
      </c>
      <c r="C842" s="98" t="s">
        <v>3532</v>
      </c>
      <c r="D842" s="120" t="s">
        <v>3563</v>
      </c>
      <c r="E842" s="98">
        <v>4.1702000000000003E-2</v>
      </c>
      <c r="F842" s="120">
        <v>0</v>
      </c>
      <c r="G842" s="121">
        <v>0</v>
      </c>
      <c r="H842" s="123">
        <v>4.1702000000000003E-2</v>
      </c>
      <c r="I842" s="122">
        <v>0</v>
      </c>
      <c r="J842" s="124">
        <f t="shared" si="13"/>
        <v>41.702000000000005</v>
      </c>
    </row>
    <row r="843" spans="1:11" ht="15" customHeight="1" x14ac:dyDescent="0.2">
      <c r="A843" s="120" t="s">
        <v>4807</v>
      </c>
      <c r="B843" s="120" t="s">
        <v>4808</v>
      </c>
      <c r="C843" s="98" t="s">
        <v>3532</v>
      </c>
      <c r="D843" s="120" t="s">
        <v>3563</v>
      </c>
      <c r="E843" s="98">
        <v>1.8183000000000001E-2</v>
      </c>
      <c r="F843" s="120">
        <v>0</v>
      </c>
      <c r="G843" s="121">
        <v>0</v>
      </c>
      <c r="H843" s="123">
        <v>1.8183000000000001E-2</v>
      </c>
      <c r="I843" s="122">
        <v>0</v>
      </c>
      <c r="J843" s="124">
        <f t="shared" si="13"/>
        <v>18.183</v>
      </c>
    </row>
    <row r="844" spans="1:11" ht="15" customHeight="1" x14ac:dyDescent="0.2">
      <c r="A844" s="120" t="s">
        <v>4809</v>
      </c>
      <c r="B844" s="120" t="s">
        <v>4808</v>
      </c>
      <c r="C844" s="98" t="s">
        <v>3532</v>
      </c>
      <c r="D844" s="120" t="s">
        <v>3563</v>
      </c>
      <c r="E844" s="98">
        <v>1.9285E-2</v>
      </c>
      <c r="F844" s="120">
        <v>0</v>
      </c>
      <c r="G844" s="121">
        <v>0</v>
      </c>
      <c r="H844" s="123">
        <v>1.9285E-2</v>
      </c>
      <c r="I844" s="122">
        <v>0</v>
      </c>
      <c r="J844" s="124">
        <f t="shared" si="13"/>
        <v>19.285</v>
      </c>
    </row>
    <row r="845" spans="1:11" ht="15" customHeight="1" x14ac:dyDescent="0.2">
      <c r="A845" s="120" t="s">
        <v>4810</v>
      </c>
      <c r="B845" s="120" t="s">
        <v>4811</v>
      </c>
      <c r="C845" s="98" t="s">
        <v>3532</v>
      </c>
      <c r="D845" s="120" t="s">
        <v>3563</v>
      </c>
      <c r="E845" s="98">
        <v>4.4949999999999997E-2</v>
      </c>
      <c r="F845" s="120">
        <v>0</v>
      </c>
      <c r="G845" s="121">
        <v>0</v>
      </c>
      <c r="H845" s="123">
        <v>4.4949999999999997E-2</v>
      </c>
      <c r="I845" s="122">
        <v>0</v>
      </c>
      <c r="J845" s="124">
        <f t="shared" si="13"/>
        <v>44.949999999999996</v>
      </c>
    </row>
    <row r="846" spans="1:11" ht="15" customHeight="1" x14ac:dyDescent="0.2">
      <c r="A846" s="120" t="s">
        <v>4812</v>
      </c>
      <c r="B846" s="120" t="s">
        <v>4701</v>
      </c>
      <c r="C846" s="98" t="s">
        <v>3532</v>
      </c>
      <c r="D846" s="120" t="s">
        <v>3563</v>
      </c>
      <c r="E846" s="98">
        <v>9.0360000000000006E-3</v>
      </c>
      <c r="F846" s="120">
        <v>0</v>
      </c>
      <c r="G846" s="121">
        <v>0</v>
      </c>
      <c r="H846" s="123">
        <v>9.0360000000000006E-3</v>
      </c>
      <c r="I846" s="122">
        <v>0</v>
      </c>
      <c r="J846" s="124">
        <f t="shared" si="13"/>
        <v>9.0360000000000014</v>
      </c>
    </row>
    <row r="847" spans="1:11" ht="15" customHeight="1" x14ac:dyDescent="0.2">
      <c r="A847" s="120" t="s">
        <v>4813</v>
      </c>
      <c r="B847" s="120" t="s">
        <v>4701</v>
      </c>
      <c r="C847" s="98" t="s">
        <v>3532</v>
      </c>
      <c r="D847" s="120" t="s">
        <v>3563</v>
      </c>
      <c r="E847" s="98">
        <v>9.0379999999999992E-3</v>
      </c>
      <c r="F847" s="120">
        <v>0</v>
      </c>
      <c r="G847" s="121">
        <v>0</v>
      </c>
      <c r="H847" s="123">
        <v>9.0379999999999992E-3</v>
      </c>
      <c r="I847" s="122">
        <v>0</v>
      </c>
      <c r="J847" s="124">
        <f t="shared" si="13"/>
        <v>9.0379999999999985</v>
      </c>
    </row>
    <row r="848" spans="1:11" ht="15" customHeight="1" x14ac:dyDescent="0.2">
      <c r="A848" s="120" t="s">
        <v>4814</v>
      </c>
      <c r="B848" s="120" t="s">
        <v>4562</v>
      </c>
      <c r="C848" s="98" t="s">
        <v>3533</v>
      </c>
      <c r="D848" s="120" t="s">
        <v>3563</v>
      </c>
      <c r="E848" s="98">
        <v>2.3999999999999998E-3</v>
      </c>
      <c r="F848" s="120">
        <v>0</v>
      </c>
      <c r="G848" s="121">
        <v>0</v>
      </c>
      <c r="H848" s="123">
        <v>2.3999999999999998E-3</v>
      </c>
      <c r="I848" s="122">
        <v>0</v>
      </c>
      <c r="J848" s="124">
        <f t="shared" si="13"/>
        <v>2.4</v>
      </c>
      <c r="K848" s="98" t="s">
        <v>4815</v>
      </c>
    </row>
    <row r="849" spans="1:11" ht="15" customHeight="1" x14ac:dyDescent="0.2">
      <c r="A849" s="120" t="s">
        <v>4816</v>
      </c>
      <c r="B849" s="120" t="s">
        <v>4817</v>
      </c>
      <c r="C849" s="98" t="s">
        <v>3532</v>
      </c>
      <c r="D849" s="120" t="s">
        <v>3563</v>
      </c>
      <c r="E849" s="98">
        <v>1.4319999999999999E-2</v>
      </c>
      <c r="F849" s="120">
        <v>0</v>
      </c>
      <c r="G849" s="121">
        <v>0</v>
      </c>
      <c r="H849" s="123">
        <v>1.4319999999999999E-2</v>
      </c>
      <c r="I849" s="122">
        <v>0</v>
      </c>
      <c r="J849" s="124">
        <f t="shared" si="13"/>
        <v>14.32</v>
      </c>
    </row>
    <row r="850" spans="1:11" ht="15" customHeight="1" x14ac:dyDescent="0.2">
      <c r="A850" s="120" t="s">
        <v>4818</v>
      </c>
      <c r="B850" s="120" t="s">
        <v>4688</v>
      </c>
      <c r="C850" s="98" t="s">
        <v>3533</v>
      </c>
      <c r="D850" s="120" t="s">
        <v>3563</v>
      </c>
      <c r="E850" s="98">
        <v>3.0800000000000001E-2</v>
      </c>
      <c r="F850" s="120">
        <v>0</v>
      </c>
      <c r="G850" s="121">
        <v>0</v>
      </c>
      <c r="H850" s="123">
        <v>3.0800000000000001E-2</v>
      </c>
      <c r="I850" s="122">
        <v>0</v>
      </c>
      <c r="J850" s="124">
        <f t="shared" si="13"/>
        <v>30.8</v>
      </c>
    </row>
    <row r="851" spans="1:11" ht="15" customHeight="1" x14ac:dyDescent="0.2">
      <c r="A851" s="120" t="s">
        <v>4819</v>
      </c>
      <c r="B851" s="120" t="s">
        <v>4820</v>
      </c>
      <c r="C851" s="98" t="s">
        <v>3533</v>
      </c>
      <c r="D851" s="120" t="s">
        <v>3563</v>
      </c>
      <c r="E851" s="98">
        <v>1.536E-2</v>
      </c>
      <c r="F851" s="120">
        <v>0</v>
      </c>
      <c r="G851" s="121">
        <v>0</v>
      </c>
      <c r="H851" s="123">
        <v>1.536E-2</v>
      </c>
      <c r="I851" s="122">
        <v>0</v>
      </c>
      <c r="J851" s="124">
        <f t="shared" si="13"/>
        <v>15.360000000000001</v>
      </c>
    </row>
    <row r="852" spans="1:11" ht="15" customHeight="1" x14ac:dyDescent="0.2">
      <c r="A852" s="120" t="s">
        <v>4821</v>
      </c>
      <c r="B852" s="120" t="s">
        <v>2198</v>
      </c>
      <c r="C852" s="98" t="s">
        <v>3532</v>
      </c>
      <c r="D852" s="120" t="s">
        <v>3563</v>
      </c>
      <c r="E852" s="98">
        <v>2.0937999999999999</v>
      </c>
      <c r="F852" s="120">
        <v>0</v>
      </c>
      <c r="G852" s="121">
        <v>0</v>
      </c>
      <c r="H852" s="123">
        <v>2.0937999999999999</v>
      </c>
      <c r="I852" s="122">
        <v>0</v>
      </c>
      <c r="J852" s="124">
        <f t="shared" si="13"/>
        <v>2093.7999999999997</v>
      </c>
    </row>
    <row r="853" spans="1:11" ht="15" customHeight="1" x14ac:dyDescent="0.2">
      <c r="A853" s="120" t="s">
        <v>4822</v>
      </c>
      <c r="B853" s="120" t="s">
        <v>4823</v>
      </c>
      <c r="C853" s="98" t="s">
        <v>3533</v>
      </c>
      <c r="D853" s="120" t="s">
        <v>3563</v>
      </c>
      <c r="E853" s="98">
        <v>1.366E-2</v>
      </c>
      <c r="F853" s="120">
        <v>0</v>
      </c>
      <c r="G853" s="121">
        <v>0</v>
      </c>
      <c r="H853" s="123">
        <v>1.366E-2</v>
      </c>
      <c r="I853" s="122">
        <v>0</v>
      </c>
      <c r="J853" s="124">
        <f t="shared" si="13"/>
        <v>13.66</v>
      </c>
    </row>
    <row r="854" spans="1:11" ht="15" customHeight="1" x14ac:dyDescent="0.2">
      <c r="A854" s="120" t="s">
        <v>4824</v>
      </c>
      <c r="B854" s="120" t="s">
        <v>4764</v>
      </c>
      <c r="C854" s="98" t="s">
        <v>3533</v>
      </c>
      <c r="D854" s="120" t="s">
        <v>3563</v>
      </c>
      <c r="E854" s="98">
        <v>7.1427915307950198E-3</v>
      </c>
      <c r="F854" s="120">
        <v>0</v>
      </c>
      <c r="G854" s="121">
        <v>129424</v>
      </c>
      <c r="H854" s="123">
        <v>7.143E-3</v>
      </c>
      <c r="I854" s="122">
        <v>924.47563200000002</v>
      </c>
      <c r="J854" s="124">
        <f t="shared" si="13"/>
        <v>7.1427915307950194</v>
      </c>
      <c r="K854" s="98" t="s">
        <v>4825</v>
      </c>
    </row>
    <row r="855" spans="1:11" ht="15" customHeight="1" x14ac:dyDescent="0.2">
      <c r="A855" s="120" t="s">
        <v>4826</v>
      </c>
      <c r="B855" s="120" t="s">
        <v>4827</v>
      </c>
      <c r="C855" s="98" t="s">
        <v>3533</v>
      </c>
      <c r="D855" s="120" t="s">
        <v>3563</v>
      </c>
      <c r="E855" s="98">
        <v>9.6179999999999998E-3</v>
      </c>
      <c r="F855" s="120">
        <v>0</v>
      </c>
      <c r="G855" s="121">
        <v>0</v>
      </c>
      <c r="H855" s="123">
        <v>9.6179999999999998E-3</v>
      </c>
      <c r="I855" s="122">
        <v>0</v>
      </c>
      <c r="J855" s="124">
        <f t="shared" si="13"/>
        <v>9.6180000000000003</v>
      </c>
    </row>
    <row r="856" spans="1:11" ht="15" customHeight="1" x14ac:dyDescent="0.2">
      <c r="A856" s="120" t="s">
        <v>4828</v>
      </c>
      <c r="B856" s="120" t="s">
        <v>3532</v>
      </c>
      <c r="C856" s="98" t="s">
        <v>3533</v>
      </c>
      <c r="D856" s="120" t="s">
        <v>3563</v>
      </c>
      <c r="E856" s="98">
        <v>2.1826000000000002E-2</v>
      </c>
      <c r="F856" s="120">
        <v>0</v>
      </c>
      <c r="G856" s="121">
        <v>0</v>
      </c>
      <c r="H856" s="123">
        <v>2.1826000000000002E-2</v>
      </c>
      <c r="I856" s="122">
        <v>0</v>
      </c>
      <c r="J856" s="124">
        <f t="shared" si="13"/>
        <v>21.826000000000001</v>
      </c>
    </row>
    <row r="857" spans="1:11" ht="15" customHeight="1" x14ac:dyDescent="0.2">
      <c r="A857" s="120" t="s">
        <v>4829</v>
      </c>
      <c r="B857" s="120" t="s">
        <v>3532</v>
      </c>
      <c r="C857" s="98" t="s">
        <v>3533</v>
      </c>
      <c r="D857" s="120" t="s">
        <v>3563</v>
      </c>
      <c r="E857" s="98">
        <v>1.8630000000000001E-2</v>
      </c>
      <c r="F857" s="120">
        <v>0</v>
      </c>
      <c r="G857" s="121">
        <v>0</v>
      </c>
      <c r="H857" s="123">
        <v>1.8630000000000001E-2</v>
      </c>
      <c r="I857" s="122">
        <v>0</v>
      </c>
      <c r="J857" s="124">
        <f t="shared" si="13"/>
        <v>18.63</v>
      </c>
    </row>
    <row r="858" spans="1:11" ht="15" customHeight="1" x14ac:dyDescent="0.2">
      <c r="A858" s="120" t="s">
        <v>4830</v>
      </c>
      <c r="B858" s="120" t="s">
        <v>3532</v>
      </c>
      <c r="C858" s="98" t="s">
        <v>3532</v>
      </c>
      <c r="D858" s="120" t="s">
        <v>3563</v>
      </c>
      <c r="E858" s="98">
        <v>0</v>
      </c>
      <c r="F858" s="120">
        <v>0</v>
      </c>
      <c r="G858" s="121">
        <v>0</v>
      </c>
      <c r="H858" s="123">
        <v>0</v>
      </c>
      <c r="I858" s="122">
        <v>0</v>
      </c>
      <c r="J858" s="124">
        <f t="shared" si="13"/>
        <v>0</v>
      </c>
    </row>
    <row r="859" spans="1:11" ht="15" customHeight="1" x14ac:dyDescent="0.2">
      <c r="A859" s="120" t="s">
        <v>4831</v>
      </c>
      <c r="B859" s="120" t="s">
        <v>3532</v>
      </c>
      <c r="C859" s="98" t="s">
        <v>3533</v>
      </c>
      <c r="D859" s="120" t="s">
        <v>3563</v>
      </c>
      <c r="E859" s="98">
        <v>0</v>
      </c>
      <c r="F859" s="120">
        <v>0</v>
      </c>
      <c r="G859" s="121">
        <v>0</v>
      </c>
      <c r="H859" s="123">
        <v>0</v>
      </c>
      <c r="I859" s="122">
        <v>0</v>
      </c>
      <c r="J859" s="124">
        <f t="shared" si="13"/>
        <v>0</v>
      </c>
    </row>
    <row r="860" spans="1:11" ht="15" customHeight="1" x14ac:dyDescent="0.2">
      <c r="A860" s="120" t="s">
        <v>4832</v>
      </c>
      <c r="B860" s="120" t="s">
        <v>4833</v>
      </c>
      <c r="C860" s="98" t="s">
        <v>3533</v>
      </c>
      <c r="D860" s="120" t="s">
        <v>3563</v>
      </c>
      <c r="E860" s="98">
        <v>5.6099999999999997E-2</v>
      </c>
      <c r="F860" s="120">
        <v>0</v>
      </c>
      <c r="G860" s="121">
        <v>0</v>
      </c>
      <c r="H860" s="123">
        <v>5.6099999999999997E-2</v>
      </c>
      <c r="I860" s="122">
        <v>0</v>
      </c>
      <c r="J860" s="124">
        <f t="shared" si="13"/>
        <v>56.099999999999994</v>
      </c>
      <c r="K860" s="98" t="s">
        <v>4834</v>
      </c>
    </row>
    <row r="861" spans="1:11" ht="15" customHeight="1" x14ac:dyDescent="0.2">
      <c r="A861" s="120" t="s">
        <v>4835</v>
      </c>
      <c r="B861" s="120" t="s">
        <v>4836</v>
      </c>
      <c r="C861" s="98" t="s">
        <v>4837</v>
      </c>
      <c r="D861" s="120" t="s">
        <v>3563</v>
      </c>
      <c r="E861" s="98">
        <v>0.19700000000000001</v>
      </c>
      <c r="F861" s="120">
        <v>0</v>
      </c>
      <c r="G861" s="121">
        <v>0</v>
      </c>
      <c r="H861" s="123">
        <v>0.19700000000000001</v>
      </c>
      <c r="I861" s="122">
        <v>0</v>
      </c>
      <c r="J861" s="124">
        <f t="shared" si="13"/>
        <v>197</v>
      </c>
    </row>
    <row r="862" spans="1:11" ht="15" customHeight="1" x14ac:dyDescent="0.2">
      <c r="A862" s="120" t="s">
        <v>4838</v>
      </c>
      <c r="B862" s="120" t="s">
        <v>4836</v>
      </c>
      <c r="C862" s="98" t="s">
        <v>3533</v>
      </c>
      <c r="D862" s="120" t="s">
        <v>3563</v>
      </c>
      <c r="E862" s="98">
        <v>3.1949999999999999E-2</v>
      </c>
      <c r="F862" s="120">
        <v>0</v>
      </c>
      <c r="G862" s="121">
        <v>0</v>
      </c>
      <c r="H862" s="123">
        <v>3.1949999999999999E-2</v>
      </c>
      <c r="I862" s="122">
        <v>0</v>
      </c>
      <c r="J862" s="124">
        <f t="shared" si="13"/>
        <v>31.95</v>
      </c>
      <c r="K862" s="98" t="s">
        <v>4839</v>
      </c>
    </row>
    <row r="863" spans="1:11" ht="15" customHeight="1" x14ac:dyDescent="0.2">
      <c r="A863" s="120" t="s">
        <v>4840</v>
      </c>
      <c r="B863" s="120" t="s">
        <v>4841</v>
      </c>
      <c r="C863" s="98" t="s">
        <v>3532</v>
      </c>
      <c r="D863" s="120" t="s">
        <v>3563</v>
      </c>
      <c r="E863" s="98">
        <v>0</v>
      </c>
      <c r="F863" s="120">
        <v>0</v>
      </c>
      <c r="G863" s="121">
        <v>0</v>
      </c>
      <c r="H863" s="123">
        <v>0</v>
      </c>
      <c r="I863" s="122">
        <v>0</v>
      </c>
      <c r="J863" s="124">
        <f t="shared" si="13"/>
        <v>0</v>
      </c>
    </row>
    <row r="864" spans="1:11" ht="15" customHeight="1" x14ac:dyDescent="0.2">
      <c r="A864" s="120" t="s">
        <v>4842</v>
      </c>
      <c r="B864" s="120" t="s">
        <v>4843</v>
      </c>
      <c r="C864" s="98" t="s">
        <v>3532</v>
      </c>
      <c r="D864" s="120" t="s">
        <v>3563</v>
      </c>
      <c r="E864" s="98">
        <v>0</v>
      </c>
      <c r="F864" s="120">
        <v>0</v>
      </c>
      <c r="G864" s="121">
        <v>0</v>
      </c>
      <c r="H864" s="123">
        <v>0</v>
      </c>
      <c r="I864" s="122">
        <v>0</v>
      </c>
      <c r="J864" s="124">
        <f t="shared" si="13"/>
        <v>0</v>
      </c>
    </row>
    <row r="865" spans="1:11" ht="15" customHeight="1" x14ac:dyDescent="0.2">
      <c r="A865" s="120" t="s">
        <v>4844</v>
      </c>
      <c r="B865" s="120" t="s">
        <v>4845</v>
      </c>
      <c r="C865" s="98" t="s">
        <v>3533</v>
      </c>
      <c r="D865" s="120" t="s">
        <v>3563</v>
      </c>
      <c r="E865" s="98">
        <v>1.34E-2</v>
      </c>
      <c r="F865" s="120">
        <v>0</v>
      </c>
      <c r="G865" s="121">
        <v>0</v>
      </c>
      <c r="H865" s="123">
        <v>1.34E-2</v>
      </c>
      <c r="I865" s="122">
        <v>0</v>
      </c>
      <c r="J865" s="124">
        <f t="shared" si="13"/>
        <v>13.4</v>
      </c>
      <c r="K865" s="98" t="s">
        <v>4846</v>
      </c>
    </row>
    <row r="866" spans="1:11" ht="15" customHeight="1" x14ac:dyDescent="0.2">
      <c r="A866" s="120" t="s">
        <v>4847</v>
      </c>
      <c r="B866" s="120" t="s">
        <v>4848</v>
      </c>
      <c r="C866" s="98" t="s">
        <v>3533</v>
      </c>
      <c r="D866" s="120" t="s">
        <v>3563</v>
      </c>
      <c r="E866" s="98">
        <v>1.146E-2</v>
      </c>
      <c r="F866" s="120">
        <v>0</v>
      </c>
      <c r="G866" s="121">
        <v>90800</v>
      </c>
      <c r="H866" s="123">
        <v>1.146E-2</v>
      </c>
      <c r="I866" s="122">
        <v>1040.568</v>
      </c>
      <c r="J866" s="124">
        <f t="shared" si="13"/>
        <v>11.459999999999999</v>
      </c>
      <c r="K866" s="98" t="s">
        <v>4849</v>
      </c>
    </row>
    <row r="867" spans="1:11" ht="15" customHeight="1" x14ac:dyDescent="0.2">
      <c r="A867" s="120" t="s">
        <v>4850</v>
      </c>
      <c r="B867" s="120" t="s">
        <v>4851</v>
      </c>
      <c r="C867" s="98" t="s">
        <v>3540</v>
      </c>
      <c r="D867" s="120" t="s">
        <v>3563</v>
      </c>
      <c r="E867" s="98">
        <v>1.4950000000000001</v>
      </c>
      <c r="F867" s="120">
        <v>0</v>
      </c>
      <c r="G867" s="121">
        <v>0</v>
      </c>
      <c r="H867" s="123">
        <v>1.4950000000000001</v>
      </c>
      <c r="I867" s="122">
        <v>0</v>
      </c>
      <c r="J867" s="124">
        <f t="shared" si="13"/>
        <v>1495</v>
      </c>
    </row>
    <row r="868" spans="1:11" ht="15" customHeight="1" x14ac:dyDescent="0.2">
      <c r="A868" s="120" t="s">
        <v>4852</v>
      </c>
      <c r="B868" s="120" t="s">
        <v>4853</v>
      </c>
      <c r="C868" s="98" t="s">
        <v>3533</v>
      </c>
      <c r="D868" s="120" t="s">
        <v>3563</v>
      </c>
      <c r="E868" s="98">
        <v>0.130435</v>
      </c>
      <c r="F868" s="120">
        <v>0</v>
      </c>
      <c r="G868" s="121">
        <v>0</v>
      </c>
      <c r="H868" s="123">
        <v>0.130435</v>
      </c>
      <c r="I868" s="122">
        <v>0</v>
      </c>
      <c r="J868" s="124">
        <f t="shared" si="13"/>
        <v>130.435</v>
      </c>
      <c r="K868" s="98" t="s">
        <v>4854</v>
      </c>
    </row>
    <row r="869" spans="1:11" ht="15" customHeight="1" x14ac:dyDescent="0.2">
      <c r="A869" s="120" t="s">
        <v>4855</v>
      </c>
      <c r="B869" s="120" t="s">
        <v>4851</v>
      </c>
      <c r="C869" s="98" t="s">
        <v>4856</v>
      </c>
      <c r="D869" s="120" t="s">
        <v>3563</v>
      </c>
      <c r="E869" s="98">
        <v>0.5</v>
      </c>
      <c r="F869" s="120">
        <v>0</v>
      </c>
      <c r="G869" s="121">
        <v>0</v>
      </c>
      <c r="H869" s="123">
        <v>0.5</v>
      </c>
      <c r="I869" s="122">
        <v>0</v>
      </c>
      <c r="J869" s="124">
        <f t="shared" si="13"/>
        <v>500</v>
      </c>
    </row>
    <row r="870" spans="1:11" ht="15" customHeight="1" x14ac:dyDescent="0.2">
      <c r="A870" s="120" t="s">
        <v>4857</v>
      </c>
      <c r="B870" s="120" t="s">
        <v>4562</v>
      </c>
      <c r="C870" s="98" t="s">
        <v>3533</v>
      </c>
      <c r="D870" s="120" t="s">
        <v>3563</v>
      </c>
      <c r="E870" s="98">
        <v>6.7999999999999996E-3</v>
      </c>
      <c r="F870" s="120">
        <v>0</v>
      </c>
      <c r="G870" s="121">
        <v>37779</v>
      </c>
      <c r="H870" s="123">
        <v>6.7999999999999996E-3</v>
      </c>
      <c r="I870" s="122">
        <v>256.8972</v>
      </c>
      <c r="J870" s="124">
        <f t="shared" si="13"/>
        <v>6.8</v>
      </c>
      <c r="K870" s="98" t="s">
        <v>4858</v>
      </c>
    </row>
    <row r="871" spans="1:11" ht="15" customHeight="1" x14ac:dyDescent="0.2">
      <c r="A871" s="120" t="s">
        <v>4859</v>
      </c>
      <c r="B871" s="120" t="s">
        <v>4562</v>
      </c>
      <c r="C871" s="98" t="s">
        <v>3533</v>
      </c>
      <c r="D871" s="120" t="s">
        <v>3563</v>
      </c>
      <c r="E871" s="98">
        <v>8.2500000000000004E-3</v>
      </c>
      <c r="F871" s="120">
        <v>0</v>
      </c>
      <c r="G871" s="121">
        <v>22125</v>
      </c>
      <c r="H871" s="123">
        <v>8.2500000000000004E-3</v>
      </c>
      <c r="I871" s="122">
        <v>182.53125</v>
      </c>
      <c r="J871" s="124">
        <f t="shared" si="13"/>
        <v>8.25</v>
      </c>
      <c r="K871" s="98" t="s">
        <v>4860</v>
      </c>
    </row>
    <row r="872" spans="1:11" ht="15" customHeight="1" x14ac:dyDescent="0.2">
      <c r="A872" s="120" t="s">
        <v>4861</v>
      </c>
      <c r="B872" s="120" t="s">
        <v>4562</v>
      </c>
      <c r="C872" s="98" t="s">
        <v>3533</v>
      </c>
      <c r="D872" s="120" t="s">
        <v>3563</v>
      </c>
      <c r="E872" s="98">
        <v>7.1500000000000001E-3</v>
      </c>
      <c r="F872" s="120">
        <v>0</v>
      </c>
      <c r="G872" s="121">
        <v>110380</v>
      </c>
      <c r="H872" s="123">
        <v>7.1500000000000001E-3</v>
      </c>
      <c r="I872" s="122">
        <v>789.21699999999998</v>
      </c>
      <c r="J872" s="124">
        <f t="shared" si="13"/>
        <v>7.15</v>
      </c>
      <c r="K872" s="98" t="s">
        <v>4862</v>
      </c>
    </row>
    <row r="873" spans="1:11" ht="15" customHeight="1" x14ac:dyDescent="0.2">
      <c r="A873" s="120" t="s">
        <v>4863</v>
      </c>
      <c r="B873" s="120" t="s">
        <v>4562</v>
      </c>
      <c r="C873" s="98" t="s">
        <v>3533</v>
      </c>
      <c r="D873" s="120" t="s">
        <v>3563</v>
      </c>
      <c r="E873" s="98">
        <v>5.45E-3</v>
      </c>
      <c r="F873" s="120">
        <v>0</v>
      </c>
      <c r="G873" s="121">
        <v>0</v>
      </c>
      <c r="H873" s="123">
        <v>5.45E-3</v>
      </c>
      <c r="I873" s="122">
        <v>0</v>
      </c>
      <c r="J873" s="124">
        <f t="shared" si="13"/>
        <v>5.45</v>
      </c>
      <c r="K873" s="98" t="s">
        <v>4864</v>
      </c>
    </row>
    <row r="874" spans="1:11" ht="15" customHeight="1" x14ac:dyDescent="0.2">
      <c r="A874" s="120" t="s">
        <v>4865</v>
      </c>
      <c r="B874" s="120" t="s">
        <v>4866</v>
      </c>
      <c r="C874" s="98" t="s">
        <v>3533</v>
      </c>
      <c r="D874" s="120" t="s">
        <v>3563</v>
      </c>
      <c r="E874" s="98">
        <v>4.3715999999999998E-2</v>
      </c>
      <c r="F874" s="120">
        <v>0</v>
      </c>
      <c r="G874" s="121">
        <v>3920</v>
      </c>
      <c r="H874" s="123">
        <v>4.3715999999999998E-2</v>
      </c>
      <c r="I874" s="122">
        <v>171.36671999999999</v>
      </c>
      <c r="J874" s="124">
        <f t="shared" si="13"/>
        <v>43.716000000000001</v>
      </c>
      <c r="K874" s="98" t="s">
        <v>4867</v>
      </c>
    </row>
    <row r="875" spans="1:11" ht="15" customHeight="1" x14ac:dyDescent="0.2">
      <c r="A875" s="120" t="s">
        <v>4868</v>
      </c>
      <c r="B875" s="120" t="s">
        <v>4869</v>
      </c>
      <c r="C875" s="98" t="s">
        <v>3533</v>
      </c>
      <c r="D875" s="120" t="s">
        <v>3563</v>
      </c>
      <c r="E875" s="98">
        <v>0</v>
      </c>
      <c r="F875" s="120">
        <v>0</v>
      </c>
      <c r="G875" s="121">
        <v>15550</v>
      </c>
      <c r="H875" s="123">
        <v>0</v>
      </c>
      <c r="I875" s="122">
        <v>0</v>
      </c>
      <c r="J875" s="124">
        <f t="shared" si="13"/>
        <v>0</v>
      </c>
    </row>
    <row r="876" spans="1:11" ht="15" customHeight="1" x14ac:dyDescent="0.2">
      <c r="A876" s="120" t="s">
        <v>4870</v>
      </c>
      <c r="B876" s="120" t="s">
        <v>4869</v>
      </c>
      <c r="C876" s="98" t="s">
        <v>3533</v>
      </c>
      <c r="D876" s="120" t="s">
        <v>3563</v>
      </c>
      <c r="E876" s="98">
        <v>8.2651133501259397E-3</v>
      </c>
      <c r="F876" s="120">
        <v>0</v>
      </c>
      <c r="G876" s="121">
        <v>15680</v>
      </c>
      <c r="H876" s="123">
        <v>8.2649999999999998E-3</v>
      </c>
      <c r="I876" s="122">
        <v>129.59520000000001</v>
      </c>
      <c r="J876" s="124">
        <f t="shared" si="13"/>
        <v>8.2651133501259402</v>
      </c>
      <c r="K876" s="98" t="s">
        <v>4871</v>
      </c>
    </row>
    <row r="877" spans="1:11" ht="15" customHeight="1" x14ac:dyDescent="0.2">
      <c r="A877" s="120" t="s">
        <v>4872</v>
      </c>
      <c r="B877" s="120" t="s">
        <v>4873</v>
      </c>
      <c r="C877" s="98" t="s">
        <v>3533</v>
      </c>
      <c r="D877" s="120" t="s">
        <v>3563</v>
      </c>
      <c r="E877" s="98">
        <v>0.105</v>
      </c>
      <c r="F877" s="120">
        <v>0</v>
      </c>
      <c r="G877" s="121">
        <v>0</v>
      </c>
      <c r="H877" s="123">
        <v>0.105</v>
      </c>
      <c r="I877" s="122">
        <v>0</v>
      </c>
      <c r="J877" s="124">
        <f t="shared" si="13"/>
        <v>105</v>
      </c>
      <c r="K877" s="98" t="s">
        <v>4874</v>
      </c>
    </row>
    <row r="878" spans="1:11" ht="15" customHeight="1" x14ac:dyDescent="0.2">
      <c r="A878" s="120" t="s">
        <v>4875</v>
      </c>
      <c r="B878" s="120" t="s">
        <v>4851</v>
      </c>
      <c r="C878" s="98" t="s">
        <v>3533</v>
      </c>
      <c r="D878" s="120" t="s">
        <v>3563</v>
      </c>
      <c r="E878" s="98">
        <v>1.95</v>
      </c>
      <c r="F878" s="120">
        <v>0</v>
      </c>
      <c r="G878" s="121">
        <v>0</v>
      </c>
      <c r="H878" s="123">
        <v>1.95</v>
      </c>
      <c r="I878" s="122">
        <v>0</v>
      </c>
      <c r="J878" s="124">
        <f t="shared" si="13"/>
        <v>1950</v>
      </c>
    </row>
    <row r="879" spans="1:11" ht="15" customHeight="1" x14ac:dyDescent="0.2">
      <c r="A879" s="120" t="s">
        <v>4876</v>
      </c>
      <c r="B879" s="120" t="s">
        <v>4851</v>
      </c>
      <c r="C879" s="98" t="s">
        <v>3540</v>
      </c>
      <c r="D879" s="120" t="s">
        <v>3563</v>
      </c>
      <c r="E879" s="98">
        <v>6.5</v>
      </c>
      <c r="F879" s="120">
        <v>0</v>
      </c>
      <c r="G879" s="121">
        <v>0</v>
      </c>
      <c r="H879" s="123">
        <v>6.5</v>
      </c>
      <c r="I879" s="122">
        <v>0</v>
      </c>
      <c r="J879" s="124">
        <f t="shared" si="13"/>
        <v>6500</v>
      </c>
    </row>
    <row r="880" spans="1:11" ht="15" customHeight="1" x14ac:dyDescent="0.2">
      <c r="A880" s="120" t="s">
        <v>4877</v>
      </c>
      <c r="B880" s="120" t="s">
        <v>4851</v>
      </c>
      <c r="C880" s="98" t="s">
        <v>3540</v>
      </c>
      <c r="D880" s="120" t="s">
        <v>3563</v>
      </c>
      <c r="E880" s="98">
        <v>0</v>
      </c>
      <c r="F880" s="120">
        <v>0</v>
      </c>
      <c r="G880" s="121">
        <v>0</v>
      </c>
      <c r="H880" s="123">
        <v>0</v>
      </c>
      <c r="I880" s="122">
        <v>0</v>
      </c>
      <c r="J880" s="124">
        <f t="shared" si="13"/>
        <v>0</v>
      </c>
    </row>
    <row r="881" spans="1:11" ht="15" customHeight="1" x14ac:dyDescent="0.2">
      <c r="A881" s="120" t="s">
        <v>4878</v>
      </c>
      <c r="B881" s="120" t="s">
        <v>4879</v>
      </c>
      <c r="C881" s="98" t="s">
        <v>3533</v>
      </c>
      <c r="D881" s="120" t="s">
        <v>3563</v>
      </c>
      <c r="E881" s="98">
        <v>0.14357</v>
      </c>
      <c r="F881" s="120">
        <v>0</v>
      </c>
      <c r="G881" s="121">
        <v>412</v>
      </c>
      <c r="H881" s="123">
        <v>0.14357</v>
      </c>
      <c r="I881" s="122">
        <v>59.150840000000002</v>
      </c>
      <c r="J881" s="124">
        <f t="shared" si="13"/>
        <v>143.57</v>
      </c>
      <c r="K881" s="98" t="s">
        <v>4880</v>
      </c>
    </row>
    <row r="882" spans="1:11" ht="15" customHeight="1" x14ac:dyDescent="0.2">
      <c r="A882" s="120" t="s">
        <v>4881</v>
      </c>
      <c r="B882" s="120" t="s">
        <v>4720</v>
      </c>
      <c r="C882" s="98" t="s">
        <v>3533</v>
      </c>
      <c r="D882" s="120" t="s">
        <v>3563</v>
      </c>
      <c r="E882" s="98">
        <v>0</v>
      </c>
      <c r="F882" s="120">
        <v>0</v>
      </c>
      <c r="G882" s="121">
        <v>0</v>
      </c>
      <c r="H882" s="123">
        <v>0</v>
      </c>
      <c r="I882" s="122">
        <v>0</v>
      </c>
      <c r="J882" s="124">
        <f t="shared" si="13"/>
        <v>0</v>
      </c>
    </row>
    <row r="883" spans="1:11" ht="15" customHeight="1" x14ac:dyDescent="0.2">
      <c r="A883" s="120" t="s">
        <v>4882</v>
      </c>
      <c r="B883" s="120" t="s">
        <v>4720</v>
      </c>
      <c r="C883" s="98" t="s">
        <v>3533</v>
      </c>
      <c r="D883" s="120" t="s">
        <v>3563</v>
      </c>
      <c r="E883" s="98">
        <v>0</v>
      </c>
      <c r="F883" s="120">
        <v>0</v>
      </c>
      <c r="G883" s="121">
        <v>0</v>
      </c>
      <c r="H883" s="123">
        <v>0</v>
      </c>
      <c r="I883" s="122">
        <v>0</v>
      </c>
      <c r="J883" s="124">
        <f t="shared" si="13"/>
        <v>0</v>
      </c>
      <c r="K883" s="98" t="s">
        <v>4883</v>
      </c>
    </row>
    <row r="884" spans="1:11" ht="15" customHeight="1" x14ac:dyDescent="0.2">
      <c r="A884" s="120" t="s">
        <v>4884</v>
      </c>
      <c r="B884" s="120" t="s">
        <v>4720</v>
      </c>
      <c r="C884" s="98" t="s">
        <v>3533</v>
      </c>
      <c r="D884" s="120" t="s">
        <v>3563</v>
      </c>
      <c r="E884" s="98">
        <v>0</v>
      </c>
      <c r="F884" s="120">
        <v>0</v>
      </c>
      <c r="G884" s="121">
        <v>0</v>
      </c>
      <c r="H884" s="123">
        <v>0</v>
      </c>
      <c r="I884" s="122">
        <v>0</v>
      </c>
      <c r="J884" s="124">
        <f t="shared" si="13"/>
        <v>0</v>
      </c>
      <c r="K884" s="98" t="s">
        <v>4885</v>
      </c>
    </row>
    <row r="885" spans="1:11" ht="15" customHeight="1" x14ac:dyDescent="0.2">
      <c r="A885" s="120" t="s">
        <v>4886</v>
      </c>
      <c r="B885" s="120" t="s">
        <v>4851</v>
      </c>
      <c r="C885" s="98" t="s">
        <v>4856</v>
      </c>
      <c r="D885" s="120" t="s">
        <v>3563</v>
      </c>
      <c r="E885" s="98">
        <v>3.20146</v>
      </c>
      <c r="F885" s="120">
        <v>0</v>
      </c>
      <c r="G885" s="121">
        <v>0</v>
      </c>
      <c r="H885" s="123">
        <v>3.20146</v>
      </c>
      <c r="I885" s="122">
        <v>0</v>
      </c>
      <c r="J885" s="124">
        <f t="shared" si="13"/>
        <v>3201.46</v>
      </c>
    </row>
    <row r="886" spans="1:11" ht="15" customHeight="1" x14ac:dyDescent="0.2">
      <c r="A886" s="120" t="s">
        <v>4887</v>
      </c>
      <c r="B886" s="120" t="s">
        <v>4562</v>
      </c>
      <c r="C886" s="98" t="s">
        <v>3533</v>
      </c>
      <c r="D886" s="120" t="s">
        <v>3563</v>
      </c>
      <c r="E886" s="98">
        <v>1.35E-2</v>
      </c>
      <c r="F886" s="120">
        <v>150000</v>
      </c>
      <c r="G886" s="121">
        <v>205825</v>
      </c>
      <c r="H886" s="123">
        <v>1.35E-2</v>
      </c>
      <c r="I886" s="122">
        <v>2778.6374999999998</v>
      </c>
      <c r="J886" s="124">
        <f t="shared" si="13"/>
        <v>13.5</v>
      </c>
      <c r="K886" s="98" t="s">
        <v>4888</v>
      </c>
    </row>
    <row r="887" spans="1:11" ht="15" customHeight="1" x14ac:dyDescent="0.2">
      <c r="A887" s="120" t="s">
        <v>4889</v>
      </c>
      <c r="B887" s="120" t="s">
        <v>4890</v>
      </c>
      <c r="C887" s="98" t="s">
        <v>3533</v>
      </c>
      <c r="D887" s="120" t="s">
        <v>3563</v>
      </c>
      <c r="E887" s="98">
        <v>2.4722219999999999</v>
      </c>
      <c r="F887" s="120">
        <v>0</v>
      </c>
      <c r="G887" s="121">
        <v>0</v>
      </c>
      <c r="H887" s="123">
        <v>2.4722219999999999</v>
      </c>
      <c r="I887" s="122">
        <v>0</v>
      </c>
      <c r="J887" s="124">
        <f t="shared" si="13"/>
        <v>2472.2219999999998</v>
      </c>
      <c r="K887" s="98" t="s">
        <v>4891</v>
      </c>
    </row>
    <row r="888" spans="1:11" ht="15" customHeight="1" x14ac:dyDescent="0.2">
      <c r="A888" s="120" t="s">
        <v>4892</v>
      </c>
      <c r="B888" s="120" t="s">
        <v>4681</v>
      </c>
      <c r="C888" s="98" t="s">
        <v>3540</v>
      </c>
      <c r="D888" s="120" t="s">
        <v>3563</v>
      </c>
      <c r="E888" s="98">
        <v>1.0370000000000001E-2</v>
      </c>
      <c r="F888" s="120">
        <v>0</v>
      </c>
      <c r="G888" s="121">
        <v>0</v>
      </c>
      <c r="H888" s="123">
        <v>1.0370000000000001E-2</v>
      </c>
      <c r="I888" s="122">
        <v>0</v>
      </c>
      <c r="J888" s="124">
        <f t="shared" si="13"/>
        <v>10.370000000000001</v>
      </c>
    </row>
    <row r="889" spans="1:11" ht="15" customHeight="1" x14ac:dyDescent="0.2">
      <c r="A889" s="120" t="s">
        <v>4893</v>
      </c>
      <c r="B889" s="120" t="s">
        <v>4890</v>
      </c>
      <c r="C889" s="98" t="s">
        <v>3533</v>
      </c>
      <c r="D889" s="120" t="s">
        <v>3563</v>
      </c>
      <c r="E889" s="98">
        <v>3.7516579999999999</v>
      </c>
      <c r="F889" s="120">
        <v>0</v>
      </c>
      <c r="G889" s="121">
        <v>0</v>
      </c>
      <c r="H889" s="123">
        <v>3.7516579999999999</v>
      </c>
      <c r="I889" s="122">
        <v>0</v>
      </c>
      <c r="J889" s="124">
        <f t="shared" si="13"/>
        <v>3751.6579999999999</v>
      </c>
      <c r="K889" s="98" t="s">
        <v>4894</v>
      </c>
    </row>
    <row r="890" spans="1:11" ht="15" customHeight="1" x14ac:dyDescent="0.2">
      <c r="A890" s="120" t="s">
        <v>4895</v>
      </c>
      <c r="B890" s="120" t="s">
        <v>4896</v>
      </c>
      <c r="C890" s="98" t="s">
        <v>4856</v>
      </c>
      <c r="D890" s="120" t="s">
        <v>3563</v>
      </c>
      <c r="E890" s="98">
        <v>3</v>
      </c>
      <c r="F890" s="120">
        <v>0</v>
      </c>
      <c r="G890" s="121">
        <v>0</v>
      </c>
      <c r="H890" s="123">
        <v>3</v>
      </c>
      <c r="I890" s="122">
        <v>0</v>
      </c>
      <c r="J890" s="124">
        <f t="shared" si="13"/>
        <v>3000</v>
      </c>
    </row>
    <row r="891" spans="1:11" ht="15" customHeight="1" x14ac:dyDescent="0.2">
      <c r="A891" s="120" t="s">
        <v>4897</v>
      </c>
      <c r="B891" s="120" t="s">
        <v>4898</v>
      </c>
      <c r="C891" s="98" t="s">
        <v>3533</v>
      </c>
      <c r="D891" s="120" t="s">
        <v>3563</v>
      </c>
      <c r="E891" s="98">
        <v>8.1600000000000006E-2</v>
      </c>
      <c r="F891" s="120">
        <v>0</v>
      </c>
      <c r="G891" s="121">
        <v>95314</v>
      </c>
      <c r="H891" s="123">
        <v>8.1600000000000006E-2</v>
      </c>
      <c r="I891" s="122">
        <v>7777.6224000000002</v>
      </c>
      <c r="J891" s="124">
        <f t="shared" si="13"/>
        <v>81.600000000000009</v>
      </c>
      <c r="K891" s="98" t="s">
        <v>4899</v>
      </c>
    </row>
    <row r="892" spans="1:11" ht="15" customHeight="1" x14ac:dyDescent="0.2">
      <c r="A892" s="120" t="s">
        <v>4900</v>
      </c>
      <c r="B892" s="120" t="s">
        <v>4901</v>
      </c>
      <c r="C892" s="98" t="s">
        <v>3533</v>
      </c>
      <c r="D892" s="120" t="s">
        <v>3563</v>
      </c>
      <c r="E892" s="98">
        <v>4.1390000000000003E-2</v>
      </c>
      <c r="F892" s="120">
        <v>0</v>
      </c>
      <c r="G892" s="121">
        <v>68750</v>
      </c>
      <c r="H892" s="123">
        <v>4.1390000000000003E-2</v>
      </c>
      <c r="I892" s="122">
        <v>2845.5625</v>
      </c>
      <c r="J892" s="124">
        <f t="shared" si="13"/>
        <v>41.39</v>
      </c>
      <c r="K892" s="98" t="s">
        <v>4902</v>
      </c>
    </row>
    <row r="893" spans="1:11" ht="15" customHeight="1" x14ac:dyDescent="0.2">
      <c r="A893" s="120" t="s">
        <v>4903</v>
      </c>
      <c r="B893" s="120" t="s">
        <v>3532</v>
      </c>
      <c r="C893" s="98" t="s">
        <v>4856</v>
      </c>
      <c r="D893" s="120" t="s">
        <v>3563</v>
      </c>
      <c r="E893" s="98">
        <v>7</v>
      </c>
      <c r="F893" s="120">
        <v>0</v>
      </c>
      <c r="G893" s="121">
        <v>0</v>
      </c>
      <c r="H893" s="123">
        <v>7</v>
      </c>
      <c r="I893" s="122">
        <v>0</v>
      </c>
      <c r="J893" s="124">
        <f t="shared" si="13"/>
        <v>7000</v>
      </c>
    </row>
    <row r="894" spans="1:11" ht="15" customHeight="1" x14ac:dyDescent="0.2">
      <c r="A894" s="120" t="s">
        <v>4904</v>
      </c>
      <c r="B894" s="120" t="s">
        <v>4905</v>
      </c>
      <c r="C894" s="98" t="s">
        <v>3533</v>
      </c>
      <c r="D894" s="120" t="s">
        <v>3563</v>
      </c>
      <c r="E894" s="98">
        <v>2.0500000000000002E-3</v>
      </c>
      <c r="F894" s="120">
        <v>0</v>
      </c>
      <c r="G894" s="121">
        <v>0</v>
      </c>
      <c r="H894" s="123">
        <v>2.0500000000000002E-3</v>
      </c>
      <c r="I894" s="122">
        <v>0</v>
      </c>
      <c r="J894" s="124">
        <f t="shared" si="13"/>
        <v>2.0500000000000003</v>
      </c>
    </row>
    <row r="895" spans="1:11" ht="15" customHeight="1" x14ac:dyDescent="0.2">
      <c r="A895" s="120" t="s">
        <v>4906</v>
      </c>
      <c r="B895" s="120" t="s">
        <v>4907</v>
      </c>
      <c r="C895" s="98" t="s">
        <v>3533</v>
      </c>
      <c r="D895" s="120" t="s">
        <v>3563</v>
      </c>
      <c r="E895" s="98">
        <v>5.7340000000000004E-3</v>
      </c>
      <c r="F895" s="120">
        <v>0</v>
      </c>
      <c r="G895" s="121">
        <v>0</v>
      </c>
      <c r="H895" s="123">
        <v>5.7340000000000004E-3</v>
      </c>
      <c r="I895" s="122">
        <v>0</v>
      </c>
      <c r="J895" s="124">
        <f t="shared" si="13"/>
        <v>5.734</v>
      </c>
      <c r="K895" s="98" t="s">
        <v>4908</v>
      </c>
    </row>
    <row r="896" spans="1:11" ht="15" customHeight="1" x14ac:dyDescent="0.2">
      <c r="A896" s="120" t="s">
        <v>4909</v>
      </c>
      <c r="B896" s="120" t="s">
        <v>4905</v>
      </c>
      <c r="C896" s="98" t="s">
        <v>3533</v>
      </c>
      <c r="D896" s="120" t="s">
        <v>3563</v>
      </c>
      <c r="E896" s="98">
        <v>2.8739999999999998E-3</v>
      </c>
      <c r="F896" s="120">
        <v>0</v>
      </c>
      <c r="G896" s="121">
        <v>0</v>
      </c>
      <c r="H896" s="123">
        <v>2.8739999999999998E-3</v>
      </c>
      <c r="I896" s="122">
        <v>0</v>
      </c>
      <c r="J896" s="124">
        <f t="shared" si="13"/>
        <v>2.8739999999999997</v>
      </c>
      <c r="K896" s="98" t="s">
        <v>4910</v>
      </c>
    </row>
    <row r="897" spans="1:11" ht="15" customHeight="1" x14ac:dyDescent="0.2">
      <c r="A897" s="120" t="s">
        <v>4911</v>
      </c>
      <c r="B897" s="120" t="s">
        <v>4912</v>
      </c>
      <c r="C897" s="98" t="s">
        <v>3533</v>
      </c>
      <c r="D897" s="120" t="s">
        <v>3563</v>
      </c>
      <c r="E897" s="98">
        <v>1.149E-2</v>
      </c>
      <c r="F897" s="120">
        <v>0</v>
      </c>
      <c r="G897" s="121">
        <v>26325</v>
      </c>
      <c r="H897" s="123">
        <v>1.149E-2</v>
      </c>
      <c r="I897" s="122">
        <v>302.47424999999998</v>
      </c>
      <c r="J897" s="124">
        <f t="shared" si="13"/>
        <v>11.49</v>
      </c>
      <c r="K897" s="98" t="s">
        <v>4913</v>
      </c>
    </row>
    <row r="898" spans="1:11" ht="15" customHeight="1" x14ac:dyDescent="0.2">
      <c r="A898" s="120" t="s">
        <v>4914</v>
      </c>
      <c r="B898" s="120" t="s">
        <v>4915</v>
      </c>
      <c r="C898" s="98" t="s">
        <v>3533</v>
      </c>
      <c r="D898" s="120" t="s">
        <v>3563</v>
      </c>
      <c r="E898" s="98">
        <v>1.0165E-2</v>
      </c>
      <c r="F898" s="120">
        <v>0</v>
      </c>
      <c r="G898" s="121">
        <v>0</v>
      </c>
      <c r="H898" s="123">
        <v>1.0165E-2</v>
      </c>
      <c r="I898" s="122">
        <v>0</v>
      </c>
      <c r="J898" s="124">
        <f t="shared" ref="J898:J961" si="14">IF(D898="gm", E898*1000,+E898)</f>
        <v>10.165000000000001</v>
      </c>
      <c r="K898" s="98" t="s">
        <v>4916</v>
      </c>
    </row>
    <row r="899" spans="1:11" ht="15" customHeight="1" x14ac:dyDescent="0.2">
      <c r="A899" s="120" t="s">
        <v>4917</v>
      </c>
      <c r="B899" s="120" t="s">
        <v>4918</v>
      </c>
      <c r="C899" s="98" t="s">
        <v>3533</v>
      </c>
      <c r="D899" s="120" t="s">
        <v>3563</v>
      </c>
      <c r="E899" s="98">
        <v>1.58E-3</v>
      </c>
      <c r="F899" s="120">
        <v>0</v>
      </c>
      <c r="G899" s="121">
        <v>0</v>
      </c>
      <c r="H899" s="123">
        <v>1.58E-3</v>
      </c>
      <c r="I899" s="122">
        <v>0</v>
      </c>
      <c r="J899" s="124">
        <f t="shared" si="14"/>
        <v>1.58</v>
      </c>
      <c r="K899" s="98" t="s">
        <v>4919</v>
      </c>
    </row>
    <row r="900" spans="1:11" ht="15" customHeight="1" x14ac:dyDescent="0.2">
      <c r="A900" s="120" t="s">
        <v>4920</v>
      </c>
      <c r="B900" s="120" t="s">
        <v>4921</v>
      </c>
      <c r="C900" s="98" t="s">
        <v>3533</v>
      </c>
      <c r="D900" s="120" t="s">
        <v>3563</v>
      </c>
      <c r="E900" s="98">
        <v>3.2699999999999999E-3</v>
      </c>
      <c r="F900" s="120">
        <v>0</v>
      </c>
      <c r="G900" s="121">
        <v>0</v>
      </c>
      <c r="H900" s="123">
        <v>3.2699999999999999E-3</v>
      </c>
      <c r="I900" s="122">
        <v>0</v>
      </c>
      <c r="J900" s="124">
        <f t="shared" si="14"/>
        <v>3.27</v>
      </c>
      <c r="K900" s="98" t="s">
        <v>4922</v>
      </c>
    </row>
    <row r="901" spans="1:11" ht="15" customHeight="1" x14ac:dyDescent="0.2">
      <c r="A901" s="120" t="s">
        <v>4923</v>
      </c>
      <c r="B901" s="120" t="s">
        <v>4924</v>
      </c>
      <c r="C901" s="98" t="s">
        <v>3533</v>
      </c>
      <c r="D901" s="120" t="s">
        <v>3563</v>
      </c>
      <c r="E901" s="98">
        <v>7.4999999999999997E-3</v>
      </c>
      <c r="F901" s="120">
        <v>0</v>
      </c>
      <c r="G901" s="121">
        <v>0</v>
      </c>
      <c r="H901" s="123">
        <v>7.4999999999999997E-3</v>
      </c>
      <c r="I901" s="122">
        <v>0</v>
      </c>
      <c r="J901" s="124">
        <f t="shared" si="14"/>
        <v>7.5</v>
      </c>
      <c r="K901" s="98" t="s">
        <v>4925</v>
      </c>
    </row>
    <row r="902" spans="1:11" ht="15" customHeight="1" x14ac:dyDescent="0.2">
      <c r="A902" s="120" t="s">
        <v>4926</v>
      </c>
      <c r="B902" s="120" t="s">
        <v>4924</v>
      </c>
      <c r="C902" s="98" t="s">
        <v>3533</v>
      </c>
      <c r="D902" s="120" t="s">
        <v>3563</v>
      </c>
      <c r="E902" s="98">
        <v>1.047E-2</v>
      </c>
      <c r="F902" s="120">
        <v>0</v>
      </c>
      <c r="G902" s="121">
        <v>0</v>
      </c>
      <c r="H902" s="123">
        <v>1.047E-2</v>
      </c>
      <c r="I902" s="122">
        <v>0</v>
      </c>
      <c r="J902" s="124">
        <f t="shared" si="14"/>
        <v>10.47</v>
      </c>
      <c r="K902" s="98" t="s">
        <v>4927</v>
      </c>
    </row>
    <row r="903" spans="1:11" ht="15" customHeight="1" x14ac:dyDescent="0.2">
      <c r="A903" s="120" t="s">
        <v>4928</v>
      </c>
      <c r="B903" s="120" t="s">
        <v>4929</v>
      </c>
      <c r="C903" s="98" t="s">
        <v>3533</v>
      </c>
      <c r="D903" s="120" t="s">
        <v>3563</v>
      </c>
      <c r="E903" s="98">
        <v>0.109</v>
      </c>
      <c r="F903" s="120">
        <v>0</v>
      </c>
      <c r="G903" s="121">
        <v>25840</v>
      </c>
      <c r="H903" s="123">
        <v>0.109</v>
      </c>
      <c r="I903" s="122">
        <v>2816.56</v>
      </c>
      <c r="J903" s="124">
        <f t="shared" si="14"/>
        <v>109</v>
      </c>
      <c r="K903" s="98" t="s">
        <v>4930</v>
      </c>
    </row>
    <row r="904" spans="1:11" ht="15" customHeight="1" x14ac:dyDescent="0.2">
      <c r="A904" s="120" t="s">
        <v>4931</v>
      </c>
      <c r="B904" s="120" t="s">
        <v>4929</v>
      </c>
      <c r="C904" s="98" t="s">
        <v>3533</v>
      </c>
      <c r="D904" s="120" t="s">
        <v>3563</v>
      </c>
      <c r="E904" s="98">
        <v>0.109</v>
      </c>
      <c r="F904" s="120">
        <v>0</v>
      </c>
      <c r="G904" s="121">
        <v>0</v>
      </c>
      <c r="H904" s="123">
        <v>0.109</v>
      </c>
      <c r="I904" s="122">
        <v>0</v>
      </c>
      <c r="J904" s="124">
        <f t="shared" si="14"/>
        <v>109</v>
      </c>
      <c r="K904" s="98" t="s">
        <v>4930</v>
      </c>
    </row>
    <row r="905" spans="1:11" ht="15" customHeight="1" x14ac:dyDescent="0.2">
      <c r="A905" s="120" t="s">
        <v>4932</v>
      </c>
      <c r="B905" s="120" t="s">
        <v>3532</v>
      </c>
      <c r="C905" s="98" t="s">
        <v>4856</v>
      </c>
      <c r="D905" s="120" t="s">
        <v>3563</v>
      </c>
      <c r="E905" s="98">
        <v>0</v>
      </c>
      <c r="F905" s="120">
        <v>0</v>
      </c>
      <c r="G905" s="121">
        <v>0</v>
      </c>
      <c r="H905" s="123">
        <v>0</v>
      </c>
      <c r="I905" s="122">
        <v>0</v>
      </c>
      <c r="J905" s="124">
        <f t="shared" si="14"/>
        <v>0</v>
      </c>
    </row>
    <row r="906" spans="1:11" ht="15" customHeight="1" x14ac:dyDescent="0.2">
      <c r="A906" s="120" t="s">
        <v>4933</v>
      </c>
      <c r="B906" s="120" t="s">
        <v>4934</v>
      </c>
      <c r="C906" s="98" t="s">
        <v>3533</v>
      </c>
      <c r="D906" s="120" t="s">
        <v>3563</v>
      </c>
      <c r="E906" s="98">
        <v>1.6799999999999999E-2</v>
      </c>
      <c r="F906" s="120">
        <v>0</v>
      </c>
      <c r="G906" s="121">
        <v>0</v>
      </c>
      <c r="H906" s="123">
        <v>1.6799999999999999E-2</v>
      </c>
      <c r="I906" s="122">
        <v>0</v>
      </c>
      <c r="J906" s="124">
        <f t="shared" si="14"/>
        <v>16.8</v>
      </c>
      <c r="K906" s="98" t="s">
        <v>2466</v>
      </c>
    </row>
    <row r="907" spans="1:11" ht="15" customHeight="1" x14ac:dyDescent="0.2">
      <c r="A907" s="120" t="s">
        <v>4935</v>
      </c>
      <c r="B907" s="120" t="s">
        <v>4934</v>
      </c>
      <c r="C907" s="98" t="s">
        <v>3533</v>
      </c>
      <c r="D907" s="120" t="s">
        <v>3563</v>
      </c>
      <c r="E907" s="98">
        <v>1.444E-2</v>
      </c>
      <c r="F907" s="120">
        <v>0</v>
      </c>
      <c r="G907" s="121">
        <v>0</v>
      </c>
      <c r="H907" s="123">
        <v>1.444E-2</v>
      </c>
      <c r="I907" s="122">
        <v>0</v>
      </c>
      <c r="J907" s="124">
        <f t="shared" si="14"/>
        <v>14.44</v>
      </c>
      <c r="K907" s="98" t="s">
        <v>4936</v>
      </c>
    </row>
    <row r="908" spans="1:11" ht="15" customHeight="1" x14ac:dyDescent="0.2">
      <c r="A908" s="120" t="s">
        <v>4937</v>
      </c>
      <c r="B908" s="120" t="s">
        <v>4866</v>
      </c>
      <c r="C908" s="98" t="s">
        <v>3533</v>
      </c>
      <c r="D908" s="120" t="s">
        <v>3563</v>
      </c>
      <c r="E908" s="98">
        <v>3.6246965699208399E-2</v>
      </c>
      <c r="F908" s="120">
        <v>0</v>
      </c>
      <c r="G908" s="121">
        <v>6600</v>
      </c>
      <c r="H908" s="123">
        <v>3.6247000000000001E-2</v>
      </c>
      <c r="I908" s="122">
        <v>239.2302</v>
      </c>
      <c r="J908" s="124">
        <f t="shared" si="14"/>
        <v>36.246965699208396</v>
      </c>
      <c r="K908" s="98" t="s">
        <v>4938</v>
      </c>
    </row>
    <row r="909" spans="1:11" ht="15" customHeight="1" x14ac:dyDescent="0.2">
      <c r="A909" s="120" t="s">
        <v>4939</v>
      </c>
      <c r="B909" s="120" t="s">
        <v>4940</v>
      </c>
      <c r="C909" s="98" t="s">
        <v>3540</v>
      </c>
      <c r="D909" s="120" t="s">
        <v>3563</v>
      </c>
      <c r="E909" s="98">
        <v>4.3999999999999997E-2</v>
      </c>
      <c r="F909" s="120">
        <v>0</v>
      </c>
      <c r="G909" s="121">
        <v>0</v>
      </c>
      <c r="H909" s="123">
        <v>4.3999999999999997E-2</v>
      </c>
      <c r="I909" s="122">
        <v>0</v>
      </c>
      <c r="J909" s="124">
        <f t="shared" si="14"/>
        <v>44</v>
      </c>
    </row>
    <row r="910" spans="1:11" ht="15" customHeight="1" x14ac:dyDescent="0.2">
      <c r="A910" s="120" t="s">
        <v>4941</v>
      </c>
      <c r="B910" s="120" t="s">
        <v>4701</v>
      </c>
      <c r="C910" s="98" t="s">
        <v>4942</v>
      </c>
      <c r="D910" s="120" t="s">
        <v>3563</v>
      </c>
      <c r="E910" s="98">
        <v>2.3149999999999998E-3</v>
      </c>
      <c r="F910" s="120">
        <v>0</v>
      </c>
      <c r="G910" s="121">
        <v>0</v>
      </c>
      <c r="H910" s="123">
        <v>2.3149999999999998E-3</v>
      </c>
      <c r="I910" s="122">
        <v>0</v>
      </c>
      <c r="J910" s="124">
        <f t="shared" si="14"/>
        <v>2.3149999999999999</v>
      </c>
    </row>
    <row r="911" spans="1:11" ht="15" customHeight="1" x14ac:dyDescent="0.2">
      <c r="A911" s="120" t="s">
        <v>4943</v>
      </c>
      <c r="B911" s="120" t="s">
        <v>4944</v>
      </c>
      <c r="C911" s="98" t="s">
        <v>3540</v>
      </c>
      <c r="D911" s="120" t="s">
        <v>3563</v>
      </c>
      <c r="E911" s="98">
        <v>2.362E-3</v>
      </c>
      <c r="F911" s="120">
        <v>0</v>
      </c>
      <c r="G911" s="121">
        <v>0</v>
      </c>
      <c r="H911" s="123">
        <v>2.362E-3</v>
      </c>
      <c r="I911" s="122">
        <v>0</v>
      </c>
      <c r="J911" s="124">
        <f t="shared" si="14"/>
        <v>2.3620000000000001</v>
      </c>
    </row>
    <row r="912" spans="1:11" ht="15" customHeight="1" x14ac:dyDescent="0.2">
      <c r="A912" s="120" t="s">
        <v>4945</v>
      </c>
      <c r="B912" s="120" t="s">
        <v>4946</v>
      </c>
      <c r="C912" s="98" t="s">
        <v>3533</v>
      </c>
      <c r="D912" s="120" t="s">
        <v>3563</v>
      </c>
      <c r="E912" s="98">
        <v>1.4370000000000001E-2</v>
      </c>
      <c r="F912" s="120">
        <v>0</v>
      </c>
      <c r="G912" s="121">
        <v>0</v>
      </c>
      <c r="H912" s="123">
        <v>1.4370000000000001E-2</v>
      </c>
      <c r="I912" s="122">
        <v>0</v>
      </c>
      <c r="J912" s="124">
        <f t="shared" si="14"/>
        <v>14.370000000000001</v>
      </c>
    </row>
    <row r="913" spans="1:11" ht="15" customHeight="1" x14ac:dyDescent="0.2">
      <c r="A913" s="120" t="s">
        <v>4947</v>
      </c>
      <c r="B913" s="120" t="s">
        <v>4764</v>
      </c>
      <c r="C913" s="98" t="s">
        <v>3540</v>
      </c>
      <c r="D913" s="120" t="s">
        <v>3563</v>
      </c>
      <c r="E913" s="98">
        <v>2.2000000000000001E-3</v>
      </c>
      <c r="F913" s="120">
        <v>0</v>
      </c>
      <c r="G913" s="121">
        <v>0</v>
      </c>
      <c r="H913" s="123">
        <v>2.2000000000000001E-3</v>
      </c>
      <c r="I913" s="122">
        <v>0</v>
      </c>
      <c r="J913" s="124">
        <f t="shared" si="14"/>
        <v>2.2000000000000002</v>
      </c>
    </row>
    <row r="914" spans="1:11" ht="15" customHeight="1" x14ac:dyDescent="0.2">
      <c r="A914" s="120" t="s">
        <v>4948</v>
      </c>
      <c r="B914" s="120" t="s">
        <v>4720</v>
      </c>
      <c r="C914" s="98" t="s">
        <v>3533</v>
      </c>
      <c r="D914" s="120" t="s">
        <v>3563</v>
      </c>
      <c r="E914" s="98">
        <v>3.1940000000000003E-2</v>
      </c>
      <c r="F914" s="120">
        <v>0</v>
      </c>
      <c r="G914" s="121">
        <v>0</v>
      </c>
      <c r="H914" s="123">
        <v>3.1940000000000003E-2</v>
      </c>
      <c r="I914" s="122">
        <v>0</v>
      </c>
      <c r="J914" s="124">
        <f t="shared" si="14"/>
        <v>31.940000000000005</v>
      </c>
    </row>
    <row r="915" spans="1:11" ht="15" customHeight="1" x14ac:dyDescent="0.2">
      <c r="A915" s="120" t="s">
        <v>4949</v>
      </c>
      <c r="B915" s="120" t="s">
        <v>4688</v>
      </c>
      <c r="C915" s="98" t="s">
        <v>4837</v>
      </c>
      <c r="D915" s="120" t="s">
        <v>3563</v>
      </c>
      <c r="E915" s="98">
        <v>0</v>
      </c>
      <c r="F915" s="120">
        <v>0</v>
      </c>
      <c r="G915" s="121">
        <v>0</v>
      </c>
      <c r="H915" s="123">
        <v>0</v>
      </c>
      <c r="I915" s="122">
        <v>0</v>
      </c>
      <c r="J915" s="124">
        <f t="shared" si="14"/>
        <v>0</v>
      </c>
    </row>
    <row r="916" spans="1:11" ht="15" customHeight="1" x14ac:dyDescent="0.2">
      <c r="A916" s="120" t="s">
        <v>4950</v>
      </c>
      <c r="B916" s="120" t="s">
        <v>4688</v>
      </c>
      <c r="C916" s="98" t="s">
        <v>3533</v>
      </c>
      <c r="D916" s="120" t="s">
        <v>3563</v>
      </c>
      <c r="E916" s="98">
        <v>0</v>
      </c>
      <c r="F916" s="120">
        <v>0</v>
      </c>
      <c r="G916" s="121">
        <v>0</v>
      </c>
      <c r="H916" s="123">
        <v>0</v>
      </c>
      <c r="I916" s="122">
        <v>0</v>
      </c>
      <c r="J916" s="124">
        <f t="shared" si="14"/>
        <v>0</v>
      </c>
      <c r="K916" s="98" t="s">
        <v>4951</v>
      </c>
    </row>
    <row r="917" spans="1:11" ht="15" customHeight="1" x14ac:dyDescent="0.2">
      <c r="A917" s="120" t="s">
        <v>4952</v>
      </c>
      <c r="B917" s="120" t="s">
        <v>4688</v>
      </c>
      <c r="C917" s="98" t="s">
        <v>4837</v>
      </c>
      <c r="D917" s="120" t="s">
        <v>3563</v>
      </c>
      <c r="E917" s="98">
        <v>0</v>
      </c>
      <c r="F917" s="120">
        <v>0</v>
      </c>
      <c r="G917" s="121">
        <v>0</v>
      </c>
      <c r="H917" s="123">
        <v>0</v>
      </c>
      <c r="I917" s="122">
        <v>0</v>
      </c>
      <c r="J917" s="124">
        <f t="shared" si="14"/>
        <v>0</v>
      </c>
    </row>
    <row r="918" spans="1:11" ht="15" customHeight="1" x14ac:dyDescent="0.2">
      <c r="A918" s="120" t="s">
        <v>4953</v>
      </c>
      <c r="B918" s="120" t="s">
        <v>4688</v>
      </c>
      <c r="C918" s="98" t="s">
        <v>4837</v>
      </c>
      <c r="D918" s="120" t="s">
        <v>3563</v>
      </c>
      <c r="E918" s="98">
        <v>0</v>
      </c>
      <c r="F918" s="120">
        <v>0</v>
      </c>
      <c r="G918" s="121">
        <v>0</v>
      </c>
      <c r="H918" s="123">
        <v>0</v>
      </c>
      <c r="I918" s="122">
        <v>0</v>
      </c>
      <c r="J918" s="124">
        <f t="shared" si="14"/>
        <v>0</v>
      </c>
    </row>
    <row r="919" spans="1:11" ht="15" customHeight="1" x14ac:dyDescent="0.2">
      <c r="A919" s="120" t="s">
        <v>4954</v>
      </c>
      <c r="B919" s="120" t="s">
        <v>4955</v>
      </c>
      <c r="C919" s="98" t="s">
        <v>3533</v>
      </c>
      <c r="D919" s="120" t="s">
        <v>3563</v>
      </c>
      <c r="E919" s="98">
        <v>4.5339999999999998E-3</v>
      </c>
      <c r="F919" s="120">
        <v>0</v>
      </c>
      <c r="G919" s="121">
        <v>75</v>
      </c>
      <c r="H919" s="123">
        <v>4.5339999999999998E-3</v>
      </c>
      <c r="I919" s="122">
        <v>0.34004999999999996</v>
      </c>
      <c r="J919" s="124">
        <f t="shared" si="14"/>
        <v>4.5339999999999998</v>
      </c>
      <c r="K919" s="98" t="s">
        <v>4956</v>
      </c>
    </row>
    <row r="920" spans="1:11" ht="15" customHeight="1" x14ac:dyDescent="0.2">
      <c r="A920" s="120" t="s">
        <v>4957</v>
      </c>
      <c r="B920" s="120" t="s">
        <v>4955</v>
      </c>
      <c r="C920" s="98" t="s">
        <v>3533</v>
      </c>
      <c r="D920" s="120" t="s">
        <v>3563</v>
      </c>
      <c r="E920" s="98">
        <v>7.3600000000000002E-3</v>
      </c>
      <c r="F920" s="120">
        <v>0</v>
      </c>
      <c r="G920" s="121">
        <v>15</v>
      </c>
      <c r="H920" s="123">
        <v>7.3600000000000002E-3</v>
      </c>
      <c r="I920" s="122">
        <v>0.1104</v>
      </c>
      <c r="J920" s="124">
        <f t="shared" si="14"/>
        <v>7.36</v>
      </c>
      <c r="K920" s="98" t="s">
        <v>4958</v>
      </c>
    </row>
    <row r="921" spans="1:11" ht="15" customHeight="1" x14ac:dyDescent="0.2">
      <c r="A921" s="120" t="s">
        <v>4959</v>
      </c>
      <c r="B921" s="120" t="s">
        <v>4955</v>
      </c>
      <c r="C921" s="98" t="s">
        <v>3533</v>
      </c>
      <c r="D921" s="120" t="s">
        <v>3563</v>
      </c>
      <c r="E921" s="98">
        <v>5.5647000000000002E-2</v>
      </c>
      <c r="F921" s="120">
        <v>0</v>
      </c>
      <c r="G921" s="121">
        <v>0</v>
      </c>
      <c r="H921" s="123">
        <v>5.5647000000000002E-2</v>
      </c>
      <c r="I921" s="122">
        <v>0</v>
      </c>
      <c r="J921" s="124">
        <f t="shared" si="14"/>
        <v>55.647000000000006</v>
      </c>
      <c r="K921" s="98" t="s">
        <v>4960</v>
      </c>
    </row>
    <row r="922" spans="1:11" ht="15" customHeight="1" x14ac:dyDescent="0.2">
      <c r="A922" s="120" t="s">
        <v>4961</v>
      </c>
      <c r="B922" s="120" t="s">
        <v>4562</v>
      </c>
      <c r="C922" s="98" t="s">
        <v>3533</v>
      </c>
      <c r="D922" s="120" t="s">
        <v>3563</v>
      </c>
      <c r="E922" s="98">
        <v>2.9338235294117599E-2</v>
      </c>
      <c r="F922" s="120">
        <v>0</v>
      </c>
      <c r="G922" s="121">
        <v>2485</v>
      </c>
      <c r="H922" s="123">
        <v>2.9337999999999999E-2</v>
      </c>
      <c r="I922" s="122">
        <v>72.904929999999993</v>
      </c>
      <c r="J922" s="124">
        <f t="shared" si="14"/>
        <v>29.338235294117599</v>
      </c>
      <c r="K922" s="98" t="s">
        <v>4962</v>
      </c>
    </row>
    <row r="923" spans="1:11" ht="15" customHeight="1" x14ac:dyDescent="0.2">
      <c r="A923" s="120" t="s">
        <v>4963</v>
      </c>
      <c r="B923" s="120" t="s">
        <v>4873</v>
      </c>
      <c r="C923" s="98" t="s">
        <v>3533</v>
      </c>
      <c r="D923" s="120" t="s">
        <v>3563</v>
      </c>
      <c r="E923" s="98">
        <v>0.03</v>
      </c>
      <c r="F923" s="120">
        <v>0</v>
      </c>
      <c r="G923" s="121">
        <v>0</v>
      </c>
      <c r="H923" s="123">
        <v>0.03</v>
      </c>
      <c r="I923" s="122">
        <v>0</v>
      </c>
      <c r="J923" s="124">
        <f t="shared" si="14"/>
        <v>30</v>
      </c>
      <c r="K923" s="98" t="s">
        <v>4964</v>
      </c>
    </row>
    <row r="924" spans="1:11" ht="15" customHeight="1" x14ac:dyDescent="0.2">
      <c r="A924" s="120" t="s">
        <v>4965</v>
      </c>
      <c r="B924" s="120" t="s">
        <v>4907</v>
      </c>
      <c r="C924" s="98" t="s">
        <v>4942</v>
      </c>
      <c r="D924" s="120" t="s">
        <v>3563</v>
      </c>
      <c r="E924" s="98">
        <v>4.4099999999999999E-3</v>
      </c>
      <c r="F924" s="120">
        <v>0</v>
      </c>
      <c r="G924" s="121">
        <v>0</v>
      </c>
      <c r="H924" s="123">
        <v>4.4099999999999999E-3</v>
      </c>
      <c r="I924" s="122">
        <v>0</v>
      </c>
      <c r="J924" s="124">
        <f t="shared" si="14"/>
        <v>4.41</v>
      </c>
    </row>
    <row r="925" spans="1:11" ht="15" customHeight="1" x14ac:dyDescent="0.2">
      <c r="A925" s="120" t="s">
        <v>4966</v>
      </c>
      <c r="B925" s="120" t="s">
        <v>4967</v>
      </c>
      <c r="C925" s="98" t="s">
        <v>3533</v>
      </c>
      <c r="D925" s="120" t="s">
        <v>3563</v>
      </c>
      <c r="E925" s="98">
        <v>1.9842519685039401E-3</v>
      </c>
      <c r="F925" s="120">
        <v>0</v>
      </c>
      <c r="G925" s="121">
        <v>11255.000001</v>
      </c>
      <c r="H925" s="123">
        <v>1.9840000000000001E-3</v>
      </c>
      <c r="I925" s="122">
        <v>22.329920001984</v>
      </c>
      <c r="J925" s="124">
        <f t="shared" si="14"/>
        <v>1.9842519685039401</v>
      </c>
      <c r="K925" s="98" t="s">
        <v>4968</v>
      </c>
    </row>
    <row r="926" spans="1:11" ht="15" customHeight="1" x14ac:dyDescent="0.2">
      <c r="A926" s="120" t="s">
        <v>4969</v>
      </c>
      <c r="B926" s="120" t="s">
        <v>3532</v>
      </c>
      <c r="C926" s="98" t="s">
        <v>3533</v>
      </c>
      <c r="D926" s="120" t="s">
        <v>3563</v>
      </c>
      <c r="E926" s="98">
        <v>5.372E-3</v>
      </c>
      <c r="F926" s="120">
        <v>0</v>
      </c>
      <c r="G926" s="121">
        <v>4065600</v>
      </c>
      <c r="H926" s="123">
        <v>5.372E-3</v>
      </c>
      <c r="I926" s="122">
        <v>21840.403200000001</v>
      </c>
      <c r="J926" s="124">
        <f t="shared" si="14"/>
        <v>5.3719999999999999</v>
      </c>
    </row>
    <row r="927" spans="1:11" ht="15" customHeight="1" x14ac:dyDescent="0.2">
      <c r="A927" s="120" t="s">
        <v>4970</v>
      </c>
      <c r="B927" s="120" t="s">
        <v>4562</v>
      </c>
      <c r="C927" s="98" t="s">
        <v>3533</v>
      </c>
      <c r="D927" s="120" t="s">
        <v>3563</v>
      </c>
      <c r="E927" s="98">
        <v>2.3E-2</v>
      </c>
      <c r="F927" s="120">
        <v>0</v>
      </c>
      <c r="G927" s="121">
        <v>9.9999999999999995E-7</v>
      </c>
      <c r="H927" s="123">
        <v>2.3E-2</v>
      </c>
      <c r="I927" s="122">
        <v>2.2999999999999998E-8</v>
      </c>
      <c r="J927" s="124">
        <f t="shared" si="14"/>
        <v>23</v>
      </c>
      <c r="K927" s="98" t="s">
        <v>4971</v>
      </c>
    </row>
    <row r="928" spans="1:11" ht="15" customHeight="1" x14ac:dyDescent="0.2">
      <c r="A928" s="120" t="s">
        <v>4972</v>
      </c>
      <c r="B928" s="120" t="s">
        <v>4973</v>
      </c>
      <c r="C928" s="98" t="s">
        <v>3533</v>
      </c>
      <c r="D928" s="120" t="s">
        <v>3563</v>
      </c>
      <c r="E928" s="98">
        <v>4.97757352941176E-2</v>
      </c>
      <c r="F928" s="120">
        <v>0</v>
      </c>
      <c r="G928" s="121">
        <v>1650</v>
      </c>
      <c r="H928" s="123">
        <v>4.9776000000000001E-2</v>
      </c>
      <c r="I928" s="122">
        <v>82.130399999999995</v>
      </c>
      <c r="J928" s="124">
        <f t="shared" si="14"/>
        <v>49.775735294117602</v>
      </c>
      <c r="K928" s="98" t="s">
        <v>4974</v>
      </c>
    </row>
    <row r="929" spans="1:11" ht="15" customHeight="1" x14ac:dyDescent="0.2">
      <c r="A929" s="120" t="s">
        <v>4975</v>
      </c>
      <c r="B929" s="120" t="s">
        <v>4701</v>
      </c>
      <c r="C929" s="98" t="s">
        <v>4942</v>
      </c>
      <c r="D929" s="120" t="s">
        <v>3563</v>
      </c>
      <c r="E929" s="98">
        <v>9.7000000000000003E-3</v>
      </c>
      <c r="F929" s="120">
        <v>0</v>
      </c>
      <c r="G929" s="121">
        <v>0</v>
      </c>
      <c r="H929" s="123">
        <v>9.7000000000000003E-3</v>
      </c>
      <c r="I929" s="122">
        <v>0</v>
      </c>
      <c r="J929" s="124">
        <f t="shared" si="14"/>
        <v>9.7000000000000011</v>
      </c>
    </row>
    <row r="930" spans="1:11" ht="15" customHeight="1" x14ac:dyDescent="0.2">
      <c r="A930" s="120" t="s">
        <v>4976</v>
      </c>
      <c r="B930" s="120" t="s">
        <v>4977</v>
      </c>
      <c r="C930" s="98" t="s">
        <v>3533</v>
      </c>
      <c r="D930" s="120" t="s">
        <v>3563</v>
      </c>
      <c r="E930" s="98">
        <v>2.8660000000000001E-3</v>
      </c>
      <c r="F930" s="120">
        <v>0</v>
      </c>
      <c r="G930" s="121">
        <v>0</v>
      </c>
      <c r="H930" s="123">
        <v>2.8660000000000001E-3</v>
      </c>
      <c r="I930" s="122">
        <v>0</v>
      </c>
      <c r="J930" s="124">
        <f t="shared" si="14"/>
        <v>2.8660000000000001</v>
      </c>
    </row>
    <row r="931" spans="1:11" ht="15" customHeight="1" x14ac:dyDescent="0.2">
      <c r="A931" s="120" t="s">
        <v>4978</v>
      </c>
      <c r="B931" s="120" t="s">
        <v>4979</v>
      </c>
      <c r="C931" s="98" t="s">
        <v>3533</v>
      </c>
      <c r="D931" s="120" t="s">
        <v>3563</v>
      </c>
      <c r="E931" s="98">
        <v>0.65</v>
      </c>
      <c r="F931" s="120">
        <v>0</v>
      </c>
      <c r="G931" s="121">
        <v>0</v>
      </c>
      <c r="H931" s="123">
        <v>0.65</v>
      </c>
      <c r="I931" s="122">
        <v>0</v>
      </c>
      <c r="J931" s="124">
        <f t="shared" si="14"/>
        <v>650</v>
      </c>
    </row>
    <row r="932" spans="1:11" ht="15" customHeight="1" x14ac:dyDescent="0.2">
      <c r="A932" s="120" t="s">
        <v>4980</v>
      </c>
      <c r="B932" s="120" t="s">
        <v>4720</v>
      </c>
      <c r="C932" s="98" t="s">
        <v>3533</v>
      </c>
      <c r="D932" s="120" t="s">
        <v>3563</v>
      </c>
      <c r="E932" s="98">
        <v>3.3480000000000003E-2</v>
      </c>
      <c r="F932" s="120">
        <v>0</v>
      </c>
      <c r="G932" s="121">
        <v>0</v>
      </c>
      <c r="H932" s="123">
        <v>3.3480000000000003E-2</v>
      </c>
      <c r="I932" s="122">
        <v>0</v>
      </c>
      <c r="J932" s="124">
        <f t="shared" si="14"/>
        <v>33.480000000000004</v>
      </c>
    </row>
    <row r="933" spans="1:11" ht="15" customHeight="1" x14ac:dyDescent="0.2">
      <c r="A933" s="120" t="s">
        <v>4981</v>
      </c>
      <c r="B933" s="120" t="s">
        <v>4701</v>
      </c>
      <c r="C933" s="98" t="s">
        <v>3533</v>
      </c>
      <c r="D933" s="120" t="s">
        <v>3563</v>
      </c>
      <c r="E933" s="98">
        <v>1.4409999999999999E-2</v>
      </c>
      <c r="F933" s="120">
        <v>0</v>
      </c>
      <c r="G933" s="121">
        <v>50000</v>
      </c>
      <c r="H933" s="123">
        <v>1.4409999999999999E-2</v>
      </c>
      <c r="I933" s="122">
        <v>720.5</v>
      </c>
      <c r="J933" s="124">
        <f t="shared" si="14"/>
        <v>14.409999999999998</v>
      </c>
    </row>
    <row r="934" spans="1:11" ht="15" customHeight="1" x14ac:dyDescent="0.2">
      <c r="A934" s="120" t="s">
        <v>4982</v>
      </c>
      <c r="B934" s="120" t="s">
        <v>4701</v>
      </c>
      <c r="C934" s="98" t="s">
        <v>3533</v>
      </c>
      <c r="D934" s="120" t="s">
        <v>3563</v>
      </c>
      <c r="E934" s="98">
        <v>3.31E-3</v>
      </c>
      <c r="F934" s="120">
        <v>0</v>
      </c>
      <c r="G934" s="121">
        <v>0</v>
      </c>
      <c r="H934" s="123">
        <v>3.31E-3</v>
      </c>
      <c r="I934" s="122">
        <v>0</v>
      </c>
      <c r="J934" s="124">
        <f t="shared" si="14"/>
        <v>3.31</v>
      </c>
    </row>
    <row r="935" spans="1:11" ht="15" customHeight="1" x14ac:dyDescent="0.2">
      <c r="A935" s="120" t="s">
        <v>4983</v>
      </c>
      <c r="B935" s="120" t="s">
        <v>4984</v>
      </c>
      <c r="C935" s="98" t="s">
        <v>3533</v>
      </c>
      <c r="D935" s="120" t="s">
        <v>3563</v>
      </c>
      <c r="E935" s="98">
        <v>1.6</v>
      </c>
      <c r="F935" s="120">
        <v>0</v>
      </c>
      <c r="G935" s="121">
        <v>0</v>
      </c>
      <c r="H935" s="123">
        <v>1.6</v>
      </c>
      <c r="I935" s="122">
        <v>0</v>
      </c>
      <c r="J935" s="124">
        <f t="shared" si="14"/>
        <v>1600</v>
      </c>
    </row>
    <row r="936" spans="1:11" ht="15" customHeight="1" x14ac:dyDescent="0.2">
      <c r="A936" s="120" t="s">
        <v>4985</v>
      </c>
      <c r="B936" s="120" t="s">
        <v>4984</v>
      </c>
      <c r="C936" s="98" t="s">
        <v>3533</v>
      </c>
      <c r="D936" s="120" t="s">
        <v>3563</v>
      </c>
      <c r="E936" s="98">
        <v>1.6</v>
      </c>
      <c r="F936" s="120">
        <v>0</v>
      </c>
      <c r="G936" s="121">
        <v>0</v>
      </c>
      <c r="H936" s="123">
        <v>1.6</v>
      </c>
      <c r="I936" s="122">
        <v>0</v>
      </c>
      <c r="J936" s="124">
        <f t="shared" si="14"/>
        <v>1600</v>
      </c>
    </row>
    <row r="937" spans="1:11" ht="15" customHeight="1" x14ac:dyDescent="0.2">
      <c r="A937" s="120" t="s">
        <v>4986</v>
      </c>
      <c r="B937" s="120" t="s">
        <v>4984</v>
      </c>
      <c r="C937" s="98" t="s">
        <v>3532</v>
      </c>
      <c r="D937" s="120" t="s">
        <v>3563</v>
      </c>
      <c r="E937" s="98">
        <v>1.6</v>
      </c>
      <c r="F937" s="120">
        <v>0</v>
      </c>
      <c r="G937" s="121">
        <v>0</v>
      </c>
      <c r="H937" s="123">
        <v>1.6</v>
      </c>
      <c r="I937" s="122">
        <v>0</v>
      </c>
      <c r="J937" s="124">
        <f t="shared" si="14"/>
        <v>1600</v>
      </c>
    </row>
    <row r="938" spans="1:11" ht="15" customHeight="1" x14ac:dyDescent="0.2">
      <c r="A938" s="120" t="s">
        <v>4987</v>
      </c>
      <c r="B938" s="120" t="s">
        <v>4988</v>
      </c>
      <c r="C938" s="98" t="s">
        <v>3533</v>
      </c>
      <c r="D938" s="120" t="s">
        <v>3563</v>
      </c>
      <c r="E938" s="98">
        <v>0</v>
      </c>
      <c r="F938" s="120">
        <v>0</v>
      </c>
      <c r="G938" s="121">
        <v>0</v>
      </c>
      <c r="H938" s="123">
        <v>0</v>
      </c>
      <c r="I938" s="122">
        <v>0</v>
      </c>
      <c r="J938" s="124">
        <f t="shared" si="14"/>
        <v>0</v>
      </c>
    </row>
    <row r="939" spans="1:11" ht="15" customHeight="1" x14ac:dyDescent="0.2">
      <c r="A939" s="120" t="s">
        <v>4989</v>
      </c>
      <c r="B939" s="120" t="s">
        <v>4990</v>
      </c>
      <c r="C939" s="98" t="s">
        <v>3533</v>
      </c>
      <c r="D939" s="120" t="s">
        <v>3563</v>
      </c>
      <c r="E939" s="98">
        <v>0</v>
      </c>
      <c r="F939" s="120">
        <v>0</v>
      </c>
      <c r="G939" s="121">
        <v>0</v>
      </c>
      <c r="H939" s="123">
        <v>0</v>
      </c>
      <c r="I939" s="122">
        <v>0</v>
      </c>
      <c r="J939" s="124">
        <f t="shared" si="14"/>
        <v>0</v>
      </c>
      <c r="K939" s="98" t="s">
        <v>4991</v>
      </c>
    </row>
    <row r="940" spans="1:11" ht="15" customHeight="1" x14ac:dyDescent="0.2">
      <c r="A940" s="120" t="s">
        <v>4992</v>
      </c>
      <c r="B940" s="120" t="s">
        <v>4720</v>
      </c>
      <c r="C940" s="98" t="s">
        <v>3533</v>
      </c>
      <c r="D940" s="120" t="s">
        <v>3563</v>
      </c>
      <c r="E940" s="98">
        <v>3.3286999999999997E-2</v>
      </c>
      <c r="F940" s="120">
        <v>0</v>
      </c>
      <c r="G940" s="121">
        <v>0</v>
      </c>
      <c r="H940" s="123">
        <v>3.3286999999999997E-2</v>
      </c>
      <c r="I940" s="122">
        <v>0</v>
      </c>
      <c r="J940" s="124">
        <f t="shared" si="14"/>
        <v>33.286999999999999</v>
      </c>
      <c r="K940" s="98" t="s">
        <v>4993</v>
      </c>
    </row>
    <row r="941" spans="1:11" ht="15" customHeight="1" x14ac:dyDescent="0.2">
      <c r="A941" s="120" t="s">
        <v>4994</v>
      </c>
      <c r="B941" s="120" t="s">
        <v>4562</v>
      </c>
      <c r="C941" s="98" t="s">
        <v>3533</v>
      </c>
      <c r="D941" s="120" t="s">
        <v>3563</v>
      </c>
      <c r="E941" s="98">
        <v>5.8139534883720895E-2</v>
      </c>
      <c r="F941" s="120">
        <v>0</v>
      </c>
      <c r="G941" s="121">
        <v>740</v>
      </c>
      <c r="H941" s="123">
        <v>5.8139999999999997E-2</v>
      </c>
      <c r="I941" s="122">
        <v>43.023599999999995</v>
      </c>
      <c r="J941" s="124">
        <f t="shared" si="14"/>
        <v>58.139534883720891</v>
      </c>
      <c r="K941" s="98" t="s">
        <v>4995</v>
      </c>
    </row>
    <row r="942" spans="1:11" ht="15" customHeight="1" x14ac:dyDescent="0.2">
      <c r="A942" s="120" t="s">
        <v>4996</v>
      </c>
      <c r="B942" s="120" t="s">
        <v>4997</v>
      </c>
      <c r="C942" s="98" t="s">
        <v>3533</v>
      </c>
      <c r="D942" s="120" t="s">
        <v>3563</v>
      </c>
      <c r="E942" s="98">
        <v>6.7510000000000001E-3</v>
      </c>
      <c r="F942" s="120">
        <v>0</v>
      </c>
      <c r="G942" s="121">
        <v>146575</v>
      </c>
      <c r="H942" s="123">
        <v>6.7510000000000001E-3</v>
      </c>
      <c r="I942" s="122">
        <v>989.52782500000001</v>
      </c>
      <c r="J942" s="124">
        <f t="shared" si="14"/>
        <v>6.7510000000000003</v>
      </c>
      <c r="K942" s="98" t="s">
        <v>4998</v>
      </c>
    </row>
    <row r="943" spans="1:11" ht="15" customHeight="1" x14ac:dyDescent="0.2">
      <c r="A943" s="120" t="s">
        <v>4999</v>
      </c>
      <c r="B943" s="120" t="s">
        <v>5000</v>
      </c>
      <c r="C943" s="98" t="s">
        <v>3533</v>
      </c>
      <c r="D943" s="120" t="s">
        <v>3563</v>
      </c>
      <c r="E943" s="98">
        <v>0.5</v>
      </c>
      <c r="F943" s="120">
        <v>0</v>
      </c>
      <c r="G943" s="121">
        <v>1027</v>
      </c>
      <c r="H943" s="123">
        <v>0.5</v>
      </c>
      <c r="I943" s="122">
        <v>513.5</v>
      </c>
      <c r="J943" s="124">
        <f t="shared" si="14"/>
        <v>500</v>
      </c>
      <c r="K943" s="98" t="s">
        <v>5001</v>
      </c>
    </row>
    <row r="944" spans="1:11" ht="15" customHeight="1" x14ac:dyDescent="0.2">
      <c r="A944" s="120" t="s">
        <v>5002</v>
      </c>
      <c r="B944" s="120" t="s">
        <v>5000</v>
      </c>
      <c r="C944" s="98" t="s">
        <v>3533</v>
      </c>
      <c r="D944" s="120" t="s">
        <v>3563</v>
      </c>
      <c r="E944" s="98">
        <v>0.75</v>
      </c>
      <c r="F944" s="120">
        <v>0</v>
      </c>
      <c r="G944" s="121">
        <v>0</v>
      </c>
      <c r="H944" s="123">
        <v>0.75</v>
      </c>
      <c r="I944" s="122">
        <v>0</v>
      </c>
      <c r="J944" s="124">
        <f t="shared" si="14"/>
        <v>750</v>
      </c>
      <c r="K944" s="98" t="s">
        <v>5003</v>
      </c>
    </row>
    <row r="945" spans="1:11" ht="15" customHeight="1" x14ac:dyDescent="0.2">
      <c r="A945" s="120" t="s">
        <v>5004</v>
      </c>
      <c r="B945" s="120" t="s">
        <v>5005</v>
      </c>
      <c r="C945" s="98" t="s">
        <v>3533</v>
      </c>
      <c r="D945" s="120" t="s">
        <v>3563</v>
      </c>
      <c r="E945" s="98">
        <v>0</v>
      </c>
      <c r="F945" s="120">
        <v>0</v>
      </c>
      <c r="G945" s="121">
        <v>0</v>
      </c>
      <c r="H945" s="123">
        <v>0</v>
      </c>
      <c r="I945" s="122">
        <v>0</v>
      </c>
      <c r="J945" s="124">
        <f t="shared" si="14"/>
        <v>0</v>
      </c>
    </row>
    <row r="946" spans="1:11" ht="15" customHeight="1" x14ac:dyDescent="0.2">
      <c r="A946" s="120" t="s">
        <v>5006</v>
      </c>
      <c r="B946" s="120" t="s">
        <v>5005</v>
      </c>
      <c r="C946" s="98" t="s">
        <v>3533</v>
      </c>
      <c r="D946" s="120" t="s">
        <v>3563</v>
      </c>
      <c r="E946" s="98">
        <v>0.25</v>
      </c>
      <c r="F946" s="120">
        <v>0</v>
      </c>
      <c r="G946" s="121">
        <v>1995</v>
      </c>
      <c r="H946" s="123">
        <v>0.25</v>
      </c>
      <c r="I946" s="122">
        <v>498.75</v>
      </c>
      <c r="J946" s="124">
        <f t="shared" si="14"/>
        <v>250</v>
      </c>
    </row>
    <row r="947" spans="1:11" ht="15" customHeight="1" x14ac:dyDescent="0.2">
      <c r="A947" s="120" t="s">
        <v>5007</v>
      </c>
      <c r="B947" s="120" t="s">
        <v>5008</v>
      </c>
      <c r="C947" s="98" t="s">
        <v>3533</v>
      </c>
      <c r="D947" s="120" t="s">
        <v>3563</v>
      </c>
      <c r="E947" s="98">
        <v>0.9</v>
      </c>
      <c r="F947" s="120">
        <v>0</v>
      </c>
      <c r="G947" s="121">
        <v>0</v>
      </c>
      <c r="H947" s="123">
        <v>0.9</v>
      </c>
      <c r="I947" s="122">
        <v>0</v>
      </c>
      <c r="J947" s="124">
        <f t="shared" si="14"/>
        <v>900</v>
      </c>
    </row>
    <row r="948" spans="1:11" ht="15" customHeight="1" x14ac:dyDescent="0.2">
      <c r="A948" s="120" t="s">
        <v>5009</v>
      </c>
      <c r="B948" s="120" t="s">
        <v>4997</v>
      </c>
      <c r="C948" s="98" t="s">
        <v>3533</v>
      </c>
      <c r="D948" s="120" t="s">
        <v>3563</v>
      </c>
      <c r="E948" s="98">
        <v>3.4036939313984202E-2</v>
      </c>
      <c r="F948" s="120">
        <v>0</v>
      </c>
      <c r="G948" s="121">
        <v>33605</v>
      </c>
      <c r="H948" s="123">
        <v>3.4036999999999998E-2</v>
      </c>
      <c r="I948" s="122">
        <v>1143.8133849999999</v>
      </c>
      <c r="J948" s="124">
        <f t="shared" si="14"/>
        <v>34.036939313984199</v>
      </c>
      <c r="K948" s="98" t="s">
        <v>5010</v>
      </c>
    </row>
    <row r="949" spans="1:11" ht="15" customHeight="1" x14ac:dyDescent="0.2">
      <c r="A949" s="120" t="s">
        <v>5011</v>
      </c>
      <c r="B949" s="120" t="s">
        <v>5000</v>
      </c>
      <c r="C949" s="98" t="s">
        <v>3533</v>
      </c>
      <c r="D949" s="120" t="s">
        <v>3563</v>
      </c>
      <c r="E949" s="98">
        <v>0.75</v>
      </c>
      <c r="F949" s="120">
        <v>0</v>
      </c>
      <c r="G949" s="121">
        <v>11144</v>
      </c>
      <c r="H949" s="123">
        <v>0.75</v>
      </c>
      <c r="I949" s="122">
        <v>8358</v>
      </c>
      <c r="J949" s="124">
        <f t="shared" si="14"/>
        <v>750</v>
      </c>
      <c r="K949" s="98" t="s">
        <v>5012</v>
      </c>
    </row>
    <row r="950" spans="1:11" ht="15" customHeight="1" x14ac:dyDescent="0.2">
      <c r="A950" s="120" t="s">
        <v>5013</v>
      </c>
      <c r="B950" s="120" t="s">
        <v>4984</v>
      </c>
      <c r="C950" s="98" t="s">
        <v>3533</v>
      </c>
      <c r="D950" s="120" t="s">
        <v>3563</v>
      </c>
      <c r="E950" s="98">
        <v>0.8</v>
      </c>
      <c r="F950" s="120">
        <v>10000</v>
      </c>
      <c r="G950" s="121">
        <v>0</v>
      </c>
      <c r="H950" s="123">
        <v>0.8</v>
      </c>
      <c r="I950" s="122">
        <v>0</v>
      </c>
      <c r="J950" s="124">
        <f t="shared" si="14"/>
        <v>800</v>
      </c>
    </row>
    <row r="951" spans="1:11" ht="15" customHeight="1" x14ac:dyDescent="0.2">
      <c r="A951" s="120" t="s">
        <v>5014</v>
      </c>
      <c r="B951" s="120" t="s">
        <v>5015</v>
      </c>
      <c r="C951" s="98" t="s">
        <v>3532</v>
      </c>
      <c r="D951" s="120" t="s">
        <v>3563</v>
      </c>
      <c r="E951" s="98">
        <v>0</v>
      </c>
      <c r="F951" s="120">
        <v>0</v>
      </c>
      <c r="G951" s="121">
        <v>0</v>
      </c>
      <c r="H951" s="123">
        <v>0</v>
      </c>
      <c r="I951" s="122">
        <v>0</v>
      </c>
      <c r="J951" s="124">
        <f t="shared" si="14"/>
        <v>0</v>
      </c>
    </row>
    <row r="952" spans="1:11" ht="15" customHeight="1" x14ac:dyDescent="0.2">
      <c r="A952" s="120" t="s">
        <v>5016</v>
      </c>
      <c r="B952" s="120" t="s">
        <v>4720</v>
      </c>
      <c r="C952" s="98" t="s">
        <v>3533</v>
      </c>
      <c r="D952" s="120" t="s">
        <v>3563</v>
      </c>
      <c r="E952" s="98">
        <v>3.8577154308617197E-2</v>
      </c>
      <c r="F952" s="120">
        <v>0</v>
      </c>
      <c r="G952" s="121">
        <v>13000</v>
      </c>
      <c r="H952" s="123">
        <v>3.8577E-2</v>
      </c>
      <c r="I952" s="122">
        <v>501.50099999999998</v>
      </c>
      <c r="J952" s="124">
        <f t="shared" si="14"/>
        <v>38.577154308617196</v>
      </c>
      <c r="K952" s="98" t="s">
        <v>5017</v>
      </c>
    </row>
    <row r="953" spans="1:11" ht="15" customHeight="1" x14ac:dyDescent="0.2">
      <c r="A953" s="120" t="s">
        <v>5018</v>
      </c>
      <c r="B953" s="120" t="s">
        <v>4984</v>
      </c>
      <c r="C953" s="98" t="s">
        <v>3533</v>
      </c>
      <c r="D953" s="120" t="s">
        <v>3563</v>
      </c>
      <c r="E953" s="98">
        <v>0</v>
      </c>
      <c r="F953" s="120">
        <v>0</v>
      </c>
      <c r="G953" s="121">
        <v>0</v>
      </c>
      <c r="H953" s="123">
        <v>0</v>
      </c>
      <c r="I953" s="122">
        <v>0</v>
      </c>
      <c r="J953" s="124">
        <f t="shared" si="14"/>
        <v>0</v>
      </c>
    </row>
    <row r="954" spans="1:11" ht="15" customHeight="1" x14ac:dyDescent="0.2">
      <c r="A954" s="120" t="s">
        <v>5019</v>
      </c>
      <c r="B954" s="120" t="s">
        <v>4984</v>
      </c>
      <c r="C954" s="98" t="s">
        <v>3533</v>
      </c>
      <c r="D954" s="120" t="s">
        <v>3563</v>
      </c>
      <c r="E954" s="98">
        <v>0</v>
      </c>
      <c r="F954" s="120">
        <v>0</v>
      </c>
      <c r="G954" s="121">
        <v>0</v>
      </c>
      <c r="H954" s="123">
        <v>0</v>
      </c>
      <c r="I954" s="122">
        <v>0</v>
      </c>
      <c r="J954" s="124">
        <f t="shared" si="14"/>
        <v>0</v>
      </c>
    </row>
    <row r="955" spans="1:11" ht="15" customHeight="1" x14ac:dyDescent="0.2">
      <c r="A955" s="120" t="s">
        <v>5020</v>
      </c>
      <c r="B955" s="120" t="s">
        <v>5021</v>
      </c>
      <c r="C955" s="98" t="s">
        <v>3533</v>
      </c>
      <c r="D955" s="120" t="s">
        <v>3563</v>
      </c>
      <c r="E955" s="98">
        <v>4.7671499999999999E-2</v>
      </c>
      <c r="F955" s="120">
        <v>0</v>
      </c>
      <c r="G955" s="121">
        <v>19550</v>
      </c>
      <c r="H955" s="123">
        <v>4.7671999999999999E-2</v>
      </c>
      <c r="I955" s="122">
        <v>931.98759999999993</v>
      </c>
      <c r="J955" s="124">
        <f t="shared" si="14"/>
        <v>47.671500000000002</v>
      </c>
      <c r="K955" s="98" t="s">
        <v>5022</v>
      </c>
    </row>
    <row r="956" spans="1:11" ht="15" customHeight="1" x14ac:dyDescent="0.2">
      <c r="A956" s="120" t="s">
        <v>5023</v>
      </c>
      <c r="B956" s="120" t="s">
        <v>4720</v>
      </c>
      <c r="C956" s="98" t="s">
        <v>3533</v>
      </c>
      <c r="D956" s="120" t="s">
        <v>3563</v>
      </c>
      <c r="E956" s="98">
        <v>0</v>
      </c>
      <c r="F956" s="120">
        <v>0</v>
      </c>
      <c r="G956" s="121">
        <v>0</v>
      </c>
      <c r="H956" s="123">
        <v>0</v>
      </c>
      <c r="I956" s="122">
        <v>0</v>
      </c>
      <c r="J956" s="124">
        <f t="shared" si="14"/>
        <v>0</v>
      </c>
      <c r="K956" s="98" t="s">
        <v>5024</v>
      </c>
    </row>
    <row r="957" spans="1:11" ht="15" customHeight="1" x14ac:dyDescent="0.2">
      <c r="A957" s="120" t="s">
        <v>5025</v>
      </c>
      <c r="B957" s="120" t="s">
        <v>4720</v>
      </c>
      <c r="C957" s="98" t="s">
        <v>3533</v>
      </c>
      <c r="D957" s="120" t="s">
        <v>3563</v>
      </c>
      <c r="E957" s="98">
        <v>0</v>
      </c>
      <c r="F957" s="120">
        <v>0</v>
      </c>
      <c r="G957" s="121">
        <v>0</v>
      </c>
      <c r="H957" s="123">
        <v>0</v>
      </c>
      <c r="I957" s="122">
        <v>0</v>
      </c>
      <c r="J957" s="124">
        <f t="shared" si="14"/>
        <v>0</v>
      </c>
      <c r="K957" s="98" t="s">
        <v>5024</v>
      </c>
    </row>
    <row r="958" spans="1:11" ht="15" customHeight="1" x14ac:dyDescent="0.2">
      <c r="A958" s="120" t="s">
        <v>5026</v>
      </c>
      <c r="B958" s="120" t="s">
        <v>4720</v>
      </c>
      <c r="C958" s="98" t="s">
        <v>3533</v>
      </c>
      <c r="D958" s="120" t="s">
        <v>3563</v>
      </c>
      <c r="E958" s="98">
        <v>0</v>
      </c>
      <c r="F958" s="120">
        <v>0</v>
      </c>
      <c r="G958" s="121">
        <v>0</v>
      </c>
      <c r="H958" s="123">
        <v>0</v>
      </c>
      <c r="I958" s="122">
        <v>0</v>
      </c>
      <c r="J958" s="124">
        <f t="shared" si="14"/>
        <v>0</v>
      </c>
      <c r="K958" s="98" t="s">
        <v>5024</v>
      </c>
    </row>
    <row r="959" spans="1:11" ht="15" customHeight="1" x14ac:dyDescent="0.2">
      <c r="A959" s="120" t="s">
        <v>5027</v>
      </c>
      <c r="B959" s="120" t="s">
        <v>4720</v>
      </c>
      <c r="C959" s="98" t="s">
        <v>3533</v>
      </c>
      <c r="D959" s="120" t="s">
        <v>3563</v>
      </c>
      <c r="E959" s="98">
        <v>0</v>
      </c>
      <c r="F959" s="120">
        <v>0</v>
      </c>
      <c r="G959" s="121">
        <v>0</v>
      </c>
      <c r="H959" s="123">
        <v>0</v>
      </c>
      <c r="I959" s="122">
        <v>0</v>
      </c>
      <c r="J959" s="124">
        <f t="shared" si="14"/>
        <v>0</v>
      </c>
      <c r="K959" s="98" t="s">
        <v>5024</v>
      </c>
    </row>
    <row r="960" spans="1:11" ht="15" customHeight="1" x14ac:dyDescent="0.2">
      <c r="A960" s="120" t="s">
        <v>5028</v>
      </c>
      <c r="B960" s="120" t="s">
        <v>4879</v>
      </c>
      <c r="C960" s="98" t="s">
        <v>3533</v>
      </c>
      <c r="D960" s="120" t="s">
        <v>3563</v>
      </c>
      <c r="E960" s="98">
        <v>0</v>
      </c>
      <c r="F960" s="120">
        <v>0</v>
      </c>
      <c r="G960" s="121">
        <v>0</v>
      </c>
      <c r="H960" s="123">
        <v>0</v>
      </c>
      <c r="I960" s="122">
        <v>0</v>
      </c>
      <c r="J960" s="124">
        <f t="shared" si="14"/>
        <v>0</v>
      </c>
      <c r="K960" s="98" t="s">
        <v>5029</v>
      </c>
    </row>
    <row r="961" spans="1:11" ht="15" customHeight="1" x14ac:dyDescent="0.2">
      <c r="A961" s="120" t="s">
        <v>5030</v>
      </c>
      <c r="B961" s="120" t="s">
        <v>4720</v>
      </c>
      <c r="C961" s="98" t="s">
        <v>3533</v>
      </c>
      <c r="D961" s="120" t="s">
        <v>3563</v>
      </c>
      <c r="E961" s="98">
        <v>0</v>
      </c>
      <c r="F961" s="120">
        <v>0</v>
      </c>
      <c r="G961" s="121">
        <v>0</v>
      </c>
      <c r="H961" s="123">
        <v>0</v>
      </c>
      <c r="I961" s="122">
        <v>0</v>
      </c>
      <c r="J961" s="124">
        <f t="shared" si="14"/>
        <v>0</v>
      </c>
      <c r="K961" s="98" t="s">
        <v>5024</v>
      </c>
    </row>
    <row r="962" spans="1:11" ht="15" customHeight="1" x14ac:dyDescent="0.2">
      <c r="A962" s="120" t="s">
        <v>5031</v>
      </c>
      <c r="B962" s="120" t="s">
        <v>4720</v>
      </c>
      <c r="C962" s="98" t="s">
        <v>3533</v>
      </c>
      <c r="D962" s="120" t="s">
        <v>3563</v>
      </c>
      <c r="E962" s="98">
        <v>0</v>
      </c>
      <c r="F962" s="120">
        <v>0</v>
      </c>
      <c r="G962" s="121">
        <v>0</v>
      </c>
      <c r="H962" s="123">
        <v>0</v>
      </c>
      <c r="I962" s="122">
        <v>0</v>
      </c>
      <c r="J962" s="124">
        <f t="shared" ref="J962:J1025" si="15">IF(D962="gm", E962*1000,+E962)</f>
        <v>0</v>
      </c>
      <c r="K962" s="98" t="s">
        <v>5024</v>
      </c>
    </row>
    <row r="963" spans="1:11" ht="15" customHeight="1" x14ac:dyDescent="0.2">
      <c r="A963" s="120" t="s">
        <v>5032</v>
      </c>
      <c r="B963" s="120" t="s">
        <v>5033</v>
      </c>
      <c r="C963" s="98" t="s">
        <v>3533</v>
      </c>
      <c r="D963" s="120" t="s">
        <v>3563</v>
      </c>
      <c r="E963" s="98">
        <v>0</v>
      </c>
      <c r="F963" s="120">
        <v>0</v>
      </c>
      <c r="G963" s="121">
        <v>0</v>
      </c>
      <c r="H963" s="123">
        <v>0</v>
      </c>
      <c r="I963" s="122">
        <v>0</v>
      </c>
      <c r="J963" s="124">
        <f t="shared" si="15"/>
        <v>0</v>
      </c>
      <c r="K963" s="98" t="s">
        <v>5034</v>
      </c>
    </row>
    <row r="964" spans="1:11" ht="15" customHeight="1" x14ac:dyDescent="0.2">
      <c r="A964" s="120" t="s">
        <v>5035</v>
      </c>
      <c r="B964" s="120" t="s">
        <v>4879</v>
      </c>
      <c r="C964" s="98" t="s">
        <v>3533</v>
      </c>
      <c r="D964" s="120" t="s">
        <v>3563</v>
      </c>
      <c r="E964" s="98">
        <v>0</v>
      </c>
      <c r="F964" s="120">
        <v>0</v>
      </c>
      <c r="G964" s="121">
        <v>0</v>
      </c>
      <c r="H964" s="123">
        <v>0</v>
      </c>
      <c r="I964" s="122">
        <v>0</v>
      </c>
      <c r="J964" s="124">
        <f t="shared" si="15"/>
        <v>0</v>
      </c>
      <c r="K964" s="98" t="s">
        <v>5036</v>
      </c>
    </row>
    <row r="965" spans="1:11" ht="15" customHeight="1" x14ac:dyDescent="0.2">
      <c r="A965" s="120" t="s">
        <v>5037</v>
      </c>
      <c r="B965" s="120" t="s">
        <v>4984</v>
      </c>
      <c r="C965" s="98" t="s">
        <v>3533</v>
      </c>
      <c r="D965" s="120" t="s">
        <v>3563</v>
      </c>
      <c r="E965" s="98">
        <v>0.8</v>
      </c>
      <c r="F965" s="120">
        <v>0</v>
      </c>
      <c r="G965" s="121">
        <v>10000</v>
      </c>
      <c r="H965" s="123">
        <v>0.8</v>
      </c>
      <c r="I965" s="122">
        <v>8000</v>
      </c>
      <c r="J965" s="124">
        <f t="shared" si="15"/>
        <v>800</v>
      </c>
    </row>
    <row r="966" spans="1:11" ht="15" customHeight="1" x14ac:dyDescent="0.2">
      <c r="A966" s="120" t="s">
        <v>5038</v>
      </c>
      <c r="B966" s="120" t="s">
        <v>4562</v>
      </c>
      <c r="C966" s="98" t="s">
        <v>3533</v>
      </c>
      <c r="D966" s="120" t="s">
        <v>3563</v>
      </c>
      <c r="E966" s="98">
        <v>3.0499999999999999E-2</v>
      </c>
      <c r="F966" s="120">
        <v>0</v>
      </c>
      <c r="G966" s="121">
        <v>2420</v>
      </c>
      <c r="H966" s="123">
        <v>3.0499999999999999E-2</v>
      </c>
      <c r="I966" s="122">
        <v>73.81</v>
      </c>
      <c r="J966" s="124">
        <f t="shared" si="15"/>
        <v>30.5</v>
      </c>
      <c r="K966" s="98" t="s">
        <v>5039</v>
      </c>
    </row>
    <row r="967" spans="1:11" ht="15" customHeight="1" x14ac:dyDescent="0.2">
      <c r="A967" s="120" t="s">
        <v>5040</v>
      </c>
      <c r="B967" s="120" t="s">
        <v>4984</v>
      </c>
      <c r="C967" s="98" t="s">
        <v>3533</v>
      </c>
      <c r="D967" s="120" t="s">
        <v>3563</v>
      </c>
      <c r="E967" s="98">
        <v>0.8</v>
      </c>
      <c r="F967" s="120">
        <v>0</v>
      </c>
      <c r="G967" s="121">
        <v>9335</v>
      </c>
      <c r="H967" s="123">
        <v>0.8</v>
      </c>
      <c r="I967" s="122">
        <v>7468</v>
      </c>
      <c r="J967" s="124">
        <f t="shared" si="15"/>
        <v>800</v>
      </c>
    </row>
    <row r="968" spans="1:11" ht="15" customHeight="1" x14ac:dyDescent="0.2">
      <c r="A968" s="120" t="s">
        <v>5041</v>
      </c>
      <c r="B968" s="120" t="s">
        <v>4890</v>
      </c>
      <c r="C968" s="98" t="s">
        <v>3533</v>
      </c>
      <c r="D968" s="120" t="s">
        <v>3563</v>
      </c>
      <c r="E968" s="98">
        <v>0.25555555555555598</v>
      </c>
      <c r="F968" s="120">
        <v>0</v>
      </c>
      <c r="G968" s="121">
        <v>0</v>
      </c>
      <c r="H968" s="123">
        <v>0.25555600000000001</v>
      </c>
      <c r="I968" s="122">
        <v>0</v>
      </c>
      <c r="J968" s="124">
        <f t="shared" si="15"/>
        <v>255.55555555555597</v>
      </c>
      <c r="K968" s="98" t="s">
        <v>5042</v>
      </c>
    </row>
    <row r="969" spans="1:11" ht="15" customHeight="1" x14ac:dyDescent="0.2">
      <c r="A969" s="120" t="s">
        <v>5043</v>
      </c>
      <c r="B969" s="120" t="s">
        <v>4562</v>
      </c>
      <c r="C969" s="98" t="s">
        <v>3533</v>
      </c>
      <c r="D969" s="120" t="s">
        <v>3563</v>
      </c>
      <c r="E969" s="98">
        <v>3.8E-3</v>
      </c>
      <c r="F969" s="120">
        <v>0</v>
      </c>
      <c r="G969" s="121">
        <v>174105</v>
      </c>
      <c r="H969" s="123">
        <v>3.8E-3</v>
      </c>
      <c r="I969" s="122">
        <v>661.59900000000005</v>
      </c>
      <c r="J969" s="124">
        <f t="shared" si="15"/>
        <v>3.8</v>
      </c>
      <c r="K969" s="98" t="s">
        <v>5044</v>
      </c>
    </row>
    <row r="970" spans="1:11" ht="15" customHeight="1" x14ac:dyDescent="0.2">
      <c r="A970" s="120" t="s">
        <v>5045</v>
      </c>
      <c r="B970" s="120" t="s">
        <v>4879</v>
      </c>
      <c r="C970" s="98" t="s">
        <v>3533</v>
      </c>
      <c r="D970" s="120" t="s">
        <v>3563</v>
      </c>
      <c r="E970" s="98">
        <v>0.1462</v>
      </c>
      <c r="F970" s="120">
        <v>0</v>
      </c>
      <c r="G970" s="121">
        <v>7390</v>
      </c>
      <c r="H970" s="123">
        <v>0.1462</v>
      </c>
      <c r="I970" s="122">
        <v>1080.4179999999999</v>
      </c>
      <c r="J970" s="124">
        <f t="shared" si="15"/>
        <v>146.19999999999999</v>
      </c>
      <c r="K970" s="98" t="s">
        <v>5046</v>
      </c>
    </row>
    <row r="971" spans="1:11" ht="15" customHeight="1" x14ac:dyDescent="0.2">
      <c r="A971" s="120" t="s">
        <v>5047</v>
      </c>
      <c r="B971" s="120" t="s">
        <v>4562</v>
      </c>
      <c r="C971" s="98" t="s">
        <v>3533</v>
      </c>
      <c r="D971" s="120" t="s">
        <v>3563</v>
      </c>
      <c r="E971" s="98">
        <v>1.0449999999999999E-2</v>
      </c>
      <c r="F971" s="120">
        <v>0</v>
      </c>
      <c r="G971" s="121">
        <v>18000</v>
      </c>
      <c r="H971" s="123">
        <v>1.0449999999999999E-2</v>
      </c>
      <c r="I971" s="122">
        <v>188.1</v>
      </c>
      <c r="J971" s="124">
        <f t="shared" si="15"/>
        <v>10.45</v>
      </c>
      <c r="K971" s="98" t="s">
        <v>5048</v>
      </c>
    </row>
    <row r="972" spans="1:11" ht="15" customHeight="1" x14ac:dyDescent="0.2">
      <c r="A972" s="120" t="s">
        <v>5049</v>
      </c>
      <c r="B972" s="120" t="s">
        <v>4562</v>
      </c>
      <c r="C972" s="98" t="s">
        <v>3533</v>
      </c>
      <c r="D972" s="120" t="s">
        <v>3563</v>
      </c>
      <c r="E972" s="98">
        <v>3.9240506329113904E-2</v>
      </c>
      <c r="F972" s="120">
        <v>0</v>
      </c>
      <c r="G972" s="121">
        <v>1725</v>
      </c>
      <c r="H972" s="123">
        <v>3.9240999999999998E-2</v>
      </c>
      <c r="I972" s="122">
        <v>67.690725</v>
      </c>
      <c r="J972" s="124">
        <f t="shared" si="15"/>
        <v>39.240506329113906</v>
      </c>
      <c r="K972" s="98" t="s">
        <v>5050</v>
      </c>
    </row>
    <row r="973" spans="1:11" ht="15" customHeight="1" x14ac:dyDescent="0.2">
      <c r="A973" s="120" t="s">
        <v>5051</v>
      </c>
      <c r="B973" s="120" t="s">
        <v>4562</v>
      </c>
      <c r="C973" s="98" t="s">
        <v>3533</v>
      </c>
      <c r="D973" s="120" t="s">
        <v>3563</v>
      </c>
      <c r="E973" s="98">
        <v>0.435606060606061</v>
      </c>
      <c r="F973" s="120">
        <v>0</v>
      </c>
      <c r="G973" s="121">
        <v>510</v>
      </c>
      <c r="H973" s="123">
        <v>0.43560599999999999</v>
      </c>
      <c r="I973" s="122">
        <v>222.15905999999998</v>
      </c>
      <c r="J973" s="124">
        <f t="shared" si="15"/>
        <v>435.60606060606102</v>
      </c>
      <c r="K973" s="98" t="s">
        <v>5052</v>
      </c>
    </row>
    <row r="974" spans="1:11" ht="15" customHeight="1" x14ac:dyDescent="0.2">
      <c r="A974" s="120" t="s">
        <v>5053</v>
      </c>
      <c r="B974" s="120" t="s">
        <v>5054</v>
      </c>
      <c r="C974" s="98" t="s">
        <v>3533</v>
      </c>
      <c r="D974" s="120" t="s">
        <v>3563</v>
      </c>
      <c r="E974" s="98">
        <v>7.0788097886540599E-2</v>
      </c>
      <c r="F974" s="120">
        <v>0</v>
      </c>
      <c r="G974" s="121">
        <v>16980</v>
      </c>
      <c r="H974" s="123">
        <v>7.0788000000000004E-2</v>
      </c>
      <c r="I974" s="122">
        <v>1201.9802400000001</v>
      </c>
      <c r="J974" s="124">
        <f t="shared" si="15"/>
        <v>70.788097886540598</v>
      </c>
      <c r="K974" s="98" t="s">
        <v>5055</v>
      </c>
    </row>
    <row r="975" spans="1:11" ht="15" customHeight="1" x14ac:dyDescent="0.2">
      <c r="A975" s="120" t="s">
        <v>5056</v>
      </c>
      <c r="B975" s="120" t="s">
        <v>2198</v>
      </c>
      <c r="C975" s="98" t="s">
        <v>3533</v>
      </c>
      <c r="D975" s="120" t="s">
        <v>3563</v>
      </c>
      <c r="E975" s="98">
        <v>2.72358171663727E-3</v>
      </c>
      <c r="F975" s="120">
        <v>0</v>
      </c>
      <c r="G975" s="121">
        <v>1020640</v>
      </c>
      <c r="H975" s="123">
        <v>2.7239999999999999E-3</v>
      </c>
      <c r="I975" s="122">
        <v>2780.22336</v>
      </c>
      <c r="J975" s="124">
        <f t="shared" si="15"/>
        <v>2.7235817166372702</v>
      </c>
      <c r="K975" s="98" t="s">
        <v>5057</v>
      </c>
    </row>
    <row r="976" spans="1:11" ht="15" customHeight="1" x14ac:dyDescent="0.2">
      <c r="A976" s="120" t="s">
        <v>5058</v>
      </c>
      <c r="B976" s="120" t="s">
        <v>4562</v>
      </c>
      <c r="C976" s="98" t="s">
        <v>3533</v>
      </c>
      <c r="D976" s="120" t="s">
        <v>3563</v>
      </c>
      <c r="E976" s="98">
        <v>2.65E-3</v>
      </c>
      <c r="F976" s="120">
        <v>0</v>
      </c>
      <c r="G976" s="121">
        <v>560000</v>
      </c>
      <c r="H976" s="123">
        <v>2.65E-3</v>
      </c>
      <c r="I976" s="122">
        <v>1484</v>
      </c>
      <c r="J976" s="124">
        <f t="shared" si="15"/>
        <v>2.65</v>
      </c>
      <c r="K976" s="98" t="s">
        <v>5059</v>
      </c>
    </row>
    <row r="977" spans="1:11" ht="15" customHeight="1" x14ac:dyDescent="0.2">
      <c r="A977" s="120" t="s">
        <v>5060</v>
      </c>
      <c r="B977" s="120" t="s">
        <v>4805</v>
      </c>
      <c r="C977" s="98" t="s">
        <v>3533</v>
      </c>
      <c r="D977" s="120" t="s">
        <v>3563</v>
      </c>
      <c r="E977" s="98">
        <v>3.3069500000000002E-2</v>
      </c>
      <c r="F977" s="120">
        <v>0</v>
      </c>
      <c r="G977" s="121">
        <v>20000</v>
      </c>
      <c r="H977" s="123">
        <v>3.3070000000000002E-2</v>
      </c>
      <c r="I977" s="122">
        <v>661.40000000000009</v>
      </c>
      <c r="J977" s="124">
        <f t="shared" si="15"/>
        <v>33.069500000000005</v>
      </c>
      <c r="K977" s="98" t="s">
        <v>5061</v>
      </c>
    </row>
    <row r="978" spans="1:11" ht="15" customHeight="1" x14ac:dyDescent="0.2">
      <c r="A978" s="120" t="s">
        <v>5062</v>
      </c>
      <c r="B978" s="120" t="s">
        <v>4805</v>
      </c>
      <c r="C978" s="98" t="s">
        <v>3533</v>
      </c>
      <c r="D978" s="120" t="s">
        <v>3563</v>
      </c>
      <c r="E978" s="98">
        <v>8.4539000000000003E-2</v>
      </c>
      <c r="F978" s="120">
        <v>0</v>
      </c>
      <c r="G978" s="121">
        <v>10000</v>
      </c>
      <c r="H978" s="123">
        <v>8.4539000000000003E-2</v>
      </c>
      <c r="I978" s="122">
        <v>845.39</v>
      </c>
      <c r="J978" s="124">
        <f t="shared" si="15"/>
        <v>84.539000000000001</v>
      </c>
      <c r="K978" s="98" t="s">
        <v>5063</v>
      </c>
    </row>
    <row r="979" spans="1:11" ht="15" customHeight="1" x14ac:dyDescent="0.2">
      <c r="A979" s="120" t="s">
        <v>5064</v>
      </c>
      <c r="B979" s="120" t="s">
        <v>4562</v>
      </c>
      <c r="C979" s="98" t="s">
        <v>3533</v>
      </c>
      <c r="D979" s="120" t="s">
        <v>3563</v>
      </c>
      <c r="E979" s="98">
        <v>8.1514285714285699E-3</v>
      </c>
      <c r="F979" s="120">
        <v>0</v>
      </c>
      <c r="G979" s="121">
        <v>3500</v>
      </c>
      <c r="H979" s="123">
        <v>8.1510000000000003E-3</v>
      </c>
      <c r="I979" s="122">
        <v>28.528500000000001</v>
      </c>
      <c r="J979" s="124">
        <f t="shared" si="15"/>
        <v>8.1514285714285695</v>
      </c>
      <c r="K979" s="98" t="s">
        <v>5065</v>
      </c>
    </row>
    <row r="980" spans="1:11" ht="15" customHeight="1" x14ac:dyDescent="0.2">
      <c r="A980" s="120" t="s">
        <v>5066</v>
      </c>
      <c r="B980" s="120" t="s">
        <v>4688</v>
      </c>
      <c r="C980" s="98" t="s">
        <v>3533</v>
      </c>
      <c r="D980" s="120" t="s">
        <v>3563</v>
      </c>
      <c r="E980" s="98">
        <v>6.5276699999999993E-2</v>
      </c>
      <c r="F980" s="120">
        <v>0</v>
      </c>
      <c r="G980" s="121">
        <v>12470</v>
      </c>
      <c r="H980" s="123">
        <v>6.5277000000000002E-2</v>
      </c>
      <c r="I980" s="122">
        <v>814.00418999999999</v>
      </c>
      <c r="J980" s="124">
        <f t="shared" si="15"/>
        <v>65.276699999999991</v>
      </c>
      <c r="K980" s="98" t="s">
        <v>5067</v>
      </c>
    </row>
    <row r="981" spans="1:11" ht="15" customHeight="1" x14ac:dyDescent="0.2">
      <c r="A981" s="120" t="s">
        <v>5068</v>
      </c>
      <c r="B981" s="120" t="s">
        <v>5069</v>
      </c>
      <c r="C981" s="98" t="s">
        <v>3533</v>
      </c>
      <c r="D981" s="120" t="s">
        <v>3563</v>
      </c>
      <c r="E981" s="98">
        <v>2.88468679761556E-3</v>
      </c>
      <c r="F981" s="120">
        <v>0</v>
      </c>
      <c r="G981" s="121">
        <v>4075</v>
      </c>
      <c r="H981" s="123">
        <v>3.2360000000000002E-3</v>
      </c>
      <c r="I981" s="122">
        <v>13.1867</v>
      </c>
      <c r="J981" s="124">
        <f t="shared" si="15"/>
        <v>2.8846867976155601</v>
      </c>
    </row>
    <row r="982" spans="1:11" ht="15" customHeight="1" x14ac:dyDescent="0.2">
      <c r="A982" s="120" t="s">
        <v>5070</v>
      </c>
      <c r="B982" s="120" t="s">
        <v>3532</v>
      </c>
      <c r="C982" s="98" t="s">
        <v>3532</v>
      </c>
      <c r="D982" s="120" t="s">
        <v>3563</v>
      </c>
      <c r="E982" s="98">
        <v>0</v>
      </c>
      <c r="F982" s="120">
        <v>0</v>
      </c>
      <c r="G982" s="121">
        <v>0</v>
      </c>
      <c r="H982" s="123">
        <v>0</v>
      </c>
      <c r="I982" s="122">
        <v>0</v>
      </c>
      <c r="J982" s="124">
        <f t="shared" si="15"/>
        <v>0</v>
      </c>
    </row>
    <row r="983" spans="1:11" ht="15" customHeight="1" x14ac:dyDescent="0.2">
      <c r="A983" s="120" t="s">
        <v>5071</v>
      </c>
      <c r="B983" s="120" t="s">
        <v>5072</v>
      </c>
      <c r="C983" s="98" t="s">
        <v>3533</v>
      </c>
      <c r="D983" s="120" t="s">
        <v>3563</v>
      </c>
      <c r="E983" s="98">
        <v>1.6500000000000001E-2</v>
      </c>
      <c r="F983" s="120">
        <v>0</v>
      </c>
      <c r="G983" s="121">
        <v>24084</v>
      </c>
      <c r="H983" s="123">
        <v>1.6500000000000001E-2</v>
      </c>
      <c r="I983" s="122">
        <v>397.38600000000002</v>
      </c>
      <c r="J983" s="124">
        <f t="shared" si="15"/>
        <v>16.5</v>
      </c>
      <c r="K983" s="98" t="s">
        <v>5073</v>
      </c>
    </row>
    <row r="984" spans="1:11" ht="15" customHeight="1" x14ac:dyDescent="0.2">
      <c r="A984" s="120" t="s">
        <v>5074</v>
      </c>
      <c r="B984" s="120" t="s">
        <v>3532</v>
      </c>
      <c r="C984" s="98" t="s">
        <v>3533</v>
      </c>
      <c r="D984" s="120" t="s">
        <v>3563</v>
      </c>
      <c r="E984" s="98">
        <v>0</v>
      </c>
      <c r="F984" s="120">
        <v>0</v>
      </c>
      <c r="G984" s="121">
        <v>0</v>
      </c>
      <c r="H984" s="123">
        <v>0</v>
      </c>
      <c r="I984" s="122">
        <v>0</v>
      </c>
      <c r="J984" s="124">
        <f t="shared" si="15"/>
        <v>0</v>
      </c>
    </row>
    <row r="985" spans="1:11" ht="15" customHeight="1" x14ac:dyDescent="0.2">
      <c r="A985" s="120" t="s">
        <v>5075</v>
      </c>
      <c r="B985" s="120" t="s">
        <v>5076</v>
      </c>
      <c r="C985" s="98" t="s">
        <v>3533</v>
      </c>
      <c r="D985" s="120" t="s">
        <v>3563</v>
      </c>
      <c r="E985" s="98">
        <v>5.4012345679012299E-3</v>
      </c>
      <c r="F985" s="120">
        <v>150000</v>
      </c>
      <c r="G985" s="121">
        <v>1410480</v>
      </c>
      <c r="H985" s="123">
        <v>6.1180000000000002E-3</v>
      </c>
      <c r="I985" s="122">
        <v>8629.3166400000009</v>
      </c>
      <c r="J985" s="124">
        <f t="shared" si="15"/>
        <v>5.4012345679012297</v>
      </c>
      <c r="K985" s="98" t="s">
        <v>5077</v>
      </c>
    </row>
    <row r="986" spans="1:11" ht="15" customHeight="1" x14ac:dyDescent="0.2">
      <c r="A986" s="120" t="s">
        <v>5078</v>
      </c>
      <c r="B986" s="120" t="s">
        <v>2254</v>
      </c>
      <c r="C986" s="98" t="s">
        <v>3533</v>
      </c>
      <c r="D986" s="120" t="s">
        <v>3563</v>
      </c>
      <c r="E986" s="98">
        <v>1.4999999999999999E-2</v>
      </c>
      <c r="F986" s="120">
        <v>0</v>
      </c>
      <c r="G986" s="121">
        <v>21327</v>
      </c>
      <c r="H986" s="123">
        <v>1.4999999999999999E-2</v>
      </c>
      <c r="I986" s="122">
        <v>319.90499999999997</v>
      </c>
      <c r="J986" s="124">
        <f t="shared" si="15"/>
        <v>15</v>
      </c>
      <c r="K986" s="98" t="s">
        <v>2379</v>
      </c>
    </row>
    <row r="987" spans="1:11" ht="15" customHeight="1" x14ac:dyDescent="0.2">
      <c r="A987" s="120" t="s">
        <v>5079</v>
      </c>
      <c r="B987" s="120" t="s">
        <v>5080</v>
      </c>
      <c r="C987" s="98" t="s">
        <v>3533</v>
      </c>
      <c r="D987" s="120" t="s">
        <v>3563</v>
      </c>
      <c r="E987" s="98">
        <v>5.2499999999999998E-2</v>
      </c>
      <c r="F987" s="120">
        <v>0</v>
      </c>
      <c r="G987" s="121">
        <v>521580</v>
      </c>
      <c r="H987" s="123">
        <v>5.3053000000000003E-2</v>
      </c>
      <c r="I987" s="122">
        <v>27671.383740000001</v>
      </c>
      <c r="J987" s="124">
        <f t="shared" si="15"/>
        <v>52.5</v>
      </c>
      <c r="K987" s="98" t="s">
        <v>5081</v>
      </c>
    </row>
    <row r="988" spans="1:11" ht="15" customHeight="1" x14ac:dyDescent="0.2">
      <c r="A988" s="120" t="s">
        <v>2149</v>
      </c>
      <c r="B988" s="120" t="s">
        <v>5082</v>
      </c>
      <c r="C988" s="98" t="s">
        <v>3533</v>
      </c>
      <c r="D988" s="120" t="s">
        <v>3563</v>
      </c>
      <c r="E988" s="98">
        <v>1.4970000000000001E-2</v>
      </c>
      <c r="F988" s="120">
        <v>0</v>
      </c>
      <c r="G988" s="121">
        <v>30265</v>
      </c>
      <c r="H988" s="123">
        <v>1.4970000000000001E-2</v>
      </c>
      <c r="I988" s="122">
        <v>453.06704999999999</v>
      </c>
      <c r="J988" s="124">
        <f t="shared" si="15"/>
        <v>14.97</v>
      </c>
      <c r="K988" s="98" t="s">
        <v>5083</v>
      </c>
    </row>
    <row r="989" spans="1:11" ht="15" customHeight="1" x14ac:dyDescent="0.2">
      <c r="A989" s="120" t="s">
        <v>5084</v>
      </c>
      <c r="B989" s="120" t="s">
        <v>5072</v>
      </c>
      <c r="C989" s="98" t="s">
        <v>3533</v>
      </c>
      <c r="D989" s="120" t="s">
        <v>3563</v>
      </c>
      <c r="E989" s="98">
        <v>3.7999999999999999E-2</v>
      </c>
      <c r="F989" s="120">
        <v>0</v>
      </c>
      <c r="G989" s="121">
        <v>23835</v>
      </c>
      <c r="H989" s="123">
        <v>3.7999999999999999E-2</v>
      </c>
      <c r="I989" s="122">
        <v>905.73</v>
      </c>
      <c r="J989" s="124">
        <f t="shared" si="15"/>
        <v>38</v>
      </c>
      <c r="K989" s="98" t="s">
        <v>5085</v>
      </c>
    </row>
    <row r="990" spans="1:11" ht="15" customHeight="1" x14ac:dyDescent="0.2">
      <c r="A990" s="120" t="s">
        <v>5086</v>
      </c>
      <c r="B990" s="120" t="s">
        <v>3532</v>
      </c>
      <c r="C990" s="98" t="s">
        <v>3532</v>
      </c>
      <c r="D990" s="120" t="s">
        <v>3563</v>
      </c>
      <c r="E990" s="98">
        <v>3.6920000000000001E-2</v>
      </c>
      <c r="F990" s="120">
        <v>0</v>
      </c>
      <c r="G990" s="121">
        <v>0</v>
      </c>
      <c r="H990" s="123">
        <v>3.6920000000000001E-2</v>
      </c>
      <c r="I990" s="122">
        <v>0</v>
      </c>
      <c r="J990" s="124">
        <f t="shared" si="15"/>
        <v>36.92</v>
      </c>
    </row>
    <row r="991" spans="1:11" ht="15" customHeight="1" x14ac:dyDescent="0.2">
      <c r="A991" s="120" t="s">
        <v>5087</v>
      </c>
      <c r="B991" s="120" t="s">
        <v>5088</v>
      </c>
      <c r="C991" s="98" t="s">
        <v>3532</v>
      </c>
      <c r="D991" s="120" t="s">
        <v>3563</v>
      </c>
      <c r="E991" s="98">
        <v>8.0000000000000002E-3</v>
      </c>
      <c r="F991" s="120">
        <v>0</v>
      </c>
      <c r="G991" s="121">
        <v>0</v>
      </c>
      <c r="H991" s="123">
        <v>8.0000000000000002E-3</v>
      </c>
      <c r="I991" s="122">
        <v>0</v>
      </c>
      <c r="J991" s="124">
        <f t="shared" si="15"/>
        <v>8</v>
      </c>
    </row>
    <row r="992" spans="1:11" ht="15" customHeight="1" x14ac:dyDescent="0.2">
      <c r="A992" s="120" t="s">
        <v>5089</v>
      </c>
      <c r="B992" s="120" t="s">
        <v>5072</v>
      </c>
      <c r="C992" s="98" t="s">
        <v>3533</v>
      </c>
      <c r="D992" s="120" t="s">
        <v>3563</v>
      </c>
      <c r="E992" s="98">
        <v>0.255</v>
      </c>
      <c r="F992" s="120">
        <v>0</v>
      </c>
      <c r="G992" s="121">
        <v>9775</v>
      </c>
      <c r="H992" s="123">
        <v>0.255</v>
      </c>
      <c r="I992" s="122">
        <v>2492.625</v>
      </c>
      <c r="J992" s="124">
        <f t="shared" si="15"/>
        <v>255</v>
      </c>
    </row>
    <row r="993" spans="1:11" ht="15" customHeight="1" x14ac:dyDescent="0.2">
      <c r="A993" s="120" t="s">
        <v>5090</v>
      </c>
      <c r="B993" s="120" t="s">
        <v>2198</v>
      </c>
      <c r="C993" s="98" t="s">
        <v>3533</v>
      </c>
      <c r="D993" s="120" t="s">
        <v>3563</v>
      </c>
      <c r="E993" s="98">
        <v>1.918E-3</v>
      </c>
      <c r="F993" s="120">
        <v>0</v>
      </c>
      <c r="G993" s="121">
        <v>0</v>
      </c>
      <c r="H993" s="123">
        <v>1.918E-3</v>
      </c>
      <c r="I993" s="122">
        <v>0</v>
      </c>
      <c r="J993" s="124">
        <f t="shared" si="15"/>
        <v>1.9179999999999999</v>
      </c>
      <c r="K993" s="98" t="s">
        <v>5091</v>
      </c>
    </row>
    <row r="994" spans="1:11" ht="15" customHeight="1" x14ac:dyDescent="0.2">
      <c r="A994" s="120" t="s">
        <v>5092</v>
      </c>
      <c r="B994" s="120" t="s">
        <v>3532</v>
      </c>
      <c r="C994" s="98" t="s">
        <v>3532</v>
      </c>
      <c r="D994" s="120" t="s">
        <v>3563</v>
      </c>
      <c r="E994" s="98">
        <v>2.537E-2</v>
      </c>
      <c r="F994" s="120">
        <v>0</v>
      </c>
      <c r="G994" s="121">
        <v>0</v>
      </c>
      <c r="H994" s="123">
        <v>2.537E-2</v>
      </c>
      <c r="I994" s="122">
        <v>0</v>
      </c>
      <c r="J994" s="124">
        <f t="shared" si="15"/>
        <v>25.37</v>
      </c>
    </row>
    <row r="995" spans="1:11" ht="15" customHeight="1" x14ac:dyDescent="0.2">
      <c r="A995" s="120" t="s">
        <v>5093</v>
      </c>
      <c r="B995" s="120" t="s">
        <v>5094</v>
      </c>
      <c r="C995" s="98" t="s">
        <v>3533</v>
      </c>
      <c r="D995" s="120" t="s">
        <v>3563</v>
      </c>
      <c r="E995" s="98">
        <v>6.8999999999999999E-3</v>
      </c>
      <c r="F995" s="120">
        <v>0</v>
      </c>
      <c r="G995" s="121">
        <v>0</v>
      </c>
      <c r="H995" s="123">
        <v>6.8999999999999999E-3</v>
      </c>
      <c r="I995" s="122">
        <v>0</v>
      </c>
      <c r="J995" s="124">
        <f t="shared" si="15"/>
        <v>6.8999999999999995</v>
      </c>
    </row>
    <row r="996" spans="1:11" ht="15" customHeight="1" x14ac:dyDescent="0.2">
      <c r="A996" s="120" t="s">
        <v>5095</v>
      </c>
      <c r="B996" s="120" t="s">
        <v>2198</v>
      </c>
      <c r="C996" s="98" t="s">
        <v>3533</v>
      </c>
      <c r="D996" s="120" t="s">
        <v>3563</v>
      </c>
      <c r="E996" s="98">
        <v>1.0958799999999999E-2</v>
      </c>
      <c r="F996" s="120">
        <v>0</v>
      </c>
      <c r="G996" s="121">
        <v>60440</v>
      </c>
      <c r="H996" s="123">
        <v>7.8259999999999996E-3</v>
      </c>
      <c r="I996" s="122">
        <v>473.00343999999996</v>
      </c>
      <c r="J996" s="124">
        <f t="shared" si="15"/>
        <v>10.9588</v>
      </c>
      <c r="K996" s="98" t="s">
        <v>5096</v>
      </c>
    </row>
    <row r="997" spans="1:11" ht="15" customHeight="1" x14ac:dyDescent="0.2">
      <c r="A997" s="120" t="s">
        <v>5097</v>
      </c>
      <c r="B997" s="120" t="s">
        <v>3532</v>
      </c>
      <c r="C997" s="98" t="s">
        <v>3533</v>
      </c>
      <c r="D997" s="120" t="s">
        <v>3563</v>
      </c>
      <c r="E997" s="98">
        <v>9.5099999999999994E-3</v>
      </c>
      <c r="F997" s="120">
        <v>0</v>
      </c>
      <c r="G997" s="121">
        <v>0</v>
      </c>
      <c r="H997" s="123">
        <v>9.5099999999999994E-3</v>
      </c>
      <c r="I997" s="122">
        <v>0</v>
      </c>
      <c r="J997" s="124">
        <f t="shared" si="15"/>
        <v>9.51</v>
      </c>
    </row>
    <row r="998" spans="1:11" ht="15" customHeight="1" x14ac:dyDescent="0.2">
      <c r="A998" s="120" t="s">
        <v>5098</v>
      </c>
      <c r="B998" s="120" t="s">
        <v>5099</v>
      </c>
      <c r="C998" s="98" t="s">
        <v>3533</v>
      </c>
      <c r="D998" s="120" t="s">
        <v>3563</v>
      </c>
      <c r="E998" s="98">
        <v>2.6564999999999998E-2</v>
      </c>
      <c r="F998" s="120">
        <v>0</v>
      </c>
      <c r="G998" s="121">
        <v>19401</v>
      </c>
      <c r="H998" s="123">
        <v>2.6564999999999998E-2</v>
      </c>
      <c r="I998" s="122">
        <v>515.387565</v>
      </c>
      <c r="J998" s="124">
        <f t="shared" si="15"/>
        <v>26.564999999999998</v>
      </c>
    </row>
    <row r="999" spans="1:11" ht="15" customHeight="1" x14ac:dyDescent="0.2">
      <c r="A999" s="120" t="s">
        <v>5100</v>
      </c>
      <c r="B999" s="120" t="s">
        <v>3532</v>
      </c>
      <c r="C999" s="98" t="s">
        <v>3532</v>
      </c>
      <c r="D999" s="120" t="s">
        <v>3563</v>
      </c>
      <c r="E999" s="98">
        <v>4.9500000000000002E-2</v>
      </c>
      <c r="F999" s="120">
        <v>0</v>
      </c>
      <c r="G999" s="121">
        <v>0</v>
      </c>
      <c r="H999" s="123">
        <v>4.9500000000000002E-2</v>
      </c>
      <c r="I999" s="122">
        <v>0</v>
      </c>
      <c r="J999" s="124">
        <f t="shared" si="15"/>
        <v>49.5</v>
      </c>
    </row>
    <row r="1000" spans="1:11" ht="15" customHeight="1" x14ac:dyDescent="0.2">
      <c r="A1000" s="120" t="s">
        <v>5101</v>
      </c>
      <c r="B1000" s="120" t="s">
        <v>2184</v>
      </c>
      <c r="C1000" s="98" t="s">
        <v>3533</v>
      </c>
      <c r="D1000" s="120" t="s">
        <v>3563</v>
      </c>
      <c r="E1000" s="98">
        <v>1.0999999999999999E-2</v>
      </c>
      <c r="F1000" s="120">
        <v>0</v>
      </c>
      <c r="G1000" s="121">
        <v>72535</v>
      </c>
      <c r="H1000" s="123">
        <v>1.0999999999999999E-2</v>
      </c>
      <c r="I1000" s="122">
        <v>797.88499999999999</v>
      </c>
      <c r="J1000" s="124">
        <f t="shared" si="15"/>
        <v>11</v>
      </c>
      <c r="K1000" s="98" t="s">
        <v>5102</v>
      </c>
    </row>
    <row r="1001" spans="1:11" ht="15" customHeight="1" x14ac:dyDescent="0.2">
      <c r="A1001" s="120" t="s">
        <v>5103</v>
      </c>
      <c r="B1001" s="120" t="s">
        <v>2184</v>
      </c>
      <c r="C1001" s="98" t="s">
        <v>3533</v>
      </c>
      <c r="D1001" s="120" t="s">
        <v>3563</v>
      </c>
      <c r="E1001" s="98">
        <v>1.265E-2</v>
      </c>
      <c r="F1001" s="120">
        <v>0</v>
      </c>
      <c r="G1001" s="121">
        <v>478765</v>
      </c>
      <c r="H1001" s="123">
        <v>1.265E-2</v>
      </c>
      <c r="I1001" s="122">
        <v>6056.3772499999995</v>
      </c>
      <c r="J1001" s="124">
        <f t="shared" si="15"/>
        <v>12.65</v>
      </c>
      <c r="K1001" s="98" t="s">
        <v>2387</v>
      </c>
    </row>
    <row r="1002" spans="1:11" ht="15" customHeight="1" x14ac:dyDescent="0.2">
      <c r="A1002" s="120" t="s">
        <v>5104</v>
      </c>
      <c r="B1002" s="120" t="s">
        <v>2184</v>
      </c>
      <c r="C1002" s="98" t="s">
        <v>3533</v>
      </c>
      <c r="D1002" s="120" t="s">
        <v>3563</v>
      </c>
      <c r="E1002" s="98">
        <v>1.2999999999999999E-2</v>
      </c>
      <c r="F1002" s="120">
        <v>0</v>
      </c>
      <c r="G1002" s="121">
        <v>151930</v>
      </c>
      <c r="H1002" s="123">
        <v>1.2999999999999999E-2</v>
      </c>
      <c r="I1002" s="122">
        <v>1975.09</v>
      </c>
      <c r="J1002" s="124">
        <f t="shared" si="15"/>
        <v>13</v>
      </c>
      <c r="K1002" s="98" t="s">
        <v>2387</v>
      </c>
    </row>
    <row r="1003" spans="1:11" ht="15" customHeight="1" x14ac:dyDescent="0.2">
      <c r="A1003" s="120" t="s">
        <v>5105</v>
      </c>
      <c r="B1003" s="120" t="s">
        <v>2184</v>
      </c>
      <c r="C1003" s="98" t="s">
        <v>3533</v>
      </c>
      <c r="D1003" s="120" t="s">
        <v>3563</v>
      </c>
      <c r="E1003" s="98">
        <v>6.8500000000000002E-3</v>
      </c>
      <c r="F1003" s="120">
        <v>0</v>
      </c>
      <c r="G1003" s="121">
        <v>160765</v>
      </c>
      <c r="H1003" s="123">
        <v>6.8500000000000002E-3</v>
      </c>
      <c r="I1003" s="122">
        <v>1101.2402500000001</v>
      </c>
      <c r="J1003" s="124">
        <f t="shared" si="15"/>
        <v>6.8500000000000005</v>
      </c>
      <c r="K1003" s="98" t="s">
        <v>2387</v>
      </c>
    </row>
    <row r="1004" spans="1:11" ht="15" customHeight="1" x14ac:dyDescent="0.2">
      <c r="A1004" s="120" t="s">
        <v>5106</v>
      </c>
      <c r="B1004" s="120" t="s">
        <v>2184</v>
      </c>
      <c r="C1004" s="98" t="s">
        <v>3533</v>
      </c>
      <c r="D1004" s="120" t="s">
        <v>3563</v>
      </c>
      <c r="E1004" s="98">
        <v>1.4500000000000001E-2</v>
      </c>
      <c r="F1004" s="120">
        <v>0</v>
      </c>
      <c r="G1004" s="121">
        <v>228225</v>
      </c>
      <c r="H1004" s="123">
        <v>1.4500000000000001E-2</v>
      </c>
      <c r="I1004" s="122">
        <v>3309.2625000000003</v>
      </c>
      <c r="J1004" s="124">
        <f t="shared" si="15"/>
        <v>14.5</v>
      </c>
      <c r="K1004" s="98" t="s">
        <v>2387</v>
      </c>
    </row>
    <row r="1005" spans="1:11" ht="15" customHeight="1" x14ac:dyDescent="0.2">
      <c r="A1005" s="120" t="s">
        <v>5107</v>
      </c>
      <c r="B1005" s="120" t="s">
        <v>2198</v>
      </c>
      <c r="C1005" s="98" t="s">
        <v>3533</v>
      </c>
      <c r="D1005" s="120" t="s">
        <v>3563</v>
      </c>
      <c r="E1005" s="98">
        <v>1.279E-3</v>
      </c>
      <c r="F1005" s="120">
        <v>0</v>
      </c>
      <c r="G1005" s="121">
        <v>0</v>
      </c>
      <c r="H1005" s="123">
        <v>1.279E-3</v>
      </c>
      <c r="I1005" s="122">
        <v>0</v>
      </c>
      <c r="J1005" s="124">
        <f t="shared" si="15"/>
        <v>1.2789999999999999</v>
      </c>
      <c r="K1005" s="98" t="s">
        <v>5108</v>
      </c>
    </row>
    <row r="1006" spans="1:11" ht="15" customHeight="1" x14ac:dyDescent="0.2">
      <c r="A1006" s="120" t="s">
        <v>5109</v>
      </c>
      <c r="B1006" s="120" t="s">
        <v>5110</v>
      </c>
      <c r="C1006" s="98" t="s">
        <v>3533</v>
      </c>
      <c r="D1006" s="120" t="s">
        <v>3563</v>
      </c>
      <c r="E1006" s="98">
        <v>1.0999999999999999E-2</v>
      </c>
      <c r="F1006" s="120">
        <v>0</v>
      </c>
      <c r="G1006" s="121">
        <v>157645</v>
      </c>
      <c r="H1006" s="123">
        <v>1.3390000000000001E-2</v>
      </c>
      <c r="I1006" s="122">
        <v>2110.8665500000002</v>
      </c>
      <c r="J1006" s="124">
        <f t="shared" si="15"/>
        <v>11</v>
      </c>
      <c r="K1006" s="98" t="s">
        <v>5111</v>
      </c>
    </row>
    <row r="1007" spans="1:11" ht="15" customHeight="1" x14ac:dyDescent="0.2">
      <c r="A1007" s="120" t="s">
        <v>5112</v>
      </c>
      <c r="B1007" s="120" t="s">
        <v>5113</v>
      </c>
      <c r="C1007" s="98" t="s">
        <v>3533</v>
      </c>
      <c r="D1007" s="120" t="s">
        <v>3563</v>
      </c>
      <c r="E1007" s="98">
        <v>9.4500000000000001E-3</v>
      </c>
      <c r="F1007" s="120">
        <v>0</v>
      </c>
      <c r="G1007" s="121">
        <v>186342</v>
      </c>
      <c r="H1007" s="123">
        <v>9.4500000000000001E-3</v>
      </c>
      <c r="I1007" s="122">
        <v>1760.9319</v>
      </c>
      <c r="J1007" s="124">
        <f t="shared" si="15"/>
        <v>9.4499999999999993</v>
      </c>
      <c r="K1007" s="98" t="s">
        <v>2379</v>
      </c>
    </row>
    <row r="1008" spans="1:11" ht="15" customHeight="1" x14ac:dyDescent="0.2">
      <c r="A1008" s="120" t="s">
        <v>5114</v>
      </c>
      <c r="B1008" s="120" t="s">
        <v>5115</v>
      </c>
      <c r="C1008" s="98" t="s">
        <v>3533</v>
      </c>
      <c r="D1008" s="120" t="s">
        <v>3563</v>
      </c>
      <c r="E1008" s="98">
        <v>2.4E-2</v>
      </c>
      <c r="F1008" s="120">
        <v>0</v>
      </c>
      <c r="G1008" s="121">
        <v>28250</v>
      </c>
      <c r="H1008" s="123">
        <v>2.4E-2</v>
      </c>
      <c r="I1008" s="122">
        <v>678</v>
      </c>
      <c r="J1008" s="124">
        <f t="shared" si="15"/>
        <v>24</v>
      </c>
      <c r="K1008" s="98" t="s">
        <v>3289</v>
      </c>
    </row>
    <row r="1009" spans="1:11" ht="15" customHeight="1" x14ac:dyDescent="0.2">
      <c r="A1009" s="120" t="s">
        <v>5116</v>
      </c>
      <c r="B1009" s="120" t="s">
        <v>2184</v>
      </c>
      <c r="C1009" s="98" t="s">
        <v>3533</v>
      </c>
      <c r="D1009" s="120" t="s">
        <v>3563</v>
      </c>
      <c r="E1009" s="98">
        <v>2.4E-2</v>
      </c>
      <c r="F1009" s="120">
        <v>450000</v>
      </c>
      <c r="G1009" s="121">
        <v>547743</v>
      </c>
      <c r="H1009" s="123">
        <v>2.4E-2</v>
      </c>
      <c r="I1009" s="122">
        <v>13145.832</v>
      </c>
      <c r="J1009" s="124">
        <f t="shared" si="15"/>
        <v>24</v>
      </c>
      <c r="K1009" s="98" t="s">
        <v>2379</v>
      </c>
    </row>
    <row r="1010" spans="1:11" ht="15" customHeight="1" x14ac:dyDescent="0.2">
      <c r="A1010" s="120" t="s">
        <v>5117</v>
      </c>
      <c r="B1010" s="120" t="s">
        <v>5118</v>
      </c>
      <c r="C1010" s="98" t="s">
        <v>3533</v>
      </c>
      <c r="D1010" s="120" t="s">
        <v>3563</v>
      </c>
      <c r="E1010" s="98">
        <v>1.269E-2</v>
      </c>
      <c r="F1010" s="120">
        <v>0</v>
      </c>
      <c r="G1010" s="121">
        <v>4949510</v>
      </c>
      <c r="H1010" s="123">
        <v>1.35E-2</v>
      </c>
      <c r="I1010" s="122">
        <v>66818.384999999995</v>
      </c>
      <c r="J1010" s="124">
        <f t="shared" si="15"/>
        <v>12.69</v>
      </c>
    </row>
    <row r="1011" spans="1:11" ht="15" customHeight="1" x14ac:dyDescent="0.2">
      <c r="A1011" s="120" t="s">
        <v>5119</v>
      </c>
      <c r="B1011" s="120" t="s">
        <v>5120</v>
      </c>
      <c r="C1011" s="98" t="s">
        <v>3532</v>
      </c>
      <c r="D1011" s="120" t="s">
        <v>3563</v>
      </c>
      <c r="E1011" s="98">
        <v>5.4999999999999997E-3</v>
      </c>
      <c r="F1011" s="120">
        <v>0</v>
      </c>
      <c r="G1011" s="121">
        <v>0</v>
      </c>
      <c r="H1011" s="123">
        <v>5.4999999999999997E-3</v>
      </c>
      <c r="I1011" s="122">
        <v>0</v>
      </c>
      <c r="J1011" s="124">
        <f t="shared" si="15"/>
        <v>5.5</v>
      </c>
    </row>
    <row r="1012" spans="1:11" ht="15" customHeight="1" x14ac:dyDescent="0.2">
      <c r="A1012" s="120" t="s">
        <v>2449</v>
      </c>
      <c r="B1012" s="120" t="s">
        <v>3532</v>
      </c>
      <c r="C1012" s="98" t="s">
        <v>3533</v>
      </c>
      <c r="D1012" s="120" t="s">
        <v>3563</v>
      </c>
      <c r="E1012" s="98">
        <v>1.35E-2</v>
      </c>
      <c r="F1012" s="120">
        <v>0</v>
      </c>
      <c r="G1012" s="121">
        <v>0</v>
      </c>
      <c r="H1012" s="123">
        <v>1.35E-2</v>
      </c>
      <c r="I1012" s="122">
        <v>0</v>
      </c>
      <c r="J1012" s="124">
        <f t="shared" si="15"/>
        <v>13.5</v>
      </c>
    </row>
    <row r="1013" spans="1:11" ht="15" customHeight="1" x14ac:dyDescent="0.2">
      <c r="A1013" s="120" t="s">
        <v>5121</v>
      </c>
      <c r="B1013" s="120" t="s">
        <v>4764</v>
      </c>
      <c r="C1013" s="98" t="s">
        <v>3532</v>
      </c>
      <c r="D1013" s="120" t="s">
        <v>3563</v>
      </c>
      <c r="E1013" s="98">
        <v>0.11840000000000001</v>
      </c>
      <c r="F1013" s="120">
        <v>0</v>
      </c>
      <c r="G1013" s="121">
        <v>0</v>
      </c>
      <c r="H1013" s="123">
        <v>0.11840000000000001</v>
      </c>
      <c r="I1013" s="122">
        <v>0</v>
      </c>
      <c r="J1013" s="124">
        <f t="shared" si="15"/>
        <v>118.4</v>
      </c>
    </row>
    <row r="1014" spans="1:11" ht="15" customHeight="1" x14ac:dyDescent="0.2">
      <c r="A1014" s="120" t="s">
        <v>5122</v>
      </c>
      <c r="B1014" s="120" t="s">
        <v>3532</v>
      </c>
      <c r="C1014" s="98" t="s">
        <v>3533</v>
      </c>
      <c r="D1014" s="120" t="s">
        <v>3563</v>
      </c>
      <c r="E1014" s="98">
        <v>0.16500000000000001</v>
      </c>
      <c r="F1014" s="120">
        <v>0</v>
      </c>
      <c r="G1014" s="121">
        <v>0</v>
      </c>
      <c r="H1014" s="123">
        <v>0.16500000000000001</v>
      </c>
      <c r="I1014" s="122">
        <v>0</v>
      </c>
      <c r="J1014" s="124">
        <f t="shared" si="15"/>
        <v>165</v>
      </c>
    </row>
    <row r="1015" spans="1:11" ht="15" customHeight="1" x14ac:dyDescent="0.2">
      <c r="A1015" s="120" t="s">
        <v>5123</v>
      </c>
      <c r="B1015" s="120" t="s">
        <v>2100</v>
      </c>
      <c r="C1015" s="98" t="s">
        <v>3533</v>
      </c>
      <c r="D1015" s="120" t="s">
        <v>3563</v>
      </c>
      <c r="E1015" s="98">
        <v>8.4200000000000004E-3</v>
      </c>
      <c r="F1015" s="120">
        <v>0</v>
      </c>
      <c r="G1015" s="121">
        <v>1194542</v>
      </c>
      <c r="H1015" s="123">
        <v>8.4200000000000004E-3</v>
      </c>
      <c r="I1015" s="122">
        <v>10058.04364</v>
      </c>
      <c r="J1015" s="124">
        <f t="shared" si="15"/>
        <v>8.42</v>
      </c>
    </row>
    <row r="1016" spans="1:11" ht="15" customHeight="1" x14ac:dyDescent="0.2">
      <c r="A1016" s="120" t="s">
        <v>5124</v>
      </c>
      <c r="B1016" s="120" t="s">
        <v>4934</v>
      </c>
      <c r="C1016" s="98" t="s">
        <v>3533</v>
      </c>
      <c r="D1016" s="120" t="s">
        <v>3563</v>
      </c>
      <c r="E1016" s="98">
        <v>0.17445366666666701</v>
      </c>
      <c r="F1016" s="120">
        <v>0</v>
      </c>
      <c r="G1016" s="121">
        <v>34066</v>
      </c>
      <c r="H1016" s="123">
        <v>0.174454</v>
      </c>
      <c r="I1016" s="122">
        <v>5942.9499640000004</v>
      </c>
      <c r="J1016" s="124">
        <f t="shared" si="15"/>
        <v>174.453666666667</v>
      </c>
    </row>
    <row r="1017" spans="1:11" ht="15" customHeight="1" x14ac:dyDescent="0.2">
      <c r="A1017" s="120" t="s">
        <v>5125</v>
      </c>
      <c r="B1017" s="120" t="s">
        <v>5126</v>
      </c>
      <c r="C1017" s="98" t="s">
        <v>3532</v>
      </c>
      <c r="D1017" s="120" t="s">
        <v>3563</v>
      </c>
      <c r="E1017" s="98">
        <v>5.4999999999999997E-3</v>
      </c>
      <c r="F1017" s="120">
        <v>0</v>
      </c>
      <c r="G1017" s="121">
        <v>0</v>
      </c>
      <c r="H1017" s="123">
        <v>5.4999999999999997E-3</v>
      </c>
      <c r="I1017" s="122">
        <v>0</v>
      </c>
      <c r="J1017" s="124">
        <f t="shared" si="15"/>
        <v>5.5</v>
      </c>
    </row>
    <row r="1018" spans="1:11" ht="15" customHeight="1" x14ac:dyDescent="0.2">
      <c r="A1018" s="120" t="s">
        <v>5127</v>
      </c>
      <c r="B1018" s="120" t="s">
        <v>5113</v>
      </c>
      <c r="C1018" s="98" t="s">
        <v>3533</v>
      </c>
      <c r="D1018" s="120" t="s">
        <v>3563</v>
      </c>
      <c r="E1018" s="98">
        <v>7.7690999999999996E-2</v>
      </c>
      <c r="F1018" s="120">
        <v>0</v>
      </c>
      <c r="G1018" s="121">
        <v>54040</v>
      </c>
      <c r="H1018" s="123">
        <v>7.7690999999999996E-2</v>
      </c>
      <c r="I1018" s="122">
        <v>4198.4216399999996</v>
      </c>
      <c r="J1018" s="124">
        <f t="shared" si="15"/>
        <v>77.691000000000003</v>
      </c>
      <c r="K1018" s="98" t="s">
        <v>2379</v>
      </c>
    </row>
    <row r="1019" spans="1:11" ht="15" customHeight="1" x14ac:dyDescent="0.2">
      <c r="A1019" s="120" t="s">
        <v>5128</v>
      </c>
      <c r="B1019" s="120" t="s">
        <v>5129</v>
      </c>
      <c r="C1019" s="98" t="s">
        <v>3532</v>
      </c>
      <c r="D1019" s="120" t="s">
        <v>3563</v>
      </c>
      <c r="E1019" s="98">
        <v>4.4900000000000001E-3</v>
      </c>
      <c r="F1019" s="120">
        <v>0</v>
      </c>
      <c r="G1019" s="121">
        <v>0</v>
      </c>
      <c r="H1019" s="123">
        <v>4.4900000000000001E-3</v>
      </c>
      <c r="I1019" s="122">
        <v>0</v>
      </c>
      <c r="J1019" s="124">
        <f t="shared" si="15"/>
        <v>4.49</v>
      </c>
    </row>
    <row r="1020" spans="1:11" ht="15" customHeight="1" x14ac:dyDescent="0.2">
      <c r="A1020" s="120" t="s">
        <v>5130</v>
      </c>
      <c r="B1020" s="120" t="s">
        <v>5131</v>
      </c>
      <c r="C1020" s="98" t="s">
        <v>3533</v>
      </c>
      <c r="D1020" s="120" t="s">
        <v>3563</v>
      </c>
      <c r="E1020" s="98">
        <v>1.7306112500000002E-2</v>
      </c>
      <c r="F1020" s="120">
        <v>0</v>
      </c>
      <c r="G1020" s="121">
        <v>120330</v>
      </c>
      <c r="H1020" s="123">
        <v>1.7305999999999998E-2</v>
      </c>
      <c r="I1020" s="122">
        <v>2082.4309799999996</v>
      </c>
      <c r="J1020" s="124">
        <f t="shared" si="15"/>
        <v>17.306112500000001</v>
      </c>
      <c r="K1020" s="98" t="s">
        <v>5132</v>
      </c>
    </row>
    <row r="1021" spans="1:11" ht="15" customHeight="1" x14ac:dyDescent="0.2">
      <c r="A1021" s="120" t="s">
        <v>5133</v>
      </c>
      <c r="B1021" s="120" t="s">
        <v>3532</v>
      </c>
      <c r="C1021" s="98" t="s">
        <v>3532</v>
      </c>
      <c r="D1021" s="120" t="s">
        <v>3563</v>
      </c>
      <c r="E1021" s="98">
        <v>0.39737</v>
      </c>
      <c r="F1021" s="120">
        <v>0</v>
      </c>
      <c r="G1021" s="121">
        <v>0</v>
      </c>
      <c r="H1021" s="123">
        <v>0.39737</v>
      </c>
      <c r="I1021" s="122">
        <v>0</v>
      </c>
      <c r="J1021" s="124">
        <f t="shared" si="15"/>
        <v>397.37</v>
      </c>
    </row>
    <row r="1022" spans="1:11" ht="15" customHeight="1" x14ac:dyDescent="0.2">
      <c r="A1022" s="120" t="s">
        <v>5134</v>
      </c>
      <c r="B1022" s="120" t="s">
        <v>3532</v>
      </c>
      <c r="C1022" s="98" t="s">
        <v>3533</v>
      </c>
      <c r="D1022" s="120" t="s">
        <v>3563</v>
      </c>
      <c r="E1022" s="98">
        <v>8.5000000000000006E-3</v>
      </c>
      <c r="F1022" s="120">
        <v>0</v>
      </c>
      <c r="G1022" s="121">
        <v>0</v>
      </c>
      <c r="H1022" s="123">
        <v>8.5000000000000006E-3</v>
      </c>
      <c r="I1022" s="122">
        <v>0</v>
      </c>
      <c r="J1022" s="124">
        <f t="shared" si="15"/>
        <v>8.5</v>
      </c>
    </row>
    <row r="1023" spans="1:11" ht="15" customHeight="1" x14ac:dyDescent="0.2">
      <c r="A1023" s="120" t="s">
        <v>5135</v>
      </c>
      <c r="B1023" s="120" t="s">
        <v>3532</v>
      </c>
      <c r="C1023" s="98" t="s">
        <v>3532</v>
      </c>
      <c r="D1023" s="120" t="s">
        <v>3563</v>
      </c>
      <c r="E1023" s="98">
        <v>7.8090000000000007E-2</v>
      </c>
      <c r="F1023" s="120">
        <v>0</v>
      </c>
      <c r="G1023" s="121">
        <v>0</v>
      </c>
      <c r="H1023" s="123">
        <v>7.8090000000000007E-2</v>
      </c>
      <c r="I1023" s="122">
        <v>0</v>
      </c>
      <c r="J1023" s="124">
        <f t="shared" si="15"/>
        <v>78.09</v>
      </c>
    </row>
    <row r="1024" spans="1:11" ht="15" customHeight="1" x14ac:dyDescent="0.2">
      <c r="A1024" s="120" t="s">
        <v>5136</v>
      </c>
      <c r="B1024" s="120" t="s">
        <v>3532</v>
      </c>
      <c r="C1024" s="98" t="s">
        <v>3532</v>
      </c>
      <c r="D1024" s="120" t="s">
        <v>3563</v>
      </c>
      <c r="E1024" s="98">
        <v>0.01</v>
      </c>
      <c r="F1024" s="120">
        <v>0</v>
      </c>
      <c r="G1024" s="121">
        <v>0</v>
      </c>
      <c r="H1024" s="123">
        <v>0.01</v>
      </c>
      <c r="I1024" s="122">
        <v>0</v>
      </c>
      <c r="J1024" s="124">
        <f t="shared" si="15"/>
        <v>10</v>
      </c>
    </row>
    <row r="1025" spans="1:11" ht="15" customHeight="1" x14ac:dyDescent="0.2">
      <c r="A1025" s="120" t="s">
        <v>5137</v>
      </c>
      <c r="B1025" s="120" t="s">
        <v>2198</v>
      </c>
      <c r="C1025" s="98" t="s">
        <v>3533</v>
      </c>
      <c r="D1025" s="120" t="s">
        <v>3563</v>
      </c>
      <c r="E1025" s="98">
        <v>5.1904000000000004E-3</v>
      </c>
      <c r="F1025" s="120">
        <v>0</v>
      </c>
      <c r="G1025" s="121">
        <v>24370</v>
      </c>
      <c r="H1025" s="123">
        <v>5.1900000000000002E-3</v>
      </c>
      <c r="I1025" s="122">
        <v>126.4803</v>
      </c>
      <c r="J1025" s="124">
        <f t="shared" si="15"/>
        <v>5.1904000000000003</v>
      </c>
      <c r="K1025" s="98" t="s">
        <v>5138</v>
      </c>
    </row>
    <row r="1026" spans="1:11" ht="15" customHeight="1" x14ac:dyDescent="0.2">
      <c r="A1026" s="120" t="s">
        <v>5139</v>
      </c>
      <c r="B1026" s="120" t="s">
        <v>3532</v>
      </c>
      <c r="C1026" s="98" t="s">
        <v>3533</v>
      </c>
      <c r="D1026" s="120" t="s">
        <v>3563</v>
      </c>
      <c r="E1026" s="98">
        <v>0</v>
      </c>
      <c r="F1026" s="120">
        <v>0</v>
      </c>
      <c r="G1026" s="121">
        <v>0</v>
      </c>
      <c r="H1026" s="123">
        <v>0</v>
      </c>
      <c r="I1026" s="122">
        <v>0</v>
      </c>
      <c r="J1026" s="124">
        <f t="shared" ref="J1026:J1089" si="16">IF(D1026="gm", E1026*1000,+E1026)</f>
        <v>0</v>
      </c>
    </row>
    <row r="1027" spans="1:11" ht="15" customHeight="1" x14ac:dyDescent="0.2">
      <c r="A1027" s="120" t="s">
        <v>5140</v>
      </c>
      <c r="B1027" s="120" t="s">
        <v>3532</v>
      </c>
      <c r="C1027" s="98" t="s">
        <v>3532</v>
      </c>
      <c r="D1027" s="120" t="s">
        <v>3563</v>
      </c>
      <c r="E1027" s="98">
        <v>1.7999999999999999E-2</v>
      </c>
      <c r="F1027" s="120">
        <v>0</v>
      </c>
      <c r="G1027" s="121">
        <v>0</v>
      </c>
      <c r="H1027" s="123">
        <v>1.7999999999999999E-2</v>
      </c>
      <c r="I1027" s="122">
        <v>0</v>
      </c>
      <c r="J1027" s="124">
        <f t="shared" si="16"/>
        <v>18</v>
      </c>
    </row>
    <row r="1028" spans="1:11" ht="15" customHeight="1" x14ac:dyDescent="0.2">
      <c r="A1028" s="120" t="s">
        <v>5141</v>
      </c>
      <c r="B1028" s="120" t="s">
        <v>5142</v>
      </c>
      <c r="C1028" s="98" t="s">
        <v>3533</v>
      </c>
      <c r="D1028" s="120" t="s">
        <v>3563</v>
      </c>
      <c r="E1028" s="98">
        <v>0.51</v>
      </c>
      <c r="F1028" s="120">
        <v>0</v>
      </c>
      <c r="G1028" s="121">
        <v>2591</v>
      </c>
      <c r="H1028" s="123">
        <v>0.51</v>
      </c>
      <c r="I1028" s="122">
        <v>1321.41</v>
      </c>
      <c r="J1028" s="124">
        <f t="shared" si="16"/>
        <v>510</v>
      </c>
      <c r="K1028" s="98" t="s">
        <v>5143</v>
      </c>
    </row>
    <row r="1029" spans="1:11" ht="15" customHeight="1" x14ac:dyDescent="0.2">
      <c r="A1029" s="120" t="s">
        <v>5144</v>
      </c>
      <c r="B1029" s="120" t="s">
        <v>3532</v>
      </c>
      <c r="C1029" s="98" t="s">
        <v>3532</v>
      </c>
      <c r="D1029" s="120" t="s">
        <v>3563</v>
      </c>
      <c r="E1029" s="98">
        <v>6.5000000000000002E-2</v>
      </c>
      <c r="F1029" s="120">
        <v>0</v>
      </c>
      <c r="G1029" s="121">
        <v>0</v>
      </c>
      <c r="H1029" s="123">
        <v>6.5000000000000002E-2</v>
      </c>
      <c r="I1029" s="122">
        <v>0</v>
      </c>
      <c r="J1029" s="124">
        <f t="shared" si="16"/>
        <v>65</v>
      </c>
    </row>
    <row r="1030" spans="1:11" ht="15" customHeight="1" x14ac:dyDescent="0.2">
      <c r="A1030" s="120" t="s">
        <v>5145</v>
      </c>
      <c r="B1030" s="120" t="s">
        <v>2198</v>
      </c>
      <c r="C1030" s="98" t="s">
        <v>3533</v>
      </c>
      <c r="D1030" s="120" t="s">
        <v>3563</v>
      </c>
      <c r="E1030" s="98">
        <v>4.7E-2</v>
      </c>
      <c r="F1030" s="120">
        <v>0</v>
      </c>
      <c r="G1030" s="121">
        <v>72328</v>
      </c>
      <c r="H1030" s="123">
        <v>4.7E-2</v>
      </c>
      <c r="I1030" s="122">
        <v>3399.4160000000002</v>
      </c>
      <c r="J1030" s="124">
        <f t="shared" si="16"/>
        <v>47</v>
      </c>
      <c r="K1030" s="98" t="s">
        <v>2567</v>
      </c>
    </row>
    <row r="1031" spans="1:11" ht="15" customHeight="1" x14ac:dyDescent="0.2">
      <c r="A1031" s="120" t="s">
        <v>5146</v>
      </c>
      <c r="B1031" s="120" t="s">
        <v>5147</v>
      </c>
      <c r="C1031" s="98" t="s">
        <v>3533</v>
      </c>
      <c r="D1031" s="120" t="s">
        <v>3563</v>
      </c>
      <c r="E1031" s="98">
        <v>3.85E-2</v>
      </c>
      <c r="F1031" s="120">
        <v>0</v>
      </c>
      <c r="G1031" s="121">
        <v>0</v>
      </c>
      <c r="H1031" s="123">
        <v>3.85E-2</v>
      </c>
      <c r="I1031" s="122">
        <v>0</v>
      </c>
      <c r="J1031" s="124">
        <f t="shared" si="16"/>
        <v>38.5</v>
      </c>
      <c r="K1031" s="98" t="s">
        <v>5148</v>
      </c>
    </row>
    <row r="1032" spans="1:11" ht="15" customHeight="1" x14ac:dyDescent="0.2">
      <c r="A1032" s="120" t="s">
        <v>5149</v>
      </c>
      <c r="B1032" s="120" t="s">
        <v>3532</v>
      </c>
      <c r="C1032" s="98" t="s">
        <v>3532</v>
      </c>
      <c r="D1032" s="120" t="s">
        <v>3563</v>
      </c>
      <c r="E1032" s="98">
        <v>4.7E-2</v>
      </c>
      <c r="F1032" s="120">
        <v>0</v>
      </c>
      <c r="G1032" s="121">
        <v>0</v>
      </c>
      <c r="H1032" s="123">
        <v>4.7E-2</v>
      </c>
      <c r="I1032" s="122">
        <v>0</v>
      </c>
      <c r="J1032" s="124">
        <f t="shared" si="16"/>
        <v>47</v>
      </c>
    </row>
    <row r="1033" spans="1:11" ht="15" customHeight="1" x14ac:dyDescent="0.2">
      <c r="A1033" s="120" t="s">
        <v>2200</v>
      </c>
      <c r="B1033" s="120" t="s">
        <v>2198</v>
      </c>
      <c r="C1033" s="98" t="s">
        <v>3533</v>
      </c>
      <c r="D1033" s="120" t="s">
        <v>3563</v>
      </c>
      <c r="E1033" s="98">
        <v>2.52E-2</v>
      </c>
      <c r="F1033" s="120">
        <v>0</v>
      </c>
      <c r="G1033" s="121">
        <v>51580</v>
      </c>
      <c r="H1033" s="123">
        <v>2.52E-2</v>
      </c>
      <c r="I1033" s="122">
        <v>1299.816</v>
      </c>
      <c r="J1033" s="124">
        <f t="shared" si="16"/>
        <v>25.2</v>
      </c>
      <c r="K1033" s="98" t="s">
        <v>5150</v>
      </c>
    </row>
    <row r="1034" spans="1:11" ht="15" customHeight="1" x14ac:dyDescent="0.2">
      <c r="A1034" s="120" t="s">
        <v>2190</v>
      </c>
      <c r="B1034" s="120" t="s">
        <v>2184</v>
      </c>
      <c r="C1034" s="98" t="s">
        <v>3533</v>
      </c>
      <c r="D1034" s="120" t="s">
        <v>3563</v>
      </c>
      <c r="E1034" s="98">
        <v>6.2E-2</v>
      </c>
      <c r="F1034" s="120">
        <v>0</v>
      </c>
      <c r="G1034" s="121">
        <v>17228</v>
      </c>
      <c r="H1034" s="123">
        <v>6.2E-2</v>
      </c>
      <c r="I1034" s="122">
        <v>1068.136</v>
      </c>
      <c r="J1034" s="124">
        <f t="shared" si="16"/>
        <v>62</v>
      </c>
      <c r="K1034" s="98" t="s">
        <v>2405</v>
      </c>
    </row>
    <row r="1035" spans="1:11" ht="15" customHeight="1" x14ac:dyDescent="0.2">
      <c r="A1035" s="120" t="s">
        <v>5151</v>
      </c>
      <c r="B1035" s="120" t="s">
        <v>3532</v>
      </c>
      <c r="C1035" s="98" t="s">
        <v>3532</v>
      </c>
      <c r="D1035" s="120" t="s">
        <v>3563</v>
      </c>
      <c r="E1035" s="98">
        <v>2.9000000000000001E-2</v>
      </c>
      <c r="F1035" s="120">
        <v>0</v>
      </c>
      <c r="G1035" s="121">
        <v>0</v>
      </c>
      <c r="H1035" s="123">
        <v>2.9000000000000001E-2</v>
      </c>
      <c r="I1035" s="122">
        <v>0</v>
      </c>
      <c r="J1035" s="124">
        <f t="shared" si="16"/>
        <v>29</v>
      </c>
    </row>
    <row r="1036" spans="1:11" ht="15" customHeight="1" x14ac:dyDescent="0.2">
      <c r="A1036" s="120" t="s">
        <v>5152</v>
      </c>
      <c r="B1036" s="120" t="s">
        <v>2215</v>
      </c>
      <c r="C1036" s="98" t="s">
        <v>3533</v>
      </c>
      <c r="D1036" s="120" t="s">
        <v>3563</v>
      </c>
      <c r="E1036" s="98">
        <v>8.7500000000000008E-3</v>
      </c>
      <c r="F1036" s="120">
        <v>200000</v>
      </c>
      <c r="G1036" s="121">
        <v>248795</v>
      </c>
      <c r="H1036" s="123">
        <v>8.7500000000000008E-3</v>
      </c>
      <c r="I1036" s="122">
        <v>2176.9562500000002</v>
      </c>
      <c r="J1036" s="124">
        <f t="shared" si="16"/>
        <v>8.75</v>
      </c>
      <c r="K1036" s="98" t="s">
        <v>5153</v>
      </c>
    </row>
    <row r="1037" spans="1:11" ht="15" customHeight="1" x14ac:dyDescent="0.2">
      <c r="A1037" s="120" t="s">
        <v>5154</v>
      </c>
      <c r="B1037" s="120" t="s">
        <v>2184</v>
      </c>
      <c r="C1037" s="98" t="s">
        <v>3533</v>
      </c>
      <c r="D1037" s="120" t="s">
        <v>3563</v>
      </c>
      <c r="E1037" s="98">
        <v>1.2E-2</v>
      </c>
      <c r="F1037" s="120">
        <v>0</v>
      </c>
      <c r="G1037" s="121">
        <v>63065</v>
      </c>
      <c r="H1037" s="123">
        <v>1.2E-2</v>
      </c>
      <c r="I1037" s="122">
        <v>756.78</v>
      </c>
      <c r="J1037" s="124">
        <f t="shared" si="16"/>
        <v>12</v>
      </c>
      <c r="K1037" s="98" t="s">
        <v>2387</v>
      </c>
    </row>
    <row r="1038" spans="1:11" ht="15" customHeight="1" x14ac:dyDescent="0.2">
      <c r="A1038" s="120" t="s">
        <v>5155</v>
      </c>
      <c r="B1038" s="120" t="s">
        <v>2184</v>
      </c>
      <c r="C1038" s="98" t="s">
        <v>3533</v>
      </c>
      <c r="D1038" s="120" t="s">
        <v>3563</v>
      </c>
      <c r="E1038" s="98">
        <v>2.5000000000000001E-2</v>
      </c>
      <c r="F1038" s="120">
        <v>0</v>
      </c>
      <c r="G1038" s="121">
        <v>25255</v>
      </c>
      <c r="H1038" s="123">
        <v>2.5000000000000001E-2</v>
      </c>
      <c r="I1038" s="122">
        <v>631.375</v>
      </c>
      <c r="J1038" s="124">
        <f t="shared" si="16"/>
        <v>25</v>
      </c>
      <c r="K1038" s="98" t="s">
        <v>2387</v>
      </c>
    </row>
    <row r="1039" spans="1:11" ht="15" customHeight="1" x14ac:dyDescent="0.2">
      <c r="A1039" s="120" t="s">
        <v>5156</v>
      </c>
      <c r="B1039" s="120" t="s">
        <v>2254</v>
      </c>
      <c r="C1039" s="98" t="s">
        <v>3540</v>
      </c>
      <c r="D1039" s="120" t="s">
        <v>3563</v>
      </c>
      <c r="E1039" s="98">
        <v>0.65300000000000002</v>
      </c>
      <c r="F1039" s="120">
        <v>0</v>
      </c>
      <c r="G1039" s="121">
        <v>0</v>
      </c>
      <c r="H1039" s="123">
        <v>0.65300000000000002</v>
      </c>
      <c r="I1039" s="122">
        <v>0</v>
      </c>
      <c r="J1039" s="124">
        <f t="shared" si="16"/>
        <v>653</v>
      </c>
    </row>
    <row r="1040" spans="1:11" ht="15" customHeight="1" x14ac:dyDescent="0.2">
      <c r="A1040" s="120" t="s">
        <v>5157</v>
      </c>
      <c r="B1040" s="120" t="s">
        <v>3532</v>
      </c>
      <c r="C1040" s="98" t="s">
        <v>3532</v>
      </c>
      <c r="D1040" s="120" t="s">
        <v>3563</v>
      </c>
      <c r="E1040" s="98">
        <v>1.4250000000000001E-2</v>
      </c>
      <c r="F1040" s="120">
        <v>0</v>
      </c>
      <c r="G1040" s="121">
        <v>0</v>
      </c>
      <c r="H1040" s="123">
        <v>1.4250000000000001E-2</v>
      </c>
      <c r="I1040" s="122">
        <v>0</v>
      </c>
      <c r="J1040" s="124">
        <f t="shared" si="16"/>
        <v>14.25</v>
      </c>
    </row>
    <row r="1041" spans="1:11" ht="15" customHeight="1" x14ac:dyDescent="0.2">
      <c r="A1041" s="120" t="s">
        <v>5158</v>
      </c>
      <c r="B1041" s="120" t="s">
        <v>2146</v>
      </c>
      <c r="C1041" s="98" t="s">
        <v>3532</v>
      </c>
      <c r="D1041" s="120" t="s">
        <v>3563</v>
      </c>
      <c r="E1041" s="98">
        <v>0.06</v>
      </c>
      <c r="F1041" s="120">
        <v>0</v>
      </c>
      <c r="G1041" s="121">
        <v>19545</v>
      </c>
      <c r="H1041" s="123">
        <v>0.06</v>
      </c>
      <c r="I1041" s="122">
        <v>1172.7</v>
      </c>
      <c r="J1041" s="124">
        <f t="shared" si="16"/>
        <v>60</v>
      </c>
    </row>
    <row r="1042" spans="1:11" ht="15" customHeight="1" x14ac:dyDescent="0.2">
      <c r="A1042" s="120" t="s">
        <v>5159</v>
      </c>
      <c r="B1042" s="120" t="s">
        <v>5160</v>
      </c>
      <c r="C1042" s="98" t="s">
        <v>3533</v>
      </c>
      <c r="D1042" s="120" t="s">
        <v>3563</v>
      </c>
      <c r="E1042" s="98">
        <v>2.75</v>
      </c>
      <c r="F1042" s="120">
        <v>0</v>
      </c>
      <c r="G1042" s="121">
        <v>0</v>
      </c>
      <c r="H1042" s="123">
        <v>2.75</v>
      </c>
      <c r="I1042" s="122">
        <v>0</v>
      </c>
      <c r="J1042" s="124">
        <f t="shared" si="16"/>
        <v>2750</v>
      </c>
      <c r="K1042" s="98" t="s">
        <v>5161</v>
      </c>
    </row>
    <row r="1043" spans="1:11" ht="15" customHeight="1" x14ac:dyDescent="0.2">
      <c r="A1043" s="120" t="s">
        <v>5162</v>
      </c>
      <c r="B1043" s="120" t="s">
        <v>5147</v>
      </c>
      <c r="C1043" s="98" t="s">
        <v>3533</v>
      </c>
      <c r="D1043" s="120" t="s">
        <v>3563</v>
      </c>
      <c r="E1043" s="98">
        <v>2.2249999999999999E-2</v>
      </c>
      <c r="F1043" s="120">
        <v>0</v>
      </c>
      <c r="G1043" s="121">
        <v>4318</v>
      </c>
      <c r="H1043" s="123">
        <v>2.2249999999999999E-2</v>
      </c>
      <c r="I1043" s="122">
        <v>96.075499999999991</v>
      </c>
      <c r="J1043" s="124">
        <f t="shared" si="16"/>
        <v>22.25</v>
      </c>
      <c r="K1043" s="98" t="s">
        <v>5163</v>
      </c>
    </row>
    <row r="1044" spans="1:11" ht="15" customHeight="1" x14ac:dyDescent="0.2">
      <c r="A1044" s="120" t="s">
        <v>5164</v>
      </c>
      <c r="B1044" s="120" t="s">
        <v>3532</v>
      </c>
      <c r="C1044" s="98" t="s">
        <v>3532</v>
      </c>
      <c r="D1044" s="120" t="s">
        <v>3563</v>
      </c>
      <c r="E1044" s="98">
        <v>0</v>
      </c>
      <c r="F1044" s="120">
        <v>0</v>
      </c>
      <c r="G1044" s="121">
        <v>0</v>
      </c>
      <c r="H1044" s="123">
        <v>0</v>
      </c>
      <c r="I1044" s="122">
        <v>0</v>
      </c>
      <c r="J1044" s="124">
        <f t="shared" si="16"/>
        <v>0</v>
      </c>
    </row>
    <row r="1045" spans="1:11" ht="15" customHeight="1" x14ac:dyDescent="0.2">
      <c r="A1045" s="120" t="s">
        <v>5165</v>
      </c>
      <c r="B1045" s="120" t="s">
        <v>2198</v>
      </c>
      <c r="C1045" s="98" t="s">
        <v>3533</v>
      </c>
      <c r="D1045" s="120" t="s">
        <v>3563</v>
      </c>
      <c r="E1045" s="98">
        <v>3.7477954144620801E-3</v>
      </c>
      <c r="F1045" s="120">
        <v>0</v>
      </c>
      <c r="G1045" s="121">
        <v>68455</v>
      </c>
      <c r="H1045" s="123">
        <v>3.748E-3</v>
      </c>
      <c r="I1045" s="122">
        <v>256.56934000000001</v>
      </c>
      <c r="J1045" s="124">
        <f t="shared" si="16"/>
        <v>3.7477954144620802</v>
      </c>
      <c r="K1045" s="98" t="s">
        <v>5166</v>
      </c>
    </row>
    <row r="1046" spans="1:11" ht="15" customHeight="1" x14ac:dyDescent="0.2">
      <c r="A1046" s="120" t="s">
        <v>5167</v>
      </c>
      <c r="B1046" s="120" t="s">
        <v>3532</v>
      </c>
      <c r="C1046" s="98" t="s">
        <v>3532</v>
      </c>
      <c r="D1046" s="120" t="s">
        <v>3563</v>
      </c>
      <c r="E1046" s="98">
        <v>2.9319999999999999E-2</v>
      </c>
      <c r="F1046" s="120">
        <v>0</v>
      </c>
      <c r="G1046" s="121">
        <v>0</v>
      </c>
      <c r="H1046" s="123">
        <v>2.9319999999999999E-2</v>
      </c>
      <c r="I1046" s="122">
        <v>0</v>
      </c>
      <c r="J1046" s="124">
        <f t="shared" si="16"/>
        <v>29.32</v>
      </c>
    </row>
    <row r="1047" spans="1:11" ht="15" customHeight="1" x14ac:dyDescent="0.2">
      <c r="A1047" s="120" t="s">
        <v>5168</v>
      </c>
      <c r="B1047" s="120" t="s">
        <v>4783</v>
      </c>
      <c r="C1047" s="98" t="s">
        <v>3533</v>
      </c>
      <c r="D1047" s="120" t="s">
        <v>3563</v>
      </c>
      <c r="E1047" s="98">
        <v>0.15</v>
      </c>
      <c r="F1047" s="120">
        <v>0</v>
      </c>
      <c r="G1047" s="121">
        <v>0</v>
      </c>
      <c r="H1047" s="123">
        <v>0.15</v>
      </c>
      <c r="I1047" s="122">
        <v>0</v>
      </c>
      <c r="J1047" s="124">
        <f t="shared" si="16"/>
        <v>150</v>
      </c>
      <c r="K1047" s="98" t="s">
        <v>5169</v>
      </c>
    </row>
    <row r="1048" spans="1:11" ht="15" customHeight="1" x14ac:dyDescent="0.2">
      <c r="A1048" s="120" t="s">
        <v>5170</v>
      </c>
      <c r="B1048" s="120" t="s">
        <v>5076</v>
      </c>
      <c r="C1048" s="98" t="s">
        <v>3533</v>
      </c>
      <c r="D1048" s="120" t="s">
        <v>3563</v>
      </c>
      <c r="E1048" s="98">
        <v>7.8554894179894193E-3</v>
      </c>
      <c r="F1048" s="120">
        <v>0</v>
      </c>
      <c r="G1048" s="121">
        <v>250675</v>
      </c>
      <c r="H1048" s="123">
        <v>7.8549999999999991E-3</v>
      </c>
      <c r="I1048" s="122">
        <v>1969.0521249999997</v>
      </c>
      <c r="J1048" s="124">
        <f t="shared" si="16"/>
        <v>7.8554894179894195</v>
      </c>
      <c r="K1048" s="98" t="s">
        <v>5171</v>
      </c>
    </row>
    <row r="1049" spans="1:11" ht="15" customHeight="1" x14ac:dyDescent="0.2">
      <c r="A1049" s="120" t="s">
        <v>5172</v>
      </c>
      <c r="B1049" s="120" t="s">
        <v>5147</v>
      </c>
      <c r="C1049" s="98" t="s">
        <v>3533</v>
      </c>
      <c r="D1049" s="120" t="s">
        <v>3563</v>
      </c>
      <c r="E1049" s="98">
        <v>7.3</v>
      </c>
      <c r="F1049" s="120">
        <v>0</v>
      </c>
      <c r="G1049" s="121">
        <v>357.4</v>
      </c>
      <c r="H1049" s="123">
        <v>7.3</v>
      </c>
      <c r="I1049" s="122">
        <v>2609.02</v>
      </c>
      <c r="J1049" s="124">
        <f t="shared" si="16"/>
        <v>7300</v>
      </c>
      <c r="K1049" s="98" t="s">
        <v>5173</v>
      </c>
    </row>
    <row r="1050" spans="1:11" ht="15" customHeight="1" x14ac:dyDescent="0.2">
      <c r="A1050" s="120" t="s">
        <v>5174</v>
      </c>
      <c r="B1050" s="120" t="s">
        <v>3532</v>
      </c>
      <c r="C1050" s="98" t="s">
        <v>3532</v>
      </c>
      <c r="D1050" s="120" t="s">
        <v>3563</v>
      </c>
      <c r="E1050" s="98">
        <v>3.031E-2</v>
      </c>
      <c r="F1050" s="120">
        <v>0</v>
      </c>
      <c r="G1050" s="121">
        <v>0</v>
      </c>
      <c r="H1050" s="123">
        <v>3.031E-2</v>
      </c>
      <c r="I1050" s="122">
        <v>0</v>
      </c>
      <c r="J1050" s="124">
        <f t="shared" si="16"/>
        <v>30.31</v>
      </c>
    </row>
    <row r="1051" spans="1:11" ht="15" customHeight="1" x14ac:dyDescent="0.2">
      <c r="A1051" s="120" t="s">
        <v>5175</v>
      </c>
      <c r="B1051" s="120" t="s">
        <v>2198</v>
      </c>
      <c r="C1051" s="98" t="s">
        <v>3533</v>
      </c>
      <c r="D1051" s="120" t="s">
        <v>3563</v>
      </c>
      <c r="E1051" s="98">
        <v>9.6781305114638401E-3</v>
      </c>
      <c r="F1051" s="120">
        <v>0</v>
      </c>
      <c r="G1051" s="121">
        <v>43355</v>
      </c>
      <c r="H1051" s="123">
        <v>9.6780000000000008E-3</v>
      </c>
      <c r="I1051" s="122">
        <v>419.58969000000002</v>
      </c>
      <c r="J1051" s="124">
        <f t="shared" si="16"/>
        <v>9.6781305114638396</v>
      </c>
      <c r="K1051" s="98" t="s">
        <v>5176</v>
      </c>
    </row>
    <row r="1052" spans="1:11" ht="15" customHeight="1" x14ac:dyDescent="0.2">
      <c r="A1052" s="120" t="s">
        <v>5177</v>
      </c>
      <c r="B1052" s="120" t="s">
        <v>2184</v>
      </c>
      <c r="C1052" s="98" t="s">
        <v>3533</v>
      </c>
      <c r="D1052" s="120" t="s">
        <v>3563</v>
      </c>
      <c r="E1052" s="98">
        <v>5.0000000000000001E-3</v>
      </c>
      <c r="F1052" s="120">
        <v>0</v>
      </c>
      <c r="G1052" s="121">
        <v>52100</v>
      </c>
      <c r="H1052" s="123">
        <v>5.0000000000000001E-3</v>
      </c>
      <c r="I1052" s="122">
        <v>260.5</v>
      </c>
      <c r="J1052" s="124">
        <f t="shared" si="16"/>
        <v>5</v>
      </c>
      <c r="K1052" s="98" t="s">
        <v>2387</v>
      </c>
    </row>
    <row r="1053" spans="1:11" ht="15" customHeight="1" x14ac:dyDescent="0.2">
      <c r="A1053" s="120" t="s">
        <v>5178</v>
      </c>
      <c r="B1053" s="120" t="s">
        <v>3532</v>
      </c>
      <c r="C1053" s="98" t="s">
        <v>3533</v>
      </c>
      <c r="D1053" s="120" t="s">
        <v>3563</v>
      </c>
      <c r="E1053" s="98">
        <v>1.4E-2</v>
      </c>
      <c r="F1053" s="120">
        <v>0</v>
      </c>
      <c r="G1053" s="121">
        <v>0</v>
      </c>
      <c r="H1053" s="123">
        <v>1.4E-2</v>
      </c>
      <c r="I1053" s="122">
        <v>0</v>
      </c>
      <c r="J1053" s="124">
        <f t="shared" si="16"/>
        <v>14</v>
      </c>
    </row>
    <row r="1054" spans="1:11" ht="15" customHeight="1" x14ac:dyDescent="0.2">
      <c r="A1054" s="120" t="s">
        <v>5179</v>
      </c>
      <c r="B1054" s="120" t="s">
        <v>3532</v>
      </c>
      <c r="C1054" s="98" t="s">
        <v>3532</v>
      </c>
      <c r="D1054" s="120" t="s">
        <v>3563</v>
      </c>
      <c r="E1054" s="98">
        <v>1.175E-2</v>
      </c>
      <c r="F1054" s="120">
        <v>0</v>
      </c>
      <c r="G1054" s="121">
        <v>0</v>
      </c>
      <c r="H1054" s="123">
        <v>1.175E-2</v>
      </c>
      <c r="I1054" s="122">
        <v>0</v>
      </c>
      <c r="J1054" s="124">
        <f t="shared" si="16"/>
        <v>11.75</v>
      </c>
    </row>
    <row r="1055" spans="1:11" ht="15" customHeight="1" x14ac:dyDescent="0.2">
      <c r="A1055" s="120" t="s">
        <v>5180</v>
      </c>
      <c r="B1055" s="120" t="s">
        <v>3532</v>
      </c>
      <c r="C1055" s="98" t="s">
        <v>3532</v>
      </c>
      <c r="D1055" s="120" t="s">
        <v>3563</v>
      </c>
      <c r="E1055" s="98">
        <v>1.6750000000000001E-2</v>
      </c>
      <c r="F1055" s="120">
        <v>0</v>
      </c>
      <c r="G1055" s="121">
        <v>0</v>
      </c>
      <c r="H1055" s="123">
        <v>1.6750000000000001E-2</v>
      </c>
      <c r="I1055" s="122">
        <v>0</v>
      </c>
      <c r="J1055" s="124">
        <f t="shared" si="16"/>
        <v>16.75</v>
      </c>
    </row>
    <row r="1056" spans="1:11" ht="15" customHeight="1" x14ac:dyDescent="0.2">
      <c r="A1056" s="120" t="s">
        <v>5181</v>
      </c>
      <c r="B1056" s="120" t="s">
        <v>5182</v>
      </c>
      <c r="C1056" s="98" t="s">
        <v>3533</v>
      </c>
      <c r="D1056" s="120" t="s">
        <v>3563</v>
      </c>
      <c r="E1056" s="98">
        <v>8.7500000000000008E-3</v>
      </c>
      <c r="F1056" s="120">
        <v>0</v>
      </c>
      <c r="G1056" s="121">
        <v>7440</v>
      </c>
      <c r="H1056" s="123">
        <v>8.7500000000000008E-3</v>
      </c>
      <c r="I1056" s="122">
        <v>65.100000000000009</v>
      </c>
      <c r="J1056" s="124">
        <f t="shared" si="16"/>
        <v>8.75</v>
      </c>
      <c r="K1056" s="98" t="s">
        <v>5183</v>
      </c>
    </row>
    <row r="1057" spans="1:11" ht="15" customHeight="1" x14ac:dyDescent="0.2">
      <c r="A1057" s="120" t="s">
        <v>5184</v>
      </c>
      <c r="B1057" s="120" t="s">
        <v>3532</v>
      </c>
      <c r="C1057" s="98" t="s">
        <v>3532</v>
      </c>
      <c r="D1057" s="120" t="s">
        <v>3563</v>
      </c>
      <c r="E1057" s="98">
        <v>1.2500000000000001E-2</v>
      </c>
      <c r="F1057" s="120">
        <v>0</v>
      </c>
      <c r="G1057" s="121">
        <v>0</v>
      </c>
      <c r="H1057" s="123">
        <v>1.2500000000000001E-2</v>
      </c>
      <c r="I1057" s="122">
        <v>0</v>
      </c>
      <c r="J1057" s="124">
        <f t="shared" si="16"/>
        <v>12.5</v>
      </c>
    </row>
    <row r="1058" spans="1:11" ht="15" customHeight="1" x14ac:dyDescent="0.2">
      <c r="A1058" s="120" t="s">
        <v>5185</v>
      </c>
      <c r="B1058" s="120" t="s">
        <v>5186</v>
      </c>
      <c r="C1058" s="98" t="s">
        <v>3532</v>
      </c>
      <c r="D1058" s="120" t="s">
        <v>3563</v>
      </c>
      <c r="E1058" s="98">
        <v>0</v>
      </c>
      <c r="F1058" s="120">
        <v>0</v>
      </c>
      <c r="G1058" s="121">
        <v>0</v>
      </c>
      <c r="H1058" s="123">
        <v>0</v>
      </c>
      <c r="I1058" s="122">
        <v>0</v>
      </c>
      <c r="J1058" s="124">
        <f t="shared" si="16"/>
        <v>0</v>
      </c>
    </row>
    <row r="1059" spans="1:11" ht="15" customHeight="1" x14ac:dyDescent="0.2">
      <c r="A1059" s="120" t="s">
        <v>5187</v>
      </c>
      <c r="B1059" s="120" t="s">
        <v>4783</v>
      </c>
      <c r="C1059" s="98" t="s">
        <v>3533</v>
      </c>
      <c r="D1059" s="120" t="s">
        <v>3563</v>
      </c>
      <c r="E1059" s="98">
        <v>0.25</v>
      </c>
      <c r="F1059" s="120">
        <v>0</v>
      </c>
      <c r="G1059" s="121">
        <v>1003</v>
      </c>
      <c r="H1059" s="123">
        <v>0.25</v>
      </c>
      <c r="I1059" s="122">
        <v>250.75</v>
      </c>
      <c r="J1059" s="124">
        <f t="shared" si="16"/>
        <v>250</v>
      </c>
    </row>
    <row r="1060" spans="1:11" ht="15" customHeight="1" x14ac:dyDescent="0.2">
      <c r="A1060" s="120" t="s">
        <v>5188</v>
      </c>
      <c r="B1060" s="120" t="s">
        <v>2254</v>
      </c>
      <c r="C1060" s="98" t="s">
        <v>3533</v>
      </c>
      <c r="D1060" s="120" t="s">
        <v>3563</v>
      </c>
      <c r="E1060" s="98">
        <v>1.7999999999999999E-2</v>
      </c>
      <c r="F1060" s="120">
        <v>0</v>
      </c>
      <c r="G1060" s="121">
        <v>471430</v>
      </c>
      <c r="H1060" s="123">
        <v>1.7999999999999999E-2</v>
      </c>
      <c r="I1060" s="122">
        <v>8485.74</v>
      </c>
      <c r="J1060" s="124">
        <f t="shared" si="16"/>
        <v>18</v>
      </c>
      <c r="K1060" s="98" t="s">
        <v>5189</v>
      </c>
    </row>
    <row r="1061" spans="1:11" ht="15" customHeight="1" x14ac:dyDescent="0.2">
      <c r="A1061" s="120" t="s">
        <v>5190</v>
      </c>
      <c r="B1061" s="120" t="s">
        <v>3532</v>
      </c>
      <c r="C1061" s="98" t="s">
        <v>3532</v>
      </c>
      <c r="D1061" s="120" t="s">
        <v>3563</v>
      </c>
      <c r="E1061" s="98">
        <v>2.5499999999999998E-2</v>
      </c>
      <c r="F1061" s="120">
        <v>0</v>
      </c>
      <c r="G1061" s="121">
        <v>0</v>
      </c>
      <c r="H1061" s="123">
        <v>2.5499999999999998E-2</v>
      </c>
      <c r="I1061" s="122">
        <v>0</v>
      </c>
      <c r="J1061" s="124">
        <f t="shared" si="16"/>
        <v>25.5</v>
      </c>
    </row>
    <row r="1062" spans="1:11" ht="15" customHeight="1" x14ac:dyDescent="0.2">
      <c r="A1062" s="120" t="s">
        <v>5191</v>
      </c>
      <c r="B1062" s="120" t="s">
        <v>5080</v>
      </c>
      <c r="C1062" s="98" t="s">
        <v>3532</v>
      </c>
      <c r="D1062" s="120" t="s">
        <v>3563</v>
      </c>
      <c r="E1062" s="98">
        <v>2.0140000000000002E-2</v>
      </c>
      <c r="F1062" s="120">
        <v>0</v>
      </c>
      <c r="G1062" s="121">
        <v>0</v>
      </c>
      <c r="H1062" s="123">
        <v>2.0140000000000002E-2</v>
      </c>
      <c r="I1062" s="122">
        <v>0</v>
      </c>
      <c r="J1062" s="124">
        <f t="shared" si="16"/>
        <v>20.14</v>
      </c>
    </row>
    <row r="1063" spans="1:11" ht="15" customHeight="1" x14ac:dyDescent="0.2">
      <c r="A1063" s="120" t="s">
        <v>5192</v>
      </c>
      <c r="B1063" s="120" t="s">
        <v>2254</v>
      </c>
      <c r="C1063" s="98" t="s">
        <v>3533</v>
      </c>
      <c r="D1063" s="120" t="s">
        <v>3563</v>
      </c>
      <c r="E1063" s="98">
        <v>8.9999999999999993E-3</v>
      </c>
      <c r="F1063" s="120">
        <v>0</v>
      </c>
      <c r="G1063" s="121">
        <v>12894</v>
      </c>
      <c r="H1063" s="123">
        <v>8.9999999999999993E-3</v>
      </c>
      <c r="I1063" s="122">
        <v>116.04599999999999</v>
      </c>
      <c r="J1063" s="124">
        <f t="shared" si="16"/>
        <v>9</v>
      </c>
      <c r="K1063" s="98" t="s">
        <v>5193</v>
      </c>
    </row>
    <row r="1064" spans="1:11" ht="15" customHeight="1" x14ac:dyDescent="0.2">
      <c r="A1064" s="120" t="s">
        <v>5194</v>
      </c>
      <c r="B1064" s="120" t="s">
        <v>3532</v>
      </c>
      <c r="C1064" s="98" t="s">
        <v>3532</v>
      </c>
      <c r="D1064" s="120" t="s">
        <v>3563</v>
      </c>
      <c r="E1064" s="98">
        <v>1.175E-2</v>
      </c>
      <c r="F1064" s="120">
        <v>0</v>
      </c>
      <c r="G1064" s="121">
        <v>0</v>
      </c>
      <c r="H1064" s="123">
        <v>1.175E-2</v>
      </c>
      <c r="I1064" s="122">
        <v>0</v>
      </c>
      <c r="J1064" s="124">
        <f t="shared" si="16"/>
        <v>11.75</v>
      </c>
    </row>
    <row r="1065" spans="1:11" ht="15" customHeight="1" x14ac:dyDescent="0.2">
      <c r="A1065" s="120" t="s">
        <v>5195</v>
      </c>
      <c r="B1065" s="120" t="s">
        <v>3532</v>
      </c>
      <c r="C1065" s="98" t="s">
        <v>3532</v>
      </c>
      <c r="D1065" s="120" t="s">
        <v>3563</v>
      </c>
      <c r="E1065" s="98">
        <v>6.5500000000000003E-3</v>
      </c>
      <c r="F1065" s="120">
        <v>0</v>
      </c>
      <c r="G1065" s="121">
        <v>0</v>
      </c>
      <c r="H1065" s="123">
        <v>6.5500000000000003E-3</v>
      </c>
      <c r="I1065" s="122">
        <v>0</v>
      </c>
      <c r="J1065" s="124">
        <f t="shared" si="16"/>
        <v>6.5500000000000007</v>
      </c>
    </row>
    <row r="1066" spans="1:11" ht="15" customHeight="1" x14ac:dyDescent="0.2">
      <c r="A1066" s="120" t="s">
        <v>5196</v>
      </c>
      <c r="B1066" s="120" t="s">
        <v>2254</v>
      </c>
      <c r="C1066" s="98" t="s">
        <v>3533</v>
      </c>
      <c r="D1066" s="120" t="s">
        <v>3563</v>
      </c>
      <c r="E1066" s="98">
        <v>4.2999999999999997E-2</v>
      </c>
      <c r="F1066" s="120">
        <v>0</v>
      </c>
      <c r="G1066" s="121">
        <v>70249</v>
      </c>
      <c r="H1066" s="123">
        <v>4.2999999999999997E-2</v>
      </c>
      <c r="I1066" s="122">
        <v>3020.7069999999999</v>
      </c>
      <c r="J1066" s="124">
        <f t="shared" si="16"/>
        <v>43</v>
      </c>
      <c r="K1066" s="98" t="s">
        <v>2466</v>
      </c>
    </row>
    <row r="1067" spans="1:11" ht="15" customHeight="1" x14ac:dyDescent="0.2">
      <c r="A1067" s="120" t="s">
        <v>5197</v>
      </c>
      <c r="B1067" s="120" t="s">
        <v>5198</v>
      </c>
      <c r="C1067" s="98" t="s">
        <v>3533</v>
      </c>
      <c r="D1067" s="120" t="s">
        <v>3563</v>
      </c>
      <c r="E1067" s="98">
        <v>0.06</v>
      </c>
      <c r="F1067" s="120">
        <v>0</v>
      </c>
      <c r="G1067" s="121">
        <v>24600.35</v>
      </c>
      <c r="H1067" s="123">
        <v>0.06</v>
      </c>
      <c r="I1067" s="122">
        <v>1476.021</v>
      </c>
      <c r="J1067" s="124">
        <f t="shared" si="16"/>
        <v>60</v>
      </c>
      <c r="K1067" s="98" t="s">
        <v>3267</v>
      </c>
    </row>
    <row r="1068" spans="1:11" ht="15" customHeight="1" x14ac:dyDescent="0.2">
      <c r="A1068" s="120" t="s">
        <v>5199</v>
      </c>
      <c r="B1068" s="120" t="s">
        <v>5080</v>
      </c>
      <c r="C1068" s="98" t="s">
        <v>3532</v>
      </c>
      <c r="D1068" s="120" t="s">
        <v>3563</v>
      </c>
      <c r="E1068" s="98">
        <v>4.07E-2</v>
      </c>
      <c r="F1068" s="120">
        <v>0</v>
      </c>
      <c r="G1068" s="121">
        <v>0</v>
      </c>
      <c r="H1068" s="123">
        <v>4.07E-2</v>
      </c>
      <c r="I1068" s="122">
        <v>0</v>
      </c>
      <c r="J1068" s="124">
        <f t="shared" si="16"/>
        <v>40.700000000000003</v>
      </c>
    </row>
    <row r="1069" spans="1:11" ht="15" customHeight="1" x14ac:dyDescent="0.2">
      <c r="A1069" s="120" t="s">
        <v>5200</v>
      </c>
      <c r="B1069" s="120" t="s">
        <v>2184</v>
      </c>
      <c r="C1069" s="98" t="s">
        <v>3533</v>
      </c>
      <c r="D1069" s="120" t="s">
        <v>3563</v>
      </c>
      <c r="E1069" s="98">
        <v>1.55E-2</v>
      </c>
      <c r="F1069" s="120">
        <v>0</v>
      </c>
      <c r="G1069" s="121">
        <v>532295</v>
      </c>
      <c r="H1069" s="123">
        <v>1.5058999999999999E-2</v>
      </c>
      <c r="I1069" s="122">
        <v>8015.8304049999997</v>
      </c>
      <c r="J1069" s="124">
        <f t="shared" si="16"/>
        <v>15.5</v>
      </c>
      <c r="K1069" s="98" t="s">
        <v>2379</v>
      </c>
    </row>
    <row r="1070" spans="1:11" ht="15" customHeight="1" x14ac:dyDescent="0.2">
      <c r="A1070" s="120" t="s">
        <v>5201</v>
      </c>
      <c r="B1070" s="120" t="s">
        <v>5202</v>
      </c>
      <c r="C1070" s="98" t="s">
        <v>3532</v>
      </c>
      <c r="D1070" s="120" t="s">
        <v>3563</v>
      </c>
      <c r="E1070" s="98">
        <v>3.7999999999999999E-2</v>
      </c>
      <c r="F1070" s="120">
        <v>0</v>
      </c>
      <c r="G1070" s="121">
        <v>0</v>
      </c>
      <c r="H1070" s="123">
        <v>3.7999999999999999E-2</v>
      </c>
      <c r="I1070" s="122">
        <v>0</v>
      </c>
      <c r="J1070" s="124">
        <f t="shared" si="16"/>
        <v>38</v>
      </c>
    </row>
    <row r="1071" spans="1:11" ht="15" customHeight="1" x14ac:dyDescent="0.2">
      <c r="A1071" s="120" t="s">
        <v>5203</v>
      </c>
      <c r="B1071" s="120" t="s">
        <v>3532</v>
      </c>
      <c r="C1071" s="98" t="s">
        <v>3532</v>
      </c>
      <c r="D1071" s="120" t="s">
        <v>3563</v>
      </c>
      <c r="E1071" s="98">
        <v>0.18</v>
      </c>
      <c r="F1071" s="120">
        <v>0</v>
      </c>
      <c r="G1071" s="121">
        <v>0</v>
      </c>
      <c r="H1071" s="123">
        <v>0.18</v>
      </c>
      <c r="I1071" s="122">
        <v>0</v>
      </c>
      <c r="J1071" s="124">
        <f t="shared" si="16"/>
        <v>180</v>
      </c>
    </row>
    <row r="1072" spans="1:11" ht="15" customHeight="1" x14ac:dyDescent="0.2">
      <c r="A1072" s="120" t="s">
        <v>5204</v>
      </c>
      <c r="B1072" s="120" t="s">
        <v>3532</v>
      </c>
      <c r="C1072" s="98" t="s">
        <v>3532</v>
      </c>
      <c r="D1072" s="120" t="s">
        <v>3563</v>
      </c>
      <c r="E1072" s="98">
        <v>0.19500000000000001</v>
      </c>
      <c r="F1072" s="120">
        <v>0</v>
      </c>
      <c r="G1072" s="121">
        <v>0</v>
      </c>
      <c r="H1072" s="123">
        <v>0.19500000000000001</v>
      </c>
      <c r="I1072" s="122">
        <v>0</v>
      </c>
      <c r="J1072" s="124">
        <f t="shared" si="16"/>
        <v>195</v>
      </c>
    </row>
    <row r="1073" spans="1:11" ht="15" customHeight="1" x14ac:dyDescent="0.2">
      <c r="A1073" s="120" t="s">
        <v>5205</v>
      </c>
      <c r="B1073" s="120" t="s">
        <v>5198</v>
      </c>
      <c r="C1073" s="98" t="s">
        <v>3533</v>
      </c>
      <c r="D1073" s="120" t="s">
        <v>3563</v>
      </c>
      <c r="E1073" s="98">
        <v>0.08</v>
      </c>
      <c r="F1073" s="120">
        <v>0</v>
      </c>
      <c r="G1073" s="121">
        <v>14558</v>
      </c>
      <c r="H1073" s="123">
        <v>0.08</v>
      </c>
      <c r="I1073" s="122">
        <v>1164.6400000000001</v>
      </c>
      <c r="J1073" s="124">
        <f t="shared" si="16"/>
        <v>80</v>
      </c>
      <c r="K1073" s="98" t="s">
        <v>5206</v>
      </c>
    </row>
    <row r="1074" spans="1:11" ht="15" customHeight="1" x14ac:dyDescent="0.2">
      <c r="A1074" s="120" t="s">
        <v>2182</v>
      </c>
      <c r="B1074" s="120" t="s">
        <v>2184</v>
      </c>
      <c r="C1074" s="98" t="s">
        <v>3533</v>
      </c>
      <c r="D1074" s="120" t="s">
        <v>3563</v>
      </c>
      <c r="E1074" s="98">
        <v>3.2000000000000001E-2</v>
      </c>
      <c r="F1074" s="120">
        <v>0</v>
      </c>
      <c r="G1074" s="121">
        <v>23400</v>
      </c>
      <c r="H1074" s="123">
        <v>3.2000000000000001E-2</v>
      </c>
      <c r="I1074" s="122">
        <v>748.80000000000007</v>
      </c>
      <c r="J1074" s="124">
        <f t="shared" si="16"/>
        <v>32</v>
      </c>
      <c r="K1074" s="98" t="s">
        <v>2466</v>
      </c>
    </row>
    <row r="1075" spans="1:11" ht="15" customHeight="1" x14ac:dyDescent="0.2">
      <c r="A1075" s="120" t="s">
        <v>2192</v>
      </c>
      <c r="B1075" s="120" t="s">
        <v>2184</v>
      </c>
      <c r="C1075" s="98" t="s">
        <v>3533</v>
      </c>
      <c r="D1075" s="120" t="s">
        <v>3563</v>
      </c>
      <c r="E1075" s="98">
        <v>9.4999999999999998E-3</v>
      </c>
      <c r="F1075" s="120">
        <v>0</v>
      </c>
      <c r="G1075" s="121">
        <v>62214</v>
      </c>
      <c r="H1075" s="123">
        <v>9.4999999999999998E-3</v>
      </c>
      <c r="I1075" s="122">
        <v>591.03300000000002</v>
      </c>
      <c r="J1075" s="124">
        <f t="shared" si="16"/>
        <v>9.5</v>
      </c>
      <c r="K1075" s="98" t="s">
        <v>5207</v>
      </c>
    </row>
    <row r="1076" spans="1:11" ht="15" customHeight="1" x14ac:dyDescent="0.2">
      <c r="A1076" s="120" t="s">
        <v>5208</v>
      </c>
      <c r="B1076" s="120" t="s">
        <v>5209</v>
      </c>
      <c r="C1076" s="98" t="s">
        <v>3533</v>
      </c>
      <c r="D1076" s="120" t="s">
        <v>3563</v>
      </c>
      <c r="E1076" s="98">
        <v>3.2000000000000001E-2</v>
      </c>
      <c r="F1076" s="120">
        <v>0</v>
      </c>
      <c r="G1076" s="121">
        <v>0</v>
      </c>
      <c r="H1076" s="123">
        <v>3.2000000000000001E-2</v>
      </c>
      <c r="I1076" s="122">
        <v>0</v>
      </c>
      <c r="J1076" s="124">
        <f t="shared" si="16"/>
        <v>32</v>
      </c>
    </row>
    <row r="1077" spans="1:11" ht="15" customHeight="1" x14ac:dyDescent="0.2">
      <c r="A1077" s="120" t="s">
        <v>5210</v>
      </c>
      <c r="B1077" s="120" t="s">
        <v>5211</v>
      </c>
      <c r="C1077" s="98" t="s">
        <v>3533</v>
      </c>
      <c r="D1077" s="120" t="s">
        <v>3563</v>
      </c>
      <c r="E1077" s="98">
        <v>1.9199999999999998E-2</v>
      </c>
      <c r="F1077" s="120">
        <v>0</v>
      </c>
      <c r="G1077" s="121">
        <v>21745</v>
      </c>
      <c r="H1077" s="123">
        <v>1.9199999999999998E-2</v>
      </c>
      <c r="I1077" s="122">
        <v>417.50399999999996</v>
      </c>
      <c r="J1077" s="124">
        <f t="shared" si="16"/>
        <v>19.2</v>
      </c>
      <c r="K1077" s="98" t="s">
        <v>5212</v>
      </c>
    </row>
    <row r="1078" spans="1:11" ht="15" customHeight="1" x14ac:dyDescent="0.2">
      <c r="A1078" s="120" t="s">
        <v>5213</v>
      </c>
      <c r="B1078" s="120" t="s">
        <v>2254</v>
      </c>
      <c r="C1078" s="98" t="s">
        <v>3533</v>
      </c>
      <c r="D1078" s="120" t="s">
        <v>3563</v>
      </c>
      <c r="E1078" s="98">
        <v>1.2E-2</v>
      </c>
      <c r="F1078" s="120">
        <v>0</v>
      </c>
      <c r="G1078" s="121">
        <v>14050</v>
      </c>
      <c r="H1078" s="123">
        <v>1.2E-2</v>
      </c>
      <c r="I1078" s="122">
        <v>168.6</v>
      </c>
      <c r="J1078" s="124">
        <f t="shared" si="16"/>
        <v>12</v>
      </c>
      <c r="K1078" s="98" t="s">
        <v>5214</v>
      </c>
    </row>
    <row r="1079" spans="1:11" ht="15" customHeight="1" x14ac:dyDescent="0.2">
      <c r="A1079" s="120" t="s">
        <v>5215</v>
      </c>
      <c r="B1079" s="120" t="s">
        <v>5216</v>
      </c>
      <c r="C1079" s="98" t="s">
        <v>3533</v>
      </c>
      <c r="D1079" s="120" t="s">
        <v>3563</v>
      </c>
      <c r="E1079" s="98">
        <v>6.9959999999999996E-3</v>
      </c>
      <c r="F1079" s="120">
        <v>0</v>
      </c>
      <c r="G1079" s="121">
        <v>82649</v>
      </c>
      <c r="H1079" s="123">
        <v>6.9959999999999996E-3</v>
      </c>
      <c r="I1079" s="122">
        <v>578.21240399999999</v>
      </c>
      <c r="J1079" s="124">
        <f t="shared" si="16"/>
        <v>6.9959999999999996</v>
      </c>
      <c r="K1079" s="98" t="s">
        <v>2375</v>
      </c>
    </row>
    <row r="1080" spans="1:11" ht="15" customHeight="1" x14ac:dyDescent="0.2">
      <c r="A1080" s="120" t="s">
        <v>5217</v>
      </c>
      <c r="B1080" s="120" t="s">
        <v>5216</v>
      </c>
      <c r="C1080" s="98" t="s">
        <v>3533</v>
      </c>
      <c r="D1080" s="120" t="s">
        <v>3563</v>
      </c>
      <c r="E1080" s="98">
        <v>1.2E-2</v>
      </c>
      <c r="F1080" s="120">
        <v>0</v>
      </c>
      <c r="G1080" s="121">
        <v>13641</v>
      </c>
      <c r="H1080" s="123">
        <v>1.2E-2</v>
      </c>
      <c r="I1080" s="122">
        <v>163.69200000000001</v>
      </c>
      <c r="J1080" s="124">
        <f t="shared" si="16"/>
        <v>12</v>
      </c>
      <c r="K1080" s="98" t="s">
        <v>5214</v>
      </c>
    </row>
    <row r="1081" spans="1:11" ht="15" customHeight="1" x14ac:dyDescent="0.2">
      <c r="A1081" s="120" t="s">
        <v>5218</v>
      </c>
      <c r="B1081" s="120" t="s">
        <v>5219</v>
      </c>
      <c r="C1081" s="98" t="s">
        <v>3533</v>
      </c>
      <c r="D1081" s="120" t="s">
        <v>3563</v>
      </c>
      <c r="E1081" s="98">
        <v>6.5040000000000002E-3</v>
      </c>
      <c r="F1081" s="120">
        <v>0</v>
      </c>
      <c r="G1081" s="121">
        <v>0</v>
      </c>
      <c r="H1081" s="123">
        <v>6.5040000000000002E-3</v>
      </c>
      <c r="I1081" s="122">
        <v>0</v>
      </c>
      <c r="J1081" s="124">
        <f t="shared" si="16"/>
        <v>6.5040000000000004</v>
      </c>
    </row>
    <row r="1082" spans="1:11" ht="15" customHeight="1" x14ac:dyDescent="0.2">
      <c r="A1082" s="120" t="s">
        <v>5220</v>
      </c>
      <c r="B1082" s="120" t="s">
        <v>5221</v>
      </c>
      <c r="C1082" s="98" t="s">
        <v>3533</v>
      </c>
      <c r="D1082" s="120" t="s">
        <v>3563</v>
      </c>
      <c r="E1082" s="98">
        <v>0.109</v>
      </c>
      <c r="F1082" s="120">
        <v>0</v>
      </c>
      <c r="G1082" s="121">
        <v>1885</v>
      </c>
      <c r="H1082" s="123">
        <v>0.109</v>
      </c>
      <c r="I1082" s="122">
        <v>205.465</v>
      </c>
      <c r="J1082" s="124">
        <f t="shared" si="16"/>
        <v>109</v>
      </c>
      <c r="K1082" s="98" t="s">
        <v>5222</v>
      </c>
    </row>
    <row r="1083" spans="1:11" ht="15" customHeight="1" x14ac:dyDescent="0.2">
      <c r="A1083" s="120" t="s">
        <v>5223</v>
      </c>
      <c r="B1083" s="120" t="s">
        <v>5147</v>
      </c>
      <c r="C1083" s="98" t="s">
        <v>3540</v>
      </c>
      <c r="D1083" s="120" t="s">
        <v>3563</v>
      </c>
      <c r="E1083" s="98">
        <v>6.5000000000000002E-2</v>
      </c>
      <c r="F1083" s="120">
        <v>0</v>
      </c>
      <c r="G1083" s="121">
        <v>0</v>
      </c>
      <c r="H1083" s="123">
        <v>6.5000000000000002E-2</v>
      </c>
      <c r="I1083" s="122">
        <v>0</v>
      </c>
      <c r="J1083" s="124">
        <f t="shared" si="16"/>
        <v>65</v>
      </c>
    </row>
    <row r="1084" spans="1:11" ht="15" customHeight="1" x14ac:dyDescent="0.2">
      <c r="A1084" s="120" t="s">
        <v>5224</v>
      </c>
      <c r="B1084" s="120" t="s">
        <v>2184</v>
      </c>
      <c r="C1084" s="98" t="s">
        <v>3533</v>
      </c>
      <c r="D1084" s="120" t="s">
        <v>3563</v>
      </c>
      <c r="E1084" s="98">
        <v>2.3E-2</v>
      </c>
      <c r="F1084" s="120">
        <v>0</v>
      </c>
      <c r="G1084" s="121">
        <v>21256</v>
      </c>
      <c r="H1084" s="123">
        <v>2.3E-2</v>
      </c>
      <c r="I1084" s="122">
        <v>488.88799999999998</v>
      </c>
      <c r="J1084" s="124">
        <f t="shared" si="16"/>
        <v>23</v>
      </c>
      <c r="K1084" s="98" t="s">
        <v>2375</v>
      </c>
    </row>
    <row r="1085" spans="1:11" ht="15" customHeight="1" x14ac:dyDescent="0.2">
      <c r="A1085" s="120" t="s">
        <v>5225</v>
      </c>
      <c r="B1085" s="120" t="s">
        <v>5221</v>
      </c>
      <c r="C1085" s="98" t="s">
        <v>3533</v>
      </c>
      <c r="D1085" s="120" t="s">
        <v>3563</v>
      </c>
      <c r="E1085" s="98">
        <v>1.125E-2</v>
      </c>
      <c r="F1085" s="120">
        <v>0</v>
      </c>
      <c r="G1085" s="121">
        <v>17878</v>
      </c>
      <c r="H1085" s="123">
        <v>1.125E-2</v>
      </c>
      <c r="I1085" s="122">
        <v>201.1275</v>
      </c>
      <c r="J1085" s="124">
        <f t="shared" si="16"/>
        <v>11.25</v>
      </c>
      <c r="K1085" s="98" t="s">
        <v>5226</v>
      </c>
    </row>
    <row r="1086" spans="1:11" ht="15" customHeight="1" x14ac:dyDescent="0.2">
      <c r="A1086" s="120" t="s">
        <v>5227</v>
      </c>
      <c r="B1086" s="120" t="s">
        <v>3532</v>
      </c>
      <c r="C1086" s="98" t="s">
        <v>3532</v>
      </c>
      <c r="D1086" s="120" t="s">
        <v>3563</v>
      </c>
      <c r="E1086" s="98">
        <v>1.223E-2</v>
      </c>
      <c r="F1086" s="120">
        <v>0</v>
      </c>
      <c r="G1086" s="121">
        <v>0</v>
      </c>
      <c r="H1086" s="123">
        <v>1.223E-2</v>
      </c>
      <c r="I1086" s="122">
        <v>0</v>
      </c>
      <c r="J1086" s="124">
        <f t="shared" si="16"/>
        <v>12.23</v>
      </c>
    </row>
    <row r="1087" spans="1:11" ht="15" customHeight="1" x14ac:dyDescent="0.2">
      <c r="A1087" s="120" t="s">
        <v>5228</v>
      </c>
      <c r="B1087" s="120" t="s">
        <v>3532</v>
      </c>
      <c r="C1087" s="98" t="s">
        <v>3532</v>
      </c>
      <c r="D1087" s="120" t="s">
        <v>3563</v>
      </c>
      <c r="E1087" s="98">
        <v>1.4999999999999999E-2</v>
      </c>
      <c r="F1087" s="120">
        <v>0</v>
      </c>
      <c r="G1087" s="121">
        <v>0</v>
      </c>
      <c r="H1087" s="123">
        <v>1.4999999999999999E-2</v>
      </c>
      <c r="I1087" s="122">
        <v>0</v>
      </c>
      <c r="J1087" s="124">
        <f t="shared" si="16"/>
        <v>15</v>
      </c>
    </row>
    <row r="1088" spans="1:11" ht="15" customHeight="1" x14ac:dyDescent="0.2">
      <c r="A1088" s="120" t="s">
        <v>5229</v>
      </c>
      <c r="B1088" s="120" t="s">
        <v>2263</v>
      </c>
      <c r="C1088" s="98" t="s">
        <v>3533</v>
      </c>
      <c r="D1088" s="120" t="s">
        <v>3563</v>
      </c>
      <c r="E1088" s="98">
        <v>9.4773299748110804E-3</v>
      </c>
      <c r="F1088" s="120">
        <v>0</v>
      </c>
      <c r="G1088" s="121">
        <v>13400</v>
      </c>
      <c r="H1088" s="123">
        <v>9.4769999999999993E-3</v>
      </c>
      <c r="I1088" s="122">
        <v>126.9918</v>
      </c>
      <c r="J1088" s="124">
        <f t="shared" si="16"/>
        <v>9.4773299748110809</v>
      </c>
      <c r="K1088" s="98" t="s">
        <v>5230</v>
      </c>
    </row>
    <row r="1089" spans="1:11" ht="15" customHeight="1" x14ac:dyDescent="0.2">
      <c r="A1089" s="120" t="s">
        <v>5231</v>
      </c>
      <c r="B1089" s="120" t="s">
        <v>3532</v>
      </c>
      <c r="C1089" s="98" t="s">
        <v>3532</v>
      </c>
      <c r="D1089" s="120" t="s">
        <v>3563</v>
      </c>
      <c r="E1089" s="98">
        <v>3.4500000000000003E-2</v>
      </c>
      <c r="F1089" s="120">
        <v>0</v>
      </c>
      <c r="G1089" s="121">
        <v>0</v>
      </c>
      <c r="H1089" s="123">
        <v>3.4500000000000003E-2</v>
      </c>
      <c r="I1089" s="122">
        <v>0</v>
      </c>
      <c r="J1089" s="124">
        <f t="shared" si="16"/>
        <v>34.5</v>
      </c>
    </row>
    <row r="1090" spans="1:11" ht="15" customHeight="1" x14ac:dyDescent="0.2">
      <c r="A1090" s="120" t="s">
        <v>5232</v>
      </c>
      <c r="B1090" s="120" t="s">
        <v>3532</v>
      </c>
      <c r="C1090" s="98" t="s">
        <v>3532</v>
      </c>
      <c r="D1090" s="120" t="s">
        <v>3563</v>
      </c>
      <c r="E1090" s="98">
        <v>1.0500000000000001E-2</v>
      </c>
      <c r="F1090" s="120">
        <v>0</v>
      </c>
      <c r="G1090" s="121">
        <v>0</v>
      </c>
      <c r="H1090" s="123">
        <v>1.0500000000000001E-2</v>
      </c>
      <c r="I1090" s="122">
        <v>0</v>
      </c>
      <c r="J1090" s="124">
        <f t="shared" ref="J1090:J1153" si="17">IF(D1090="gm", E1090*1000,+E1090)</f>
        <v>10.5</v>
      </c>
    </row>
    <row r="1091" spans="1:11" ht="15" customHeight="1" x14ac:dyDescent="0.2">
      <c r="A1091" s="120" t="s">
        <v>5233</v>
      </c>
      <c r="B1091" s="120" t="s">
        <v>3532</v>
      </c>
      <c r="C1091" s="98" t="s">
        <v>3532</v>
      </c>
      <c r="D1091" s="120" t="s">
        <v>3563</v>
      </c>
      <c r="E1091" s="98">
        <v>1.0749999999999999E-2</v>
      </c>
      <c r="F1091" s="120">
        <v>0</v>
      </c>
      <c r="G1091" s="121">
        <v>0</v>
      </c>
      <c r="H1091" s="123">
        <v>1.0749999999999999E-2</v>
      </c>
      <c r="I1091" s="122">
        <v>0</v>
      </c>
      <c r="J1091" s="124">
        <f t="shared" si="17"/>
        <v>10.75</v>
      </c>
    </row>
    <row r="1092" spans="1:11" ht="15" customHeight="1" x14ac:dyDescent="0.2">
      <c r="A1092" s="120" t="s">
        <v>5234</v>
      </c>
      <c r="B1092" s="120" t="s">
        <v>3532</v>
      </c>
      <c r="C1092" s="98" t="s">
        <v>3532</v>
      </c>
      <c r="D1092" s="120" t="s">
        <v>3563</v>
      </c>
      <c r="E1092" s="98">
        <v>1.0500000000000001E-2</v>
      </c>
      <c r="F1092" s="120">
        <v>0</v>
      </c>
      <c r="G1092" s="121">
        <v>0</v>
      </c>
      <c r="H1092" s="123">
        <v>1.0500000000000001E-2</v>
      </c>
      <c r="I1092" s="122">
        <v>0</v>
      </c>
      <c r="J1092" s="124">
        <f t="shared" si="17"/>
        <v>10.5</v>
      </c>
    </row>
    <row r="1093" spans="1:11" ht="15" customHeight="1" x14ac:dyDescent="0.2">
      <c r="A1093" s="120" t="s">
        <v>5235</v>
      </c>
      <c r="B1093" s="120" t="s">
        <v>3532</v>
      </c>
      <c r="C1093" s="98" t="s">
        <v>3532</v>
      </c>
      <c r="D1093" s="120" t="s">
        <v>3563</v>
      </c>
      <c r="E1093" s="98">
        <v>9.75E-3</v>
      </c>
      <c r="F1093" s="120">
        <v>0</v>
      </c>
      <c r="G1093" s="121">
        <v>0</v>
      </c>
      <c r="H1093" s="123">
        <v>9.75E-3</v>
      </c>
      <c r="I1093" s="122">
        <v>0</v>
      </c>
      <c r="J1093" s="124">
        <f t="shared" si="17"/>
        <v>9.75</v>
      </c>
    </row>
    <row r="1094" spans="1:11" ht="15" customHeight="1" x14ac:dyDescent="0.2">
      <c r="A1094" s="120" t="s">
        <v>5236</v>
      </c>
      <c r="B1094" s="120" t="s">
        <v>3532</v>
      </c>
      <c r="C1094" s="98" t="s">
        <v>3532</v>
      </c>
      <c r="D1094" s="120" t="s">
        <v>3563</v>
      </c>
      <c r="E1094" s="98">
        <v>1.025E-2</v>
      </c>
      <c r="F1094" s="120">
        <v>0</v>
      </c>
      <c r="G1094" s="121">
        <v>0</v>
      </c>
      <c r="H1094" s="123">
        <v>1.025E-2</v>
      </c>
      <c r="I1094" s="122">
        <v>0</v>
      </c>
      <c r="J1094" s="124">
        <f t="shared" si="17"/>
        <v>10.25</v>
      </c>
    </row>
    <row r="1095" spans="1:11" ht="15" customHeight="1" x14ac:dyDescent="0.2">
      <c r="A1095" s="120" t="s">
        <v>5237</v>
      </c>
      <c r="B1095" s="120" t="s">
        <v>5216</v>
      </c>
      <c r="C1095" s="98" t="s">
        <v>3532</v>
      </c>
      <c r="D1095" s="120" t="s">
        <v>3563</v>
      </c>
      <c r="E1095" s="98">
        <v>8.0000000000000002E-3</v>
      </c>
      <c r="F1095" s="120">
        <v>0</v>
      </c>
      <c r="G1095" s="121">
        <v>0</v>
      </c>
      <c r="H1095" s="123">
        <v>8.0000000000000002E-3</v>
      </c>
      <c r="I1095" s="122">
        <v>0</v>
      </c>
      <c r="J1095" s="124">
        <f t="shared" si="17"/>
        <v>8</v>
      </c>
    </row>
    <row r="1096" spans="1:11" ht="15" customHeight="1" x14ac:dyDescent="0.2">
      <c r="A1096" s="120" t="s">
        <v>5238</v>
      </c>
      <c r="B1096" s="120" t="s">
        <v>5239</v>
      </c>
      <c r="C1096" s="98" t="s">
        <v>3532</v>
      </c>
      <c r="D1096" s="120" t="s">
        <v>3563</v>
      </c>
      <c r="E1096" s="98">
        <v>8.8199999999999997E-3</v>
      </c>
      <c r="F1096" s="120">
        <v>0</v>
      </c>
      <c r="G1096" s="121">
        <v>0</v>
      </c>
      <c r="H1096" s="123">
        <v>8.8199999999999997E-3</v>
      </c>
      <c r="I1096" s="122">
        <v>0</v>
      </c>
      <c r="J1096" s="124">
        <f t="shared" si="17"/>
        <v>8.82</v>
      </c>
    </row>
    <row r="1097" spans="1:11" ht="15" customHeight="1" x14ac:dyDescent="0.2">
      <c r="A1097" s="120" t="s">
        <v>5240</v>
      </c>
      <c r="B1097" s="120" t="s">
        <v>3532</v>
      </c>
      <c r="C1097" s="98" t="s">
        <v>3532</v>
      </c>
      <c r="D1097" s="120" t="s">
        <v>3563</v>
      </c>
      <c r="E1097" s="98">
        <v>6.4999999999999997E-3</v>
      </c>
      <c r="F1097" s="120">
        <v>0</v>
      </c>
      <c r="G1097" s="121">
        <v>0</v>
      </c>
      <c r="H1097" s="123">
        <v>6.4999999999999997E-3</v>
      </c>
      <c r="I1097" s="122">
        <v>0</v>
      </c>
      <c r="J1097" s="124">
        <f t="shared" si="17"/>
        <v>6.5</v>
      </c>
    </row>
    <row r="1098" spans="1:11" ht="15" customHeight="1" x14ac:dyDescent="0.2">
      <c r="A1098" s="120" t="s">
        <v>5241</v>
      </c>
      <c r="B1098" s="120" t="s">
        <v>3532</v>
      </c>
      <c r="C1098" s="98" t="s">
        <v>3532</v>
      </c>
      <c r="D1098" s="120" t="s">
        <v>3563</v>
      </c>
      <c r="E1098" s="98">
        <v>8.0000000000000002E-3</v>
      </c>
      <c r="F1098" s="120">
        <v>0</v>
      </c>
      <c r="G1098" s="121">
        <v>0</v>
      </c>
      <c r="H1098" s="123">
        <v>8.0000000000000002E-3</v>
      </c>
      <c r="I1098" s="122">
        <v>0</v>
      </c>
      <c r="J1098" s="124">
        <f t="shared" si="17"/>
        <v>8</v>
      </c>
    </row>
    <row r="1099" spans="1:11" ht="15" customHeight="1" x14ac:dyDescent="0.2">
      <c r="A1099" s="120" t="s">
        <v>5242</v>
      </c>
      <c r="B1099" s="120" t="s">
        <v>5221</v>
      </c>
      <c r="C1099" s="98" t="s">
        <v>3532</v>
      </c>
      <c r="D1099" s="120" t="s">
        <v>3563</v>
      </c>
      <c r="E1099" s="98">
        <v>1.035E-2</v>
      </c>
      <c r="F1099" s="120">
        <v>0</v>
      </c>
      <c r="G1099" s="121">
        <v>0</v>
      </c>
      <c r="H1099" s="123">
        <v>1.035E-2</v>
      </c>
      <c r="I1099" s="122">
        <v>0</v>
      </c>
      <c r="J1099" s="124">
        <f t="shared" si="17"/>
        <v>10.35</v>
      </c>
    </row>
    <row r="1100" spans="1:11" ht="15" customHeight="1" x14ac:dyDescent="0.2">
      <c r="A1100" s="120" t="s">
        <v>5243</v>
      </c>
      <c r="B1100" s="120" t="s">
        <v>5244</v>
      </c>
      <c r="C1100" s="98" t="s">
        <v>3532</v>
      </c>
      <c r="D1100" s="120" t="s">
        <v>3563</v>
      </c>
      <c r="E1100" s="98">
        <v>1.001E-2</v>
      </c>
      <c r="F1100" s="120">
        <v>0</v>
      </c>
      <c r="G1100" s="121">
        <v>0</v>
      </c>
      <c r="H1100" s="123">
        <v>1.001E-2</v>
      </c>
      <c r="I1100" s="122">
        <v>0</v>
      </c>
      <c r="J1100" s="124">
        <f t="shared" si="17"/>
        <v>10.01</v>
      </c>
    </row>
    <row r="1101" spans="1:11" ht="15" customHeight="1" x14ac:dyDescent="0.2">
      <c r="A1101" s="120" t="s">
        <v>5245</v>
      </c>
      <c r="B1101" s="120" t="s">
        <v>2198</v>
      </c>
      <c r="C1101" s="98" t="s">
        <v>3533</v>
      </c>
      <c r="D1101" s="120" t="s">
        <v>3563</v>
      </c>
      <c r="E1101" s="98">
        <v>6.8783068783068802E-3</v>
      </c>
      <c r="F1101" s="120">
        <v>0</v>
      </c>
      <c r="G1101" s="121">
        <v>33224</v>
      </c>
      <c r="H1101" s="123">
        <v>6.8999999999999999E-3</v>
      </c>
      <c r="I1101" s="122">
        <v>229.2456</v>
      </c>
      <c r="J1101" s="124">
        <f t="shared" si="17"/>
        <v>6.8783068783068799</v>
      </c>
      <c r="K1101" s="98" t="s">
        <v>5246</v>
      </c>
    </row>
    <row r="1102" spans="1:11" ht="15" customHeight="1" x14ac:dyDescent="0.2">
      <c r="A1102" s="120" t="s">
        <v>5247</v>
      </c>
      <c r="B1102" s="120" t="s">
        <v>3532</v>
      </c>
      <c r="C1102" s="98" t="s">
        <v>3532</v>
      </c>
      <c r="D1102" s="120" t="s">
        <v>3563</v>
      </c>
      <c r="E1102" s="98">
        <v>0</v>
      </c>
      <c r="F1102" s="120">
        <v>0</v>
      </c>
      <c r="G1102" s="121">
        <v>0</v>
      </c>
      <c r="H1102" s="123">
        <v>0</v>
      </c>
      <c r="I1102" s="122">
        <v>0</v>
      </c>
      <c r="J1102" s="124">
        <f t="shared" si="17"/>
        <v>0</v>
      </c>
    </row>
    <row r="1103" spans="1:11" ht="15" customHeight="1" x14ac:dyDescent="0.2">
      <c r="A1103" s="120" t="s">
        <v>5248</v>
      </c>
      <c r="B1103" s="120" t="s">
        <v>5076</v>
      </c>
      <c r="C1103" s="98" t="s">
        <v>3533</v>
      </c>
      <c r="D1103" s="120" t="s">
        <v>3563</v>
      </c>
      <c r="E1103" s="98">
        <v>7.1879999999999999E-3</v>
      </c>
      <c r="F1103" s="120">
        <v>0</v>
      </c>
      <c r="G1103" s="121">
        <v>50000</v>
      </c>
      <c r="H1103" s="123">
        <v>7.1879999999999999E-3</v>
      </c>
      <c r="I1103" s="122">
        <v>359.4</v>
      </c>
      <c r="J1103" s="124">
        <f t="shared" si="17"/>
        <v>7.1879999999999997</v>
      </c>
      <c r="K1103" s="98" t="s">
        <v>5249</v>
      </c>
    </row>
    <row r="1104" spans="1:11" ht="15" customHeight="1" x14ac:dyDescent="0.2">
      <c r="A1104" s="120" t="s">
        <v>5250</v>
      </c>
      <c r="B1104" s="120" t="s">
        <v>5251</v>
      </c>
      <c r="C1104" s="98" t="s">
        <v>3533</v>
      </c>
      <c r="D1104" s="120" t="s">
        <v>3563</v>
      </c>
      <c r="E1104" s="98">
        <v>9.75E-3</v>
      </c>
      <c r="F1104" s="120">
        <v>0</v>
      </c>
      <c r="G1104" s="121">
        <v>18175</v>
      </c>
      <c r="H1104" s="123">
        <v>9.75E-3</v>
      </c>
      <c r="I1104" s="122">
        <v>177.20625000000001</v>
      </c>
      <c r="J1104" s="124">
        <f t="shared" si="17"/>
        <v>9.75</v>
      </c>
      <c r="K1104" s="98" t="s">
        <v>5252</v>
      </c>
    </row>
    <row r="1105" spans="1:11" ht="15" customHeight="1" x14ac:dyDescent="0.2">
      <c r="A1105" s="120" t="s">
        <v>5253</v>
      </c>
      <c r="B1105" s="120" t="s">
        <v>5221</v>
      </c>
      <c r="C1105" s="98" t="s">
        <v>3532</v>
      </c>
      <c r="D1105" s="120" t="s">
        <v>3563</v>
      </c>
      <c r="E1105" s="98">
        <v>6.6100000000000004E-3</v>
      </c>
      <c r="F1105" s="120">
        <v>0</v>
      </c>
      <c r="G1105" s="121">
        <v>0</v>
      </c>
      <c r="H1105" s="123">
        <v>6.6100000000000004E-3</v>
      </c>
      <c r="I1105" s="122">
        <v>0</v>
      </c>
      <c r="J1105" s="124">
        <f t="shared" si="17"/>
        <v>6.61</v>
      </c>
    </row>
    <row r="1106" spans="1:11" ht="15" customHeight="1" x14ac:dyDescent="0.2">
      <c r="A1106" s="120" t="s">
        <v>5254</v>
      </c>
      <c r="B1106" s="120" t="s">
        <v>5255</v>
      </c>
      <c r="C1106" s="98" t="s">
        <v>5256</v>
      </c>
      <c r="D1106" s="120" t="s">
        <v>3563</v>
      </c>
      <c r="E1106" s="98">
        <v>3.9170000000000003E-2</v>
      </c>
      <c r="F1106" s="120">
        <v>0</v>
      </c>
      <c r="G1106" s="121">
        <v>0</v>
      </c>
      <c r="H1106" s="123">
        <v>3.9170000000000003E-2</v>
      </c>
      <c r="I1106" s="122">
        <v>0</v>
      </c>
      <c r="J1106" s="124">
        <f t="shared" si="17"/>
        <v>39.17</v>
      </c>
    </row>
    <row r="1107" spans="1:11" ht="15" customHeight="1" x14ac:dyDescent="0.2">
      <c r="A1107" s="120" t="s">
        <v>5257</v>
      </c>
      <c r="B1107" s="120" t="s">
        <v>5258</v>
      </c>
      <c r="C1107" s="98" t="s">
        <v>3533</v>
      </c>
      <c r="D1107" s="120" t="s">
        <v>3563</v>
      </c>
      <c r="E1107" s="98">
        <v>1.7500000000000002E-2</v>
      </c>
      <c r="F1107" s="120">
        <v>0</v>
      </c>
      <c r="G1107" s="121">
        <v>18335</v>
      </c>
      <c r="H1107" s="123">
        <v>1.7500000000000002E-2</v>
      </c>
      <c r="I1107" s="122">
        <v>320.86250000000001</v>
      </c>
      <c r="J1107" s="124">
        <f t="shared" si="17"/>
        <v>17.5</v>
      </c>
      <c r="K1107" s="98" t="s">
        <v>5259</v>
      </c>
    </row>
    <row r="1108" spans="1:11" ht="15" customHeight="1" x14ac:dyDescent="0.2">
      <c r="A1108" s="120" t="s">
        <v>5260</v>
      </c>
      <c r="B1108" s="120" t="s">
        <v>5080</v>
      </c>
      <c r="C1108" s="98" t="s">
        <v>3533</v>
      </c>
      <c r="D1108" s="120" t="s">
        <v>3563</v>
      </c>
      <c r="E1108" s="98">
        <v>1.4880000000000001E-2</v>
      </c>
      <c r="F1108" s="120">
        <v>0</v>
      </c>
      <c r="G1108" s="121">
        <v>0</v>
      </c>
      <c r="H1108" s="123">
        <v>1.4880000000000001E-2</v>
      </c>
      <c r="I1108" s="122">
        <v>0</v>
      </c>
      <c r="J1108" s="124">
        <f t="shared" si="17"/>
        <v>14.88</v>
      </c>
    </row>
    <row r="1109" spans="1:11" ht="15" customHeight="1" x14ac:dyDescent="0.2">
      <c r="A1109" s="120" t="s">
        <v>5261</v>
      </c>
      <c r="B1109" s="120" t="s">
        <v>5094</v>
      </c>
      <c r="C1109" s="98" t="s">
        <v>3532</v>
      </c>
      <c r="D1109" s="120" t="s">
        <v>3563</v>
      </c>
      <c r="E1109" s="98">
        <v>0.55679999999999996</v>
      </c>
      <c r="F1109" s="120">
        <v>0</v>
      </c>
      <c r="G1109" s="121">
        <v>0</v>
      </c>
      <c r="H1109" s="123">
        <v>0.55679999999999996</v>
      </c>
      <c r="I1109" s="122">
        <v>0</v>
      </c>
      <c r="J1109" s="124">
        <f t="shared" si="17"/>
        <v>556.79999999999995</v>
      </c>
    </row>
    <row r="1110" spans="1:11" ht="15" customHeight="1" x14ac:dyDescent="0.2">
      <c r="A1110" s="120" t="s">
        <v>5262</v>
      </c>
      <c r="B1110" s="120" t="s">
        <v>4783</v>
      </c>
      <c r="C1110" s="98" t="s">
        <v>3532</v>
      </c>
      <c r="D1110" s="120" t="s">
        <v>3563</v>
      </c>
      <c r="E1110" s="98">
        <v>0</v>
      </c>
      <c r="F1110" s="120">
        <v>0</v>
      </c>
      <c r="G1110" s="121">
        <v>0</v>
      </c>
      <c r="H1110" s="123">
        <v>0</v>
      </c>
      <c r="I1110" s="122">
        <v>0</v>
      </c>
      <c r="J1110" s="124">
        <f t="shared" si="17"/>
        <v>0</v>
      </c>
    </row>
    <row r="1111" spans="1:11" ht="15" customHeight="1" x14ac:dyDescent="0.2">
      <c r="A1111" s="120" t="s">
        <v>5263</v>
      </c>
      <c r="B1111" s="120" t="s">
        <v>5088</v>
      </c>
      <c r="C1111" s="98" t="s">
        <v>3532</v>
      </c>
      <c r="D1111" s="120" t="s">
        <v>3563</v>
      </c>
      <c r="E1111" s="98">
        <v>1.7749999999999998E-2</v>
      </c>
      <c r="F1111" s="120">
        <v>0</v>
      </c>
      <c r="G1111" s="121">
        <v>0</v>
      </c>
      <c r="H1111" s="123">
        <v>1.7749999999999998E-2</v>
      </c>
      <c r="I1111" s="122">
        <v>0</v>
      </c>
      <c r="J1111" s="124">
        <f t="shared" si="17"/>
        <v>17.75</v>
      </c>
    </row>
    <row r="1112" spans="1:11" ht="15" customHeight="1" x14ac:dyDescent="0.2">
      <c r="A1112" s="120" t="s">
        <v>5264</v>
      </c>
      <c r="B1112" s="120" t="s">
        <v>4783</v>
      </c>
      <c r="C1112" s="98" t="s">
        <v>3540</v>
      </c>
      <c r="D1112" s="120" t="s">
        <v>3563</v>
      </c>
      <c r="E1112" s="98">
        <v>8.7299999999999999E-3</v>
      </c>
      <c r="F1112" s="120">
        <v>0</v>
      </c>
      <c r="G1112" s="121">
        <v>0</v>
      </c>
      <c r="H1112" s="123">
        <v>8.7299999999999999E-3</v>
      </c>
      <c r="I1112" s="122">
        <v>0</v>
      </c>
      <c r="J1112" s="124">
        <f t="shared" si="17"/>
        <v>8.73</v>
      </c>
    </row>
    <row r="1113" spans="1:11" ht="15" customHeight="1" x14ac:dyDescent="0.2">
      <c r="A1113" s="120" t="s">
        <v>5265</v>
      </c>
      <c r="B1113" s="120" t="s">
        <v>4783</v>
      </c>
      <c r="C1113" s="98" t="s">
        <v>3533</v>
      </c>
      <c r="D1113" s="120" t="s">
        <v>3563</v>
      </c>
      <c r="E1113" s="98">
        <v>1.0670000000000001E-2</v>
      </c>
      <c r="F1113" s="120">
        <v>0</v>
      </c>
      <c r="G1113" s="121">
        <v>24635</v>
      </c>
      <c r="H1113" s="123">
        <v>1.0670000000000001E-2</v>
      </c>
      <c r="I1113" s="122">
        <v>262.85545000000002</v>
      </c>
      <c r="J1113" s="124">
        <f t="shared" si="17"/>
        <v>10.67</v>
      </c>
      <c r="K1113" s="98" t="s">
        <v>5266</v>
      </c>
    </row>
    <row r="1114" spans="1:11" ht="15" customHeight="1" x14ac:dyDescent="0.2">
      <c r="A1114" s="120" t="s">
        <v>5267</v>
      </c>
      <c r="B1114" s="120" t="s">
        <v>3532</v>
      </c>
      <c r="C1114" s="98" t="s">
        <v>3533</v>
      </c>
      <c r="D1114" s="120" t="s">
        <v>3563</v>
      </c>
      <c r="E1114" s="98">
        <v>2.775E-2</v>
      </c>
      <c r="F1114" s="120">
        <v>0</v>
      </c>
      <c r="G1114" s="121">
        <v>0</v>
      </c>
      <c r="H1114" s="123">
        <v>2.775E-2</v>
      </c>
      <c r="I1114" s="122">
        <v>0</v>
      </c>
      <c r="J1114" s="124">
        <f t="shared" si="17"/>
        <v>27.75</v>
      </c>
    </row>
    <row r="1115" spans="1:11" ht="15" customHeight="1" x14ac:dyDescent="0.2">
      <c r="A1115" s="120" t="s">
        <v>5268</v>
      </c>
      <c r="B1115" s="120" t="s">
        <v>5198</v>
      </c>
      <c r="C1115" s="98" t="s">
        <v>3533</v>
      </c>
      <c r="D1115" s="120" t="s">
        <v>3563</v>
      </c>
      <c r="E1115" s="98">
        <v>0.09</v>
      </c>
      <c r="F1115" s="120">
        <v>0</v>
      </c>
      <c r="G1115" s="121">
        <v>24750</v>
      </c>
      <c r="H1115" s="123">
        <v>0.09</v>
      </c>
      <c r="I1115" s="122">
        <v>2227.5</v>
      </c>
      <c r="J1115" s="124">
        <f t="shared" si="17"/>
        <v>90</v>
      </c>
      <c r="K1115" s="98" t="s">
        <v>5269</v>
      </c>
    </row>
    <row r="1116" spans="1:11" ht="15" customHeight="1" x14ac:dyDescent="0.2">
      <c r="A1116" s="120" t="s">
        <v>5270</v>
      </c>
      <c r="B1116" s="120" t="s">
        <v>3532</v>
      </c>
      <c r="C1116" s="98" t="s">
        <v>3532</v>
      </c>
      <c r="D1116" s="120" t="s">
        <v>3563</v>
      </c>
      <c r="E1116" s="98">
        <v>0</v>
      </c>
      <c r="F1116" s="120">
        <v>0</v>
      </c>
      <c r="G1116" s="121">
        <v>0</v>
      </c>
      <c r="H1116" s="123">
        <v>0</v>
      </c>
      <c r="I1116" s="122">
        <v>0</v>
      </c>
      <c r="J1116" s="124">
        <f t="shared" si="17"/>
        <v>0</v>
      </c>
    </row>
    <row r="1117" spans="1:11" ht="15" customHeight="1" x14ac:dyDescent="0.2">
      <c r="A1117" s="120" t="s">
        <v>5271</v>
      </c>
      <c r="B1117" s="120" t="s">
        <v>3532</v>
      </c>
      <c r="C1117" s="98" t="s">
        <v>3532</v>
      </c>
      <c r="D1117" s="120" t="s">
        <v>3563</v>
      </c>
      <c r="E1117" s="98">
        <v>0.22500000000000001</v>
      </c>
      <c r="F1117" s="120">
        <v>0</v>
      </c>
      <c r="G1117" s="121">
        <v>0</v>
      </c>
      <c r="H1117" s="123">
        <v>0.22500000000000001</v>
      </c>
      <c r="I1117" s="122">
        <v>0</v>
      </c>
      <c r="J1117" s="124">
        <f t="shared" si="17"/>
        <v>225</v>
      </c>
    </row>
    <row r="1118" spans="1:11" ht="15" customHeight="1" x14ac:dyDescent="0.2">
      <c r="A1118" s="120" t="s">
        <v>5272</v>
      </c>
      <c r="B1118" s="120" t="s">
        <v>5273</v>
      </c>
      <c r="C1118" s="98" t="s">
        <v>3533</v>
      </c>
      <c r="D1118" s="120" t="s">
        <v>3563</v>
      </c>
      <c r="E1118" s="98">
        <v>7.1999999999999995E-2</v>
      </c>
      <c r="F1118" s="120">
        <v>0</v>
      </c>
      <c r="G1118" s="121">
        <v>21375</v>
      </c>
      <c r="H1118" s="123">
        <v>7.1357000000000004E-2</v>
      </c>
      <c r="I1118" s="122">
        <v>1525.2558750000001</v>
      </c>
      <c r="J1118" s="124">
        <f t="shared" si="17"/>
        <v>72</v>
      </c>
      <c r="K1118" s="98" t="s">
        <v>5274</v>
      </c>
    </row>
    <row r="1119" spans="1:11" ht="15" customHeight="1" x14ac:dyDescent="0.2">
      <c r="A1119" s="120" t="s">
        <v>2795</v>
      </c>
      <c r="B1119" s="120" t="s">
        <v>2184</v>
      </c>
      <c r="C1119" s="98" t="s">
        <v>3532</v>
      </c>
      <c r="D1119" s="120" t="s">
        <v>3563</v>
      </c>
      <c r="E1119" s="98">
        <v>1.4500000000000001E-2</v>
      </c>
      <c r="F1119" s="120">
        <v>0</v>
      </c>
      <c r="G1119" s="121">
        <v>0</v>
      </c>
      <c r="H1119" s="123">
        <v>1.4500000000000001E-2</v>
      </c>
      <c r="I1119" s="122">
        <v>0</v>
      </c>
      <c r="J1119" s="124">
        <f t="shared" si="17"/>
        <v>14.5</v>
      </c>
    </row>
    <row r="1120" spans="1:11" ht="15" customHeight="1" x14ac:dyDescent="0.2">
      <c r="A1120" s="120" t="s">
        <v>5275</v>
      </c>
      <c r="B1120" s="120" t="s">
        <v>5276</v>
      </c>
      <c r="C1120" s="98" t="s">
        <v>3532</v>
      </c>
      <c r="D1120" s="120" t="s">
        <v>3563</v>
      </c>
      <c r="E1120" s="98">
        <v>0.2</v>
      </c>
      <c r="F1120" s="120">
        <v>0</v>
      </c>
      <c r="G1120" s="121">
        <v>0</v>
      </c>
      <c r="H1120" s="123">
        <v>0.2</v>
      </c>
      <c r="I1120" s="122">
        <v>0</v>
      </c>
      <c r="J1120" s="124">
        <f t="shared" si="17"/>
        <v>200</v>
      </c>
    </row>
    <row r="1121" spans="1:11" ht="15" customHeight="1" x14ac:dyDescent="0.2">
      <c r="A1121" s="120" t="s">
        <v>5277</v>
      </c>
      <c r="B1121" s="120" t="s">
        <v>3532</v>
      </c>
      <c r="C1121" s="98" t="s">
        <v>3532</v>
      </c>
      <c r="D1121" s="120" t="s">
        <v>3563</v>
      </c>
      <c r="E1121" s="98">
        <v>0</v>
      </c>
      <c r="F1121" s="120">
        <v>0</v>
      </c>
      <c r="G1121" s="121">
        <v>0</v>
      </c>
      <c r="H1121" s="123">
        <v>0</v>
      </c>
      <c r="I1121" s="122">
        <v>0</v>
      </c>
      <c r="J1121" s="124">
        <f t="shared" si="17"/>
        <v>0</v>
      </c>
    </row>
    <row r="1122" spans="1:11" ht="15" customHeight="1" x14ac:dyDescent="0.2">
      <c r="A1122" s="120" t="s">
        <v>5278</v>
      </c>
      <c r="B1122" s="120" t="s">
        <v>5076</v>
      </c>
      <c r="C1122" s="98" t="s">
        <v>3533</v>
      </c>
      <c r="D1122" s="120" t="s">
        <v>3563</v>
      </c>
      <c r="E1122" s="98">
        <v>2.31E-3</v>
      </c>
      <c r="F1122" s="120">
        <v>0</v>
      </c>
      <c r="G1122" s="121">
        <v>0</v>
      </c>
      <c r="H1122" s="123">
        <v>2.31E-3</v>
      </c>
      <c r="I1122" s="122">
        <v>0</v>
      </c>
      <c r="J1122" s="124">
        <f t="shared" si="17"/>
        <v>2.31</v>
      </c>
    </row>
    <row r="1123" spans="1:11" ht="15" customHeight="1" x14ac:dyDescent="0.2">
      <c r="A1123" s="120" t="s">
        <v>5279</v>
      </c>
      <c r="B1123" s="120" t="s">
        <v>5280</v>
      </c>
      <c r="C1123" s="98" t="s">
        <v>3532</v>
      </c>
      <c r="D1123" s="120" t="s">
        <v>3563</v>
      </c>
      <c r="E1123" s="98">
        <v>0.14499999999999999</v>
      </c>
      <c r="F1123" s="120">
        <v>0</v>
      </c>
      <c r="G1123" s="121">
        <v>0</v>
      </c>
      <c r="H1123" s="123">
        <v>0.14499999999999999</v>
      </c>
      <c r="I1123" s="122">
        <v>0</v>
      </c>
      <c r="J1123" s="124">
        <f t="shared" si="17"/>
        <v>145</v>
      </c>
    </row>
    <row r="1124" spans="1:11" ht="15" customHeight="1" x14ac:dyDescent="0.2">
      <c r="A1124" s="120" t="s">
        <v>5281</v>
      </c>
      <c r="B1124" s="120" t="s">
        <v>2146</v>
      </c>
      <c r="C1124" s="98" t="s">
        <v>3532</v>
      </c>
      <c r="D1124" s="120" t="s">
        <v>3563</v>
      </c>
      <c r="E1124" s="98">
        <v>0.02</v>
      </c>
      <c r="F1124" s="120">
        <v>0</v>
      </c>
      <c r="G1124" s="121">
        <v>11045</v>
      </c>
      <c r="H1124" s="123">
        <v>0.02</v>
      </c>
      <c r="I1124" s="122">
        <v>220.9</v>
      </c>
      <c r="J1124" s="124">
        <f t="shared" si="17"/>
        <v>20</v>
      </c>
    </row>
    <row r="1125" spans="1:11" ht="15" customHeight="1" x14ac:dyDescent="0.2">
      <c r="A1125" s="120" t="s">
        <v>5282</v>
      </c>
      <c r="B1125" s="120" t="s">
        <v>5283</v>
      </c>
      <c r="C1125" s="98" t="s">
        <v>3532</v>
      </c>
      <c r="D1125" s="120" t="s">
        <v>3563</v>
      </c>
      <c r="E1125" s="98">
        <v>7.4999999999999997E-3</v>
      </c>
      <c r="F1125" s="120">
        <v>0</v>
      </c>
      <c r="G1125" s="121">
        <v>8140</v>
      </c>
      <c r="H1125" s="123">
        <v>7.4999999999999997E-3</v>
      </c>
      <c r="I1125" s="122">
        <v>61.05</v>
      </c>
      <c r="J1125" s="124">
        <f t="shared" si="17"/>
        <v>7.5</v>
      </c>
    </row>
    <row r="1126" spans="1:11" ht="15" customHeight="1" x14ac:dyDescent="0.2">
      <c r="A1126" s="120" t="s">
        <v>5284</v>
      </c>
      <c r="B1126" s="120" t="s">
        <v>5198</v>
      </c>
      <c r="C1126" s="98" t="s">
        <v>3533</v>
      </c>
      <c r="D1126" s="120" t="s">
        <v>3563</v>
      </c>
      <c r="E1126" s="98">
        <v>1.575</v>
      </c>
      <c r="F1126" s="120">
        <v>0</v>
      </c>
      <c r="G1126" s="121">
        <v>1756</v>
      </c>
      <c r="H1126" s="123">
        <v>1.575</v>
      </c>
      <c r="I1126" s="122">
        <v>2765.7</v>
      </c>
      <c r="J1126" s="124">
        <f t="shared" si="17"/>
        <v>1575</v>
      </c>
      <c r="K1126" s="98" t="s">
        <v>5285</v>
      </c>
    </row>
    <row r="1127" spans="1:11" ht="15" customHeight="1" x14ac:dyDescent="0.2">
      <c r="A1127" s="120" t="s">
        <v>5286</v>
      </c>
      <c r="B1127" s="120" t="s">
        <v>5287</v>
      </c>
      <c r="C1127" s="98" t="s">
        <v>3532</v>
      </c>
      <c r="D1127" s="120" t="s">
        <v>3563</v>
      </c>
      <c r="E1127" s="98">
        <v>6.2500000000000003E-3</v>
      </c>
      <c r="F1127" s="120">
        <v>0</v>
      </c>
      <c r="G1127" s="121">
        <v>0</v>
      </c>
      <c r="H1127" s="123">
        <v>6.2500000000000003E-3</v>
      </c>
      <c r="I1127" s="122">
        <v>0</v>
      </c>
      <c r="J1127" s="124">
        <f t="shared" si="17"/>
        <v>6.25</v>
      </c>
    </row>
    <row r="1128" spans="1:11" ht="15" customHeight="1" x14ac:dyDescent="0.2">
      <c r="A1128" s="120" t="s">
        <v>5288</v>
      </c>
      <c r="B1128" s="120" t="s">
        <v>3532</v>
      </c>
      <c r="C1128" s="98" t="s">
        <v>3532</v>
      </c>
      <c r="D1128" s="120" t="s">
        <v>3563</v>
      </c>
      <c r="E1128" s="98">
        <v>2.0080000000000001E-2</v>
      </c>
      <c r="F1128" s="120">
        <v>0</v>
      </c>
      <c r="G1128" s="121">
        <v>0</v>
      </c>
      <c r="H1128" s="123">
        <v>2.0080000000000001E-2</v>
      </c>
      <c r="I1128" s="122">
        <v>0</v>
      </c>
      <c r="J1128" s="124">
        <f t="shared" si="17"/>
        <v>20.080000000000002</v>
      </c>
    </row>
    <row r="1129" spans="1:11" ht="15" customHeight="1" x14ac:dyDescent="0.2">
      <c r="A1129" s="120" t="s">
        <v>5289</v>
      </c>
      <c r="B1129" s="120" t="s">
        <v>3532</v>
      </c>
      <c r="C1129" s="98" t="s">
        <v>3532</v>
      </c>
      <c r="D1129" s="120" t="s">
        <v>3563</v>
      </c>
      <c r="E1129" s="98">
        <v>6.59E-2</v>
      </c>
      <c r="F1129" s="120">
        <v>0</v>
      </c>
      <c r="G1129" s="121">
        <v>0</v>
      </c>
      <c r="H1129" s="123">
        <v>6.59E-2</v>
      </c>
      <c r="I1129" s="122">
        <v>0</v>
      </c>
      <c r="J1129" s="124">
        <f t="shared" si="17"/>
        <v>65.900000000000006</v>
      </c>
    </row>
    <row r="1130" spans="1:11" ht="15" customHeight="1" x14ac:dyDescent="0.2">
      <c r="A1130" s="120" t="s">
        <v>5290</v>
      </c>
      <c r="B1130" s="120" t="s">
        <v>4720</v>
      </c>
      <c r="C1130" s="98" t="s">
        <v>3533</v>
      </c>
      <c r="D1130" s="120" t="s">
        <v>3563</v>
      </c>
      <c r="E1130" s="98">
        <v>3.3289241622575003E-2</v>
      </c>
      <c r="F1130" s="120">
        <v>0</v>
      </c>
      <c r="G1130" s="121">
        <v>22230</v>
      </c>
      <c r="H1130" s="123">
        <v>3.3288999999999999E-2</v>
      </c>
      <c r="I1130" s="122">
        <v>740.01446999999996</v>
      </c>
      <c r="J1130" s="124">
        <f t="shared" si="17"/>
        <v>33.289241622575005</v>
      </c>
      <c r="K1130" s="98" t="s">
        <v>5291</v>
      </c>
    </row>
    <row r="1131" spans="1:11" ht="15" customHeight="1" x14ac:dyDescent="0.2">
      <c r="A1131" s="120" t="s">
        <v>5292</v>
      </c>
      <c r="B1131" s="120" t="s">
        <v>2566</v>
      </c>
      <c r="C1131" s="98" t="s">
        <v>3532</v>
      </c>
      <c r="D1131" s="120" t="s">
        <v>3563</v>
      </c>
      <c r="E1131" s="98">
        <v>2.5000000000000001E-2</v>
      </c>
      <c r="F1131" s="120">
        <v>0</v>
      </c>
      <c r="G1131" s="121">
        <v>0</v>
      </c>
      <c r="H1131" s="123">
        <v>2.5000000000000001E-2</v>
      </c>
      <c r="I1131" s="122">
        <v>0</v>
      </c>
      <c r="J1131" s="124">
        <f t="shared" si="17"/>
        <v>25</v>
      </c>
    </row>
    <row r="1132" spans="1:11" ht="15" customHeight="1" x14ac:dyDescent="0.2">
      <c r="A1132" s="120" t="s">
        <v>5293</v>
      </c>
      <c r="B1132" s="120" t="s">
        <v>5211</v>
      </c>
      <c r="C1132" s="98" t="s">
        <v>3532</v>
      </c>
      <c r="D1132" s="120" t="s">
        <v>3563</v>
      </c>
      <c r="E1132" s="98">
        <v>1.2749999999999999E-2</v>
      </c>
      <c r="F1132" s="120">
        <v>0</v>
      </c>
      <c r="G1132" s="121">
        <v>0</v>
      </c>
      <c r="H1132" s="123">
        <v>1.2749999999999999E-2</v>
      </c>
      <c r="I1132" s="122">
        <v>0</v>
      </c>
      <c r="J1132" s="124">
        <f t="shared" si="17"/>
        <v>12.75</v>
      </c>
    </row>
    <row r="1133" spans="1:11" ht="15" customHeight="1" x14ac:dyDescent="0.2">
      <c r="A1133" s="120" t="s">
        <v>5294</v>
      </c>
      <c r="B1133" s="120" t="s">
        <v>2254</v>
      </c>
      <c r="C1133" s="98" t="s">
        <v>3532</v>
      </c>
      <c r="D1133" s="120" t="s">
        <v>3563</v>
      </c>
      <c r="E1133" s="98">
        <v>8.9999999999999993E-3</v>
      </c>
      <c r="F1133" s="120">
        <v>0</v>
      </c>
      <c r="G1133" s="121">
        <v>0</v>
      </c>
      <c r="H1133" s="123">
        <v>8.9999999999999993E-3</v>
      </c>
      <c r="I1133" s="122">
        <v>0</v>
      </c>
      <c r="J1133" s="124">
        <f t="shared" si="17"/>
        <v>9</v>
      </c>
    </row>
    <row r="1134" spans="1:11" ht="15" customHeight="1" x14ac:dyDescent="0.2">
      <c r="A1134" s="120" t="s">
        <v>5295</v>
      </c>
      <c r="B1134" s="120" t="s">
        <v>3532</v>
      </c>
      <c r="C1134" s="98" t="s">
        <v>3532</v>
      </c>
      <c r="D1134" s="120" t="s">
        <v>3563</v>
      </c>
      <c r="E1134" s="98">
        <v>9.5E-4</v>
      </c>
      <c r="F1134" s="120">
        <v>0</v>
      </c>
      <c r="G1134" s="121">
        <v>0</v>
      </c>
      <c r="H1134" s="123">
        <v>9.5E-4</v>
      </c>
      <c r="I1134" s="122">
        <v>0</v>
      </c>
      <c r="J1134" s="124">
        <f t="shared" si="17"/>
        <v>0.95</v>
      </c>
    </row>
    <row r="1135" spans="1:11" ht="15" customHeight="1" x14ac:dyDescent="0.2">
      <c r="A1135" s="120" t="s">
        <v>5296</v>
      </c>
      <c r="B1135" s="120" t="s">
        <v>2254</v>
      </c>
      <c r="C1135" s="98" t="s">
        <v>3533</v>
      </c>
      <c r="D1135" s="120" t="s">
        <v>3563</v>
      </c>
      <c r="E1135" s="98">
        <v>1.7999999999999999E-2</v>
      </c>
      <c r="F1135" s="120">
        <v>0</v>
      </c>
      <c r="G1135" s="121">
        <v>18835</v>
      </c>
      <c r="H1135" s="123">
        <v>1.7999999999999999E-2</v>
      </c>
      <c r="I1135" s="122">
        <v>339.03</v>
      </c>
      <c r="J1135" s="124">
        <f t="shared" si="17"/>
        <v>18</v>
      </c>
      <c r="K1135" s="98" t="s">
        <v>2387</v>
      </c>
    </row>
    <row r="1136" spans="1:11" ht="15" customHeight="1" x14ac:dyDescent="0.2">
      <c r="A1136" s="120" t="s">
        <v>5297</v>
      </c>
      <c r="B1136" s="120" t="s">
        <v>2198</v>
      </c>
      <c r="C1136" s="98" t="s">
        <v>3533</v>
      </c>
      <c r="D1136" s="120" t="s">
        <v>3563</v>
      </c>
      <c r="E1136" s="98">
        <v>1.1022927689594399E-3</v>
      </c>
      <c r="F1136" s="120">
        <v>0</v>
      </c>
      <c r="G1136" s="121">
        <v>255868</v>
      </c>
      <c r="H1136" s="123">
        <v>1.1019999999999999E-3</v>
      </c>
      <c r="I1136" s="122">
        <v>281.96653599999996</v>
      </c>
      <c r="J1136" s="124">
        <f t="shared" si="17"/>
        <v>1.10229276895944</v>
      </c>
      <c r="K1136" s="98" t="s">
        <v>5298</v>
      </c>
    </row>
    <row r="1137" spans="1:11" ht="15" customHeight="1" x14ac:dyDescent="0.2">
      <c r="A1137" s="120" t="s">
        <v>5299</v>
      </c>
      <c r="B1137" s="120" t="s">
        <v>2254</v>
      </c>
      <c r="C1137" s="98" t="s">
        <v>3533</v>
      </c>
      <c r="D1137" s="120" t="s">
        <v>3563</v>
      </c>
      <c r="E1137" s="98">
        <v>0.38500000000000001</v>
      </c>
      <c r="F1137" s="120">
        <v>0</v>
      </c>
      <c r="G1137" s="121">
        <v>93195</v>
      </c>
      <c r="H1137" s="123">
        <v>0.38500000000000001</v>
      </c>
      <c r="I1137" s="122">
        <v>35880.075000000004</v>
      </c>
      <c r="J1137" s="124">
        <f t="shared" si="17"/>
        <v>385</v>
      </c>
      <c r="K1137" s="98" t="s">
        <v>5300</v>
      </c>
    </row>
    <row r="1138" spans="1:11" ht="15" customHeight="1" x14ac:dyDescent="0.2">
      <c r="A1138" s="120" t="s">
        <v>5301</v>
      </c>
      <c r="B1138" s="120" t="s">
        <v>5302</v>
      </c>
      <c r="C1138" s="98" t="s">
        <v>3540</v>
      </c>
      <c r="D1138" s="120" t="s">
        <v>3563</v>
      </c>
      <c r="E1138" s="98">
        <v>5.1809999999999998E-3</v>
      </c>
      <c r="F1138" s="120">
        <v>0</v>
      </c>
      <c r="G1138" s="121">
        <v>0</v>
      </c>
      <c r="H1138" s="123">
        <v>5.1809999999999998E-3</v>
      </c>
      <c r="I1138" s="122">
        <v>0</v>
      </c>
      <c r="J1138" s="124">
        <f t="shared" si="17"/>
        <v>5.181</v>
      </c>
    </row>
    <row r="1139" spans="1:11" ht="15" customHeight="1" x14ac:dyDescent="0.2">
      <c r="A1139" s="120" t="s">
        <v>5303</v>
      </c>
      <c r="B1139" s="120" t="s">
        <v>5302</v>
      </c>
      <c r="C1139" s="98" t="s">
        <v>3533</v>
      </c>
      <c r="D1139" s="120" t="s">
        <v>3563</v>
      </c>
      <c r="E1139" s="98">
        <v>6.4819999999999999E-3</v>
      </c>
      <c r="F1139" s="120">
        <v>0</v>
      </c>
      <c r="G1139" s="121">
        <v>0</v>
      </c>
      <c r="H1139" s="123">
        <v>6.4819999999999999E-3</v>
      </c>
      <c r="I1139" s="122">
        <v>0</v>
      </c>
      <c r="J1139" s="124">
        <f t="shared" si="17"/>
        <v>6.4820000000000002</v>
      </c>
      <c r="K1139" s="98" t="s">
        <v>5304</v>
      </c>
    </row>
    <row r="1140" spans="1:11" ht="15" customHeight="1" x14ac:dyDescent="0.2">
      <c r="A1140" s="120" t="s">
        <v>5305</v>
      </c>
      <c r="B1140" s="120" t="s">
        <v>5306</v>
      </c>
      <c r="C1140" s="98" t="s">
        <v>3533</v>
      </c>
      <c r="D1140" s="120" t="s">
        <v>3563</v>
      </c>
      <c r="E1140" s="98">
        <v>7.7499999999999999E-2</v>
      </c>
      <c r="F1140" s="120">
        <v>0</v>
      </c>
      <c r="G1140" s="121">
        <v>8455</v>
      </c>
      <c r="H1140" s="123">
        <v>7.7499999999999999E-2</v>
      </c>
      <c r="I1140" s="122">
        <v>655.26250000000005</v>
      </c>
      <c r="J1140" s="124">
        <f t="shared" si="17"/>
        <v>77.5</v>
      </c>
      <c r="K1140" s="98" t="s">
        <v>2387</v>
      </c>
    </row>
    <row r="1141" spans="1:11" ht="15" customHeight="1" x14ac:dyDescent="0.2">
      <c r="A1141" s="120" t="s">
        <v>5307</v>
      </c>
      <c r="B1141" s="120" t="s">
        <v>5120</v>
      </c>
      <c r="C1141" s="98" t="s">
        <v>3533</v>
      </c>
      <c r="D1141" s="120" t="s">
        <v>3563</v>
      </c>
      <c r="E1141" s="98">
        <v>0</v>
      </c>
      <c r="F1141" s="120">
        <v>0</v>
      </c>
      <c r="G1141" s="121">
        <v>0</v>
      </c>
      <c r="H1141" s="123">
        <v>0</v>
      </c>
      <c r="I1141" s="122">
        <v>0</v>
      </c>
      <c r="J1141" s="124">
        <f t="shared" si="17"/>
        <v>0</v>
      </c>
    </row>
    <row r="1142" spans="1:11" ht="15" customHeight="1" x14ac:dyDescent="0.2">
      <c r="A1142" s="120" t="s">
        <v>5308</v>
      </c>
      <c r="B1142" s="120" t="s">
        <v>5072</v>
      </c>
      <c r="C1142" s="98" t="s">
        <v>3533</v>
      </c>
      <c r="D1142" s="120" t="s">
        <v>3563</v>
      </c>
      <c r="E1142" s="98">
        <v>3.4000000000000002E-2</v>
      </c>
      <c r="F1142" s="120">
        <v>0</v>
      </c>
      <c r="G1142" s="121">
        <v>25000</v>
      </c>
      <c r="H1142" s="123">
        <v>3.4000000000000002E-2</v>
      </c>
      <c r="I1142" s="122">
        <v>850.00000000000011</v>
      </c>
      <c r="J1142" s="124">
        <f t="shared" si="17"/>
        <v>34</v>
      </c>
      <c r="K1142" s="98" t="s">
        <v>2379</v>
      </c>
    </row>
    <row r="1143" spans="1:11" ht="15" customHeight="1" x14ac:dyDescent="0.2">
      <c r="A1143" s="120" t="s">
        <v>5309</v>
      </c>
      <c r="B1143" s="120" t="s">
        <v>5082</v>
      </c>
      <c r="C1143" s="98" t="s">
        <v>3533</v>
      </c>
      <c r="D1143" s="120" t="s">
        <v>3563</v>
      </c>
      <c r="E1143" s="98">
        <v>3.5000000000000003E-2</v>
      </c>
      <c r="F1143" s="120">
        <v>0</v>
      </c>
      <c r="G1143" s="121">
        <v>17880</v>
      </c>
      <c r="H1143" s="123">
        <v>3.5000000000000003E-2</v>
      </c>
      <c r="I1143" s="122">
        <v>625.80000000000007</v>
      </c>
      <c r="J1143" s="124">
        <f t="shared" si="17"/>
        <v>35</v>
      </c>
      <c r="K1143" s="98" t="s">
        <v>5310</v>
      </c>
    </row>
    <row r="1144" spans="1:11" ht="15" customHeight="1" x14ac:dyDescent="0.2">
      <c r="A1144" s="120" t="s">
        <v>5311</v>
      </c>
      <c r="B1144" s="120" t="s">
        <v>2184</v>
      </c>
      <c r="C1144" s="98" t="s">
        <v>3533</v>
      </c>
      <c r="D1144" s="120" t="s">
        <v>3563</v>
      </c>
      <c r="E1144" s="98">
        <v>1.2E-2</v>
      </c>
      <c r="F1144" s="120">
        <v>0</v>
      </c>
      <c r="G1144" s="121">
        <v>18110</v>
      </c>
      <c r="H1144" s="123">
        <v>1.2E-2</v>
      </c>
      <c r="I1144" s="122">
        <v>217.32</v>
      </c>
      <c r="J1144" s="124">
        <f t="shared" si="17"/>
        <v>12</v>
      </c>
      <c r="K1144" s="98" t="s">
        <v>2387</v>
      </c>
    </row>
    <row r="1145" spans="1:11" ht="15" customHeight="1" x14ac:dyDescent="0.2">
      <c r="A1145" s="120" t="s">
        <v>5312</v>
      </c>
      <c r="B1145" s="120" t="s">
        <v>3532</v>
      </c>
      <c r="C1145" s="98" t="s">
        <v>3532</v>
      </c>
      <c r="D1145" s="120" t="s">
        <v>3563</v>
      </c>
      <c r="E1145" s="98">
        <v>1.15E-2</v>
      </c>
      <c r="F1145" s="120">
        <v>0</v>
      </c>
      <c r="G1145" s="121">
        <v>0</v>
      </c>
      <c r="H1145" s="123">
        <v>1.15E-2</v>
      </c>
      <c r="I1145" s="122">
        <v>0</v>
      </c>
      <c r="J1145" s="124">
        <f t="shared" si="17"/>
        <v>11.5</v>
      </c>
    </row>
    <row r="1146" spans="1:11" ht="15" customHeight="1" x14ac:dyDescent="0.2">
      <c r="A1146" s="120" t="s">
        <v>2211</v>
      </c>
      <c r="B1146" s="120" t="s">
        <v>5082</v>
      </c>
      <c r="C1146" s="98" t="s">
        <v>3533</v>
      </c>
      <c r="D1146" s="120" t="s">
        <v>3563</v>
      </c>
      <c r="E1146" s="98">
        <v>5.2</v>
      </c>
      <c r="F1146" s="120">
        <v>0</v>
      </c>
      <c r="G1146" s="121">
        <v>465</v>
      </c>
      <c r="H1146" s="123">
        <v>5.2</v>
      </c>
      <c r="I1146" s="122">
        <v>2418</v>
      </c>
      <c r="J1146" s="124">
        <f t="shared" si="17"/>
        <v>5200</v>
      </c>
      <c r="K1146" s="98" t="s">
        <v>5313</v>
      </c>
    </row>
    <row r="1147" spans="1:11" ht="15" customHeight="1" x14ac:dyDescent="0.2">
      <c r="A1147" s="120" t="s">
        <v>5314</v>
      </c>
      <c r="B1147" s="120" t="s">
        <v>3532</v>
      </c>
      <c r="C1147" s="98" t="s">
        <v>3533</v>
      </c>
      <c r="D1147" s="120" t="s">
        <v>3563</v>
      </c>
      <c r="E1147" s="98">
        <v>8.6800000000000002E-3</v>
      </c>
      <c r="F1147" s="120">
        <v>0</v>
      </c>
      <c r="G1147" s="121">
        <v>0</v>
      </c>
      <c r="H1147" s="123">
        <v>8.6800000000000002E-3</v>
      </c>
      <c r="I1147" s="122">
        <v>0</v>
      </c>
      <c r="J1147" s="124">
        <f t="shared" si="17"/>
        <v>8.68</v>
      </c>
    </row>
    <row r="1148" spans="1:11" ht="15" customHeight="1" x14ac:dyDescent="0.2">
      <c r="A1148" s="120" t="s">
        <v>5315</v>
      </c>
      <c r="B1148" s="120" t="s">
        <v>3532</v>
      </c>
      <c r="C1148" s="98" t="s">
        <v>3533</v>
      </c>
      <c r="D1148" s="120" t="s">
        <v>3563</v>
      </c>
      <c r="E1148" s="98">
        <v>1.8200000000000001E-2</v>
      </c>
      <c r="F1148" s="120">
        <v>0</v>
      </c>
      <c r="G1148" s="121">
        <v>21205</v>
      </c>
      <c r="H1148" s="123">
        <v>1.8200000000000001E-2</v>
      </c>
      <c r="I1148" s="122">
        <v>385.93100000000004</v>
      </c>
      <c r="J1148" s="124">
        <f t="shared" si="17"/>
        <v>18.2</v>
      </c>
    </row>
    <row r="1149" spans="1:11" ht="15" customHeight="1" x14ac:dyDescent="0.2">
      <c r="A1149" s="120" t="s">
        <v>5316</v>
      </c>
      <c r="B1149" s="120" t="s">
        <v>3532</v>
      </c>
      <c r="C1149" s="98" t="s">
        <v>3532</v>
      </c>
      <c r="D1149" s="120" t="s">
        <v>3563</v>
      </c>
      <c r="E1149" s="98">
        <v>1.9800000000000002E-2</v>
      </c>
      <c r="F1149" s="120">
        <v>0</v>
      </c>
      <c r="G1149" s="121">
        <v>0</v>
      </c>
      <c r="H1149" s="123">
        <v>1.9800000000000002E-2</v>
      </c>
      <c r="I1149" s="122">
        <v>0</v>
      </c>
      <c r="J1149" s="124">
        <f t="shared" si="17"/>
        <v>19.8</v>
      </c>
    </row>
    <row r="1150" spans="1:11" ht="15" customHeight="1" x14ac:dyDescent="0.2">
      <c r="A1150" s="120" t="s">
        <v>5317</v>
      </c>
      <c r="B1150" s="120" t="s">
        <v>3532</v>
      </c>
      <c r="C1150" s="98" t="s">
        <v>3532</v>
      </c>
      <c r="D1150" s="120" t="s">
        <v>3563</v>
      </c>
      <c r="E1150" s="98">
        <v>0.14000000000000001</v>
      </c>
      <c r="F1150" s="120">
        <v>0</v>
      </c>
      <c r="G1150" s="121">
        <v>0</v>
      </c>
      <c r="H1150" s="123">
        <v>0.14000000000000001</v>
      </c>
      <c r="I1150" s="122">
        <v>0</v>
      </c>
      <c r="J1150" s="124">
        <f t="shared" si="17"/>
        <v>140</v>
      </c>
    </row>
    <row r="1151" spans="1:11" ht="15" customHeight="1" x14ac:dyDescent="0.2">
      <c r="A1151" s="120" t="s">
        <v>5318</v>
      </c>
      <c r="B1151" s="120" t="s">
        <v>3532</v>
      </c>
      <c r="C1151" s="98" t="s">
        <v>3532</v>
      </c>
      <c r="D1151" s="120" t="s">
        <v>3563</v>
      </c>
      <c r="E1151" s="98">
        <v>0.01</v>
      </c>
      <c r="F1151" s="120">
        <v>0</v>
      </c>
      <c r="G1151" s="121">
        <v>0</v>
      </c>
      <c r="H1151" s="123">
        <v>0.01</v>
      </c>
      <c r="I1151" s="122">
        <v>0</v>
      </c>
      <c r="J1151" s="124">
        <f t="shared" si="17"/>
        <v>10</v>
      </c>
    </row>
    <row r="1152" spans="1:11" ht="15" customHeight="1" x14ac:dyDescent="0.2">
      <c r="A1152" s="120" t="s">
        <v>5319</v>
      </c>
      <c r="B1152" s="120" t="s">
        <v>3532</v>
      </c>
      <c r="C1152" s="98" t="s">
        <v>3532</v>
      </c>
      <c r="D1152" s="120" t="s">
        <v>3563</v>
      </c>
      <c r="E1152" s="98">
        <v>8.7500000000000008E-3</v>
      </c>
      <c r="F1152" s="120">
        <v>0</v>
      </c>
      <c r="G1152" s="121">
        <v>0</v>
      </c>
      <c r="H1152" s="123">
        <v>8.7500000000000008E-3</v>
      </c>
      <c r="I1152" s="122">
        <v>0</v>
      </c>
      <c r="J1152" s="124">
        <f t="shared" si="17"/>
        <v>8.75</v>
      </c>
    </row>
    <row r="1153" spans="1:11" ht="15" customHeight="1" x14ac:dyDescent="0.2">
      <c r="A1153" s="120" t="s">
        <v>5320</v>
      </c>
      <c r="B1153" s="120" t="s">
        <v>5211</v>
      </c>
      <c r="C1153" s="98" t="s">
        <v>3533</v>
      </c>
      <c r="D1153" s="120" t="s">
        <v>3563</v>
      </c>
      <c r="E1153" s="98">
        <v>1.2500000000000001E-2</v>
      </c>
      <c r="F1153" s="120">
        <v>0</v>
      </c>
      <c r="G1153" s="121">
        <v>0</v>
      </c>
      <c r="H1153" s="123">
        <v>1.2500000000000001E-2</v>
      </c>
      <c r="I1153" s="122">
        <v>0</v>
      </c>
      <c r="J1153" s="124">
        <f t="shared" si="17"/>
        <v>12.5</v>
      </c>
      <c r="K1153" s="98" t="s">
        <v>2379</v>
      </c>
    </row>
    <row r="1154" spans="1:11" ht="15" customHeight="1" x14ac:dyDescent="0.2">
      <c r="A1154" s="120" t="s">
        <v>5321</v>
      </c>
      <c r="B1154" s="120" t="s">
        <v>5322</v>
      </c>
      <c r="C1154" s="98" t="s">
        <v>3533</v>
      </c>
      <c r="D1154" s="120" t="s">
        <v>3563</v>
      </c>
      <c r="E1154" s="98">
        <v>3.0249999999999999E-2</v>
      </c>
      <c r="F1154" s="120">
        <v>0</v>
      </c>
      <c r="G1154" s="121">
        <v>0</v>
      </c>
      <c r="H1154" s="123">
        <v>3.0249999999999999E-2</v>
      </c>
      <c r="I1154" s="122">
        <v>0</v>
      </c>
      <c r="J1154" s="124">
        <f t="shared" ref="J1154:J1217" si="18">IF(D1154="gm", E1154*1000,+E1154)</f>
        <v>30.25</v>
      </c>
    </row>
    <row r="1155" spans="1:11" ht="15" customHeight="1" x14ac:dyDescent="0.2">
      <c r="A1155" s="120" t="s">
        <v>5323</v>
      </c>
      <c r="B1155" s="120" t="s">
        <v>3532</v>
      </c>
      <c r="C1155" s="98" t="s">
        <v>3532</v>
      </c>
      <c r="D1155" s="120" t="s">
        <v>3563</v>
      </c>
      <c r="E1155" s="98">
        <v>1.7999999999999999E-2</v>
      </c>
      <c r="F1155" s="120">
        <v>0</v>
      </c>
      <c r="G1155" s="121">
        <v>0</v>
      </c>
      <c r="H1155" s="123">
        <v>1.7999999999999999E-2</v>
      </c>
      <c r="I1155" s="122">
        <v>0</v>
      </c>
      <c r="J1155" s="124">
        <f t="shared" si="18"/>
        <v>18</v>
      </c>
    </row>
    <row r="1156" spans="1:11" ht="15" customHeight="1" x14ac:dyDescent="0.2">
      <c r="A1156" s="120" t="s">
        <v>5324</v>
      </c>
      <c r="B1156" s="120" t="s">
        <v>3532</v>
      </c>
      <c r="C1156" s="98" t="s">
        <v>3532</v>
      </c>
      <c r="D1156" s="120" t="s">
        <v>3563</v>
      </c>
      <c r="E1156" s="98">
        <v>1.4200000000000001E-2</v>
      </c>
      <c r="F1156" s="120">
        <v>0</v>
      </c>
      <c r="G1156" s="121">
        <v>0</v>
      </c>
      <c r="H1156" s="123">
        <v>1.4200000000000001E-2</v>
      </c>
      <c r="I1156" s="122">
        <v>0</v>
      </c>
      <c r="J1156" s="124">
        <f t="shared" si="18"/>
        <v>14.200000000000001</v>
      </c>
    </row>
    <row r="1157" spans="1:11" ht="15" customHeight="1" x14ac:dyDescent="0.2">
      <c r="A1157" s="120" t="s">
        <v>5325</v>
      </c>
      <c r="B1157" s="120" t="s">
        <v>5131</v>
      </c>
      <c r="C1157" s="98" t="s">
        <v>3533</v>
      </c>
      <c r="D1157" s="120" t="s">
        <v>3563</v>
      </c>
      <c r="E1157" s="98">
        <v>1.0581999999999999E-2</v>
      </c>
      <c r="F1157" s="120">
        <v>0</v>
      </c>
      <c r="G1157" s="121">
        <v>1313632</v>
      </c>
      <c r="H1157" s="123">
        <v>1.0581999999999999E-2</v>
      </c>
      <c r="I1157" s="122">
        <v>13900.853824</v>
      </c>
      <c r="J1157" s="124">
        <f t="shared" si="18"/>
        <v>10.581999999999999</v>
      </c>
    </row>
    <row r="1158" spans="1:11" ht="15" customHeight="1" x14ac:dyDescent="0.2">
      <c r="A1158" s="120" t="s">
        <v>5326</v>
      </c>
      <c r="B1158" s="120" t="s">
        <v>3532</v>
      </c>
      <c r="C1158" s="98" t="s">
        <v>3532</v>
      </c>
      <c r="D1158" s="120" t="s">
        <v>3563</v>
      </c>
      <c r="E1158" s="98">
        <v>5.8000000000000003E-2</v>
      </c>
      <c r="F1158" s="120">
        <v>0</v>
      </c>
      <c r="G1158" s="121">
        <v>0</v>
      </c>
      <c r="H1158" s="123">
        <v>5.8000000000000003E-2</v>
      </c>
      <c r="I1158" s="122">
        <v>0</v>
      </c>
      <c r="J1158" s="124">
        <f t="shared" si="18"/>
        <v>58</v>
      </c>
    </row>
    <row r="1159" spans="1:11" ht="15" customHeight="1" x14ac:dyDescent="0.2">
      <c r="A1159" s="120" t="s">
        <v>5327</v>
      </c>
      <c r="B1159" s="120" t="s">
        <v>3532</v>
      </c>
      <c r="C1159" s="98" t="s">
        <v>3533</v>
      </c>
      <c r="D1159" s="120" t="s">
        <v>3563</v>
      </c>
      <c r="E1159" s="98">
        <v>0.02</v>
      </c>
      <c r="F1159" s="120">
        <v>0</v>
      </c>
      <c r="G1159" s="121">
        <v>0</v>
      </c>
      <c r="H1159" s="123">
        <v>0.02</v>
      </c>
      <c r="I1159" s="122">
        <v>0</v>
      </c>
      <c r="J1159" s="124">
        <f t="shared" si="18"/>
        <v>20</v>
      </c>
    </row>
    <row r="1160" spans="1:11" ht="15" customHeight="1" x14ac:dyDescent="0.2">
      <c r="A1160" s="120" t="s">
        <v>5328</v>
      </c>
      <c r="B1160" s="120" t="s">
        <v>4688</v>
      </c>
      <c r="C1160" s="98" t="s">
        <v>4837</v>
      </c>
      <c r="D1160" s="120" t="s">
        <v>3563</v>
      </c>
      <c r="E1160" s="98">
        <v>0</v>
      </c>
      <c r="F1160" s="120">
        <v>0</v>
      </c>
      <c r="G1160" s="121">
        <v>0</v>
      </c>
      <c r="H1160" s="123">
        <v>0</v>
      </c>
      <c r="I1160" s="122">
        <v>0</v>
      </c>
      <c r="J1160" s="124">
        <f t="shared" si="18"/>
        <v>0</v>
      </c>
    </row>
    <row r="1161" spans="1:11" ht="15" customHeight="1" x14ac:dyDescent="0.2">
      <c r="A1161" s="120" t="s">
        <v>5329</v>
      </c>
      <c r="B1161" s="120" t="s">
        <v>3532</v>
      </c>
      <c r="C1161" s="98" t="s">
        <v>3532</v>
      </c>
      <c r="D1161" s="120" t="s">
        <v>3563</v>
      </c>
      <c r="E1161" s="98">
        <v>1.32E-2</v>
      </c>
      <c r="F1161" s="120">
        <v>0</v>
      </c>
      <c r="G1161" s="121">
        <v>0</v>
      </c>
      <c r="H1161" s="123">
        <v>1.32E-2</v>
      </c>
      <c r="I1161" s="122">
        <v>0</v>
      </c>
      <c r="J1161" s="124">
        <f t="shared" si="18"/>
        <v>13.2</v>
      </c>
    </row>
    <row r="1162" spans="1:11" ht="15" customHeight="1" x14ac:dyDescent="0.2">
      <c r="A1162" s="120" t="s">
        <v>5330</v>
      </c>
      <c r="B1162" s="120" t="s">
        <v>4723</v>
      </c>
      <c r="C1162" s="98" t="s">
        <v>3540</v>
      </c>
      <c r="D1162" s="120" t="s">
        <v>3563</v>
      </c>
      <c r="E1162" s="98">
        <v>1.8950000000000002E-2</v>
      </c>
      <c r="F1162" s="120">
        <v>0</v>
      </c>
      <c r="G1162" s="121">
        <v>0</v>
      </c>
      <c r="H1162" s="123">
        <v>1.8950000000000002E-2</v>
      </c>
      <c r="I1162" s="122">
        <v>0</v>
      </c>
      <c r="J1162" s="124">
        <f t="shared" si="18"/>
        <v>18.950000000000003</v>
      </c>
    </row>
    <row r="1163" spans="1:11" ht="15" customHeight="1" x14ac:dyDescent="0.2">
      <c r="A1163" s="120" t="s">
        <v>5331</v>
      </c>
      <c r="B1163" s="120" t="s">
        <v>4988</v>
      </c>
      <c r="C1163" s="98" t="s">
        <v>3533</v>
      </c>
      <c r="D1163" s="120" t="s">
        <v>3563</v>
      </c>
      <c r="E1163" s="98">
        <v>0.16500000000000001</v>
      </c>
      <c r="F1163" s="120">
        <v>0</v>
      </c>
      <c r="G1163" s="121">
        <v>0</v>
      </c>
      <c r="H1163" s="123">
        <v>0.16500000000000001</v>
      </c>
      <c r="I1163" s="122">
        <v>0</v>
      </c>
      <c r="J1163" s="124">
        <f t="shared" si="18"/>
        <v>165</v>
      </c>
      <c r="K1163" s="98" t="s">
        <v>5332</v>
      </c>
    </row>
    <row r="1164" spans="1:11" ht="15" customHeight="1" x14ac:dyDescent="0.2">
      <c r="A1164" s="120" t="s">
        <v>5333</v>
      </c>
      <c r="B1164" s="120" t="s">
        <v>2198</v>
      </c>
      <c r="C1164" s="98" t="s">
        <v>3533</v>
      </c>
      <c r="D1164" s="120" t="s">
        <v>3563</v>
      </c>
      <c r="E1164" s="98">
        <v>4.4900000000000001E-3</v>
      </c>
      <c r="F1164" s="120">
        <v>0</v>
      </c>
      <c r="G1164" s="121">
        <v>0</v>
      </c>
      <c r="H1164" s="123">
        <v>4.4900000000000001E-3</v>
      </c>
      <c r="I1164" s="122">
        <v>0</v>
      </c>
      <c r="J1164" s="124">
        <f t="shared" si="18"/>
        <v>4.49</v>
      </c>
      <c r="K1164" s="98" t="s">
        <v>5189</v>
      </c>
    </row>
    <row r="1165" spans="1:11" ht="15" customHeight="1" x14ac:dyDescent="0.2">
      <c r="A1165" s="120" t="s">
        <v>5334</v>
      </c>
      <c r="B1165" s="120" t="s">
        <v>5335</v>
      </c>
      <c r="C1165" s="98" t="s">
        <v>3533</v>
      </c>
      <c r="D1165" s="120" t="s">
        <v>3563</v>
      </c>
      <c r="E1165" s="98">
        <v>5.7999999999999996E-3</v>
      </c>
      <c r="F1165" s="120">
        <v>0</v>
      </c>
      <c r="G1165" s="121">
        <v>0</v>
      </c>
      <c r="H1165" s="123">
        <v>5.7999999999999996E-3</v>
      </c>
      <c r="I1165" s="122">
        <v>0</v>
      </c>
      <c r="J1165" s="124">
        <f t="shared" si="18"/>
        <v>5.8</v>
      </c>
    </row>
    <row r="1166" spans="1:11" ht="15" customHeight="1" x14ac:dyDescent="0.2">
      <c r="A1166" s="120" t="s">
        <v>5336</v>
      </c>
      <c r="B1166" s="120" t="s">
        <v>5337</v>
      </c>
      <c r="C1166" s="98" t="s">
        <v>3533</v>
      </c>
      <c r="D1166" s="120" t="s">
        <v>3563</v>
      </c>
      <c r="E1166" s="98">
        <v>0.02</v>
      </c>
      <c r="F1166" s="120">
        <v>0</v>
      </c>
      <c r="G1166" s="121">
        <v>0</v>
      </c>
      <c r="H1166" s="123">
        <v>0.02</v>
      </c>
      <c r="I1166" s="122">
        <v>0</v>
      </c>
      <c r="J1166" s="124">
        <f t="shared" si="18"/>
        <v>20</v>
      </c>
      <c r="K1166" s="98" t="s">
        <v>5338</v>
      </c>
    </row>
    <row r="1167" spans="1:11" ht="15" customHeight="1" x14ac:dyDescent="0.2">
      <c r="A1167" s="120" t="s">
        <v>5339</v>
      </c>
      <c r="B1167" s="120" t="s">
        <v>3532</v>
      </c>
      <c r="C1167" s="98" t="s">
        <v>3532</v>
      </c>
      <c r="D1167" s="120" t="s">
        <v>3563</v>
      </c>
      <c r="E1167" s="98">
        <v>2.315E-2</v>
      </c>
      <c r="F1167" s="120">
        <v>0</v>
      </c>
      <c r="G1167" s="121">
        <v>0</v>
      </c>
      <c r="H1167" s="123">
        <v>2.315E-2</v>
      </c>
      <c r="I1167" s="122">
        <v>0</v>
      </c>
      <c r="J1167" s="124">
        <f t="shared" si="18"/>
        <v>23.150000000000002</v>
      </c>
    </row>
    <row r="1168" spans="1:11" ht="15" customHeight="1" x14ac:dyDescent="0.2">
      <c r="A1168" s="120" t="s">
        <v>5340</v>
      </c>
      <c r="B1168" s="120" t="s">
        <v>5341</v>
      </c>
      <c r="C1168" s="98" t="s">
        <v>3533</v>
      </c>
      <c r="D1168" s="120" t="s">
        <v>3563</v>
      </c>
      <c r="E1168" s="98">
        <v>2.3148999999999999E-2</v>
      </c>
      <c r="F1168" s="120">
        <v>0</v>
      </c>
      <c r="G1168" s="121">
        <v>0</v>
      </c>
      <c r="H1168" s="123">
        <v>2.3148999999999999E-2</v>
      </c>
      <c r="I1168" s="122">
        <v>0</v>
      </c>
      <c r="J1168" s="124">
        <f t="shared" si="18"/>
        <v>23.149000000000001</v>
      </c>
    </row>
    <row r="1169" spans="1:11" ht="15" customHeight="1" x14ac:dyDescent="0.2">
      <c r="A1169" s="120" t="s">
        <v>5342</v>
      </c>
      <c r="B1169" s="120" t="s">
        <v>5343</v>
      </c>
      <c r="C1169" s="98" t="s">
        <v>3540</v>
      </c>
      <c r="D1169" s="120" t="s">
        <v>3563</v>
      </c>
      <c r="E1169" s="98">
        <v>9.5000000000000001E-2</v>
      </c>
      <c r="F1169" s="120">
        <v>0</v>
      </c>
      <c r="G1169" s="121">
        <v>0</v>
      </c>
      <c r="H1169" s="123">
        <v>9.5000000000000001E-2</v>
      </c>
      <c r="I1169" s="122">
        <v>0</v>
      </c>
      <c r="J1169" s="124">
        <f t="shared" si="18"/>
        <v>95</v>
      </c>
    </row>
    <row r="1170" spans="1:11" ht="15" customHeight="1" x14ac:dyDescent="0.2">
      <c r="A1170" s="120" t="s">
        <v>5344</v>
      </c>
      <c r="B1170" s="120" t="s">
        <v>5345</v>
      </c>
      <c r="C1170" s="98" t="s">
        <v>3533</v>
      </c>
      <c r="D1170" s="120" t="s">
        <v>3563</v>
      </c>
      <c r="E1170" s="98">
        <v>5.1808181818181797E-3</v>
      </c>
      <c r="F1170" s="120">
        <v>200000</v>
      </c>
      <c r="G1170" s="121">
        <v>536207.6</v>
      </c>
      <c r="H1170" s="123">
        <v>5.2760000000000003E-3</v>
      </c>
      <c r="I1170" s="122">
        <v>2829.0312976</v>
      </c>
      <c r="J1170" s="124">
        <f t="shared" si="18"/>
        <v>5.1808181818181795</v>
      </c>
      <c r="K1170" s="98" t="s">
        <v>5346</v>
      </c>
    </row>
    <row r="1171" spans="1:11" ht="15" customHeight="1" x14ac:dyDescent="0.2">
      <c r="A1171" s="120" t="s">
        <v>5347</v>
      </c>
      <c r="B1171" s="120" t="s">
        <v>2198</v>
      </c>
      <c r="C1171" s="98" t="s">
        <v>3540</v>
      </c>
      <c r="D1171" s="120" t="s">
        <v>3563</v>
      </c>
      <c r="E1171" s="98">
        <v>4.0699999999999998E-3</v>
      </c>
      <c r="F1171" s="120">
        <v>0</v>
      </c>
      <c r="G1171" s="121">
        <v>12779</v>
      </c>
      <c r="H1171" s="123">
        <v>4.0699999999999998E-3</v>
      </c>
      <c r="I1171" s="122">
        <v>52.010529999999996</v>
      </c>
      <c r="J1171" s="124">
        <f t="shared" si="18"/>
        <v>4.0699999999999994</v>
      </c>
    </row>
    <row r="1172" spans="1:11" ht="15" customHeight="1" x14ac:dyDescent="0.2">
      <c r="A1172" s="120" t="s">
        <v>5348</v>
      </c>
      <c r="B1172" s="120" t="s">
        <v>3532</v>
      </c>
      <c r="C1172" s="98" t="s">
        <v>3532</v>
      </c>
      <c r="D1172" s="120" t="s">
        <v>3563</v>
      </c>
      <c r="E1172" s="98">
        <v>2.1499999999999998E-2</v>
      </c>
      <c r="F1172" s="120">
        <v>0</v>
      </c>
      <c r="G1172" s="121">
        <v>0</v>
      </c>
      <c r="H1172" s="123">
        <v>2.1499999999999998E-2</v>
      </c>
      <c r="I1172" s="122">
        <v>0</v>
      </c>
      <c r="J1172" s="124">
        <f t="shared" si="18"/>
        <v>21.5</v>
      </c>
    </row>
    <row r="1173" spans="1:11" ht="15" customHeight="1" x14ac:dyDescent="0.2">
      <c r="A1173" s="120" t="s">
        <v>5349</v>
      </c>
      <c r="B1173" s="120" t="s">
        <v>5350</v>
      </c>
      <c r="C1173" s="98" t="s">
        <v>3533</v>
      </c>
      <c r="D1173" s="120" t="s">
        <v>3563</v>
      </c>
      <c r="E1173" s="98">
        <v>0.22500000000000001</v>
      </c>
      <c r="F1173" s="120">
        <v>0</v>
      </c>
      <c r="G1173" s="121">
        <v>0</v>
      </c>
      <c r="H1173" s="123">
        <v>0.22500000000000001</v>
      </c>
      <c r="I1173" s="122">
        <v>0</v>
      </c>
      <c r="J1173" s="124">
        <f t="shared" si="18"/>
        <v>225</v>
      </c>
      <c r="K1173" s="98" t="s">
        <v>5351</v>
      </c>
    </row>
    <row r="1174" spans="1:11" ht="15" customHeight="1" x14ac:dyDescent="0.2">
      <c r="A1174" s="120" t="s">
        <v>5352</v>
      </c>
      <c r="B1174" s="120" t="s">
        <v>4924</v>
      </c>
      <c r="C1174" s="98" t="s">
        <v>3533</v>
      </c>
      <c r="D1174" s="120" t="s">
        <v>3563</v>
      </c>
      <c r="E1174" s="98">
        <v>2.0490005878894799E-2</v>
      </c>
      <c r="F1174" s="120">
        <v>0</v>
      </c>
      <c r="G1174" s="121">
        <v>71634</v>
      </c>
      <c r="H1174" s="123">
        <v>2.0490000000000001E-2</v>
      </c>
      <c r="I1174" s="122">
        <v>1467.7806600000001</v>
      </c>
      <c r="J1174" s="124">
        <f t="shared" si="18"/>
        <v>20.490005878894799</v>
      </c>
      <c r="K1174" s="98" t="s">
        <v>5353</v>
      </c>
    </row>
    <row r="1175" spans="1:11" ht="15" customHeight="1" x14ac:dyDescent="0.2">
      <c r="A1175" s="120" t="s">
        <v>5354</v>
      </c>
      <c r="B1175" s="120" t="s">
        <v>5182</v>
      </c>
      <c r="C1175" s="98" t="s">
        <v>3533</v>
      </c>
      <c r="D1175" s="120" t="s">
        <v>3563</v>
      </c>
      <c r="E1175" s="98">
        <v>7.3999999999999996E-2</v>
      </c>
      <c r="F1175" s="120">
        <v>0</v>
      </c>
      <c r="G1175" s="121">
        <v>25000</v>
      </c>
      <c r="H1175" s="123">
        <v>7.3999999999999996E-2</v>
      </c>
      <c r="I1175" s="122">
        <v>1850</v>
      </c>
      <c r="J1175" s="124">
        <f t="shared" si="18"/>
        <v>74</v>
      </c>
    </row>
    <row r="1176" spans="1:11" ht="15" customHeight="1" x14ac:dyDescent="0.2">
      <c r="A1176" s="120" t="s">
        <v>5355</v>
      </c>
      <c r="B1176" s="120" t="s">
        <v>5182</v>
      </c>
      <c r="C1176" s="98" t="s">
        <v>3533</v>
      </c>
      <c r="D1176" s="120" t="s">
        <v>3563</v>
      </c>
      <c r="E1176" s="98">
        <v>6.4000000000000001E-2</v>
      </c>
      <c r="F1176" s="120">
        <v>0</v>
      </c>
      <c r="G1176" s="121">
        <v>80720</v>
      </c>
      <c r="H1176" s="123">
        <v>6.4000000000000001E-2</v>
      </c>
      <c r="I1176" s="122">
        <v>5166.08</v>
      </c>
      <c r="J1176" s="124">
        <f t="shared" si="18"/>
        <v>64</v>
      </c>
      <c r="K1176" s="98" t="s">
        <v>5356</v>
      </c>
    </row>
    <row r="1177" spans="1:11" ht="15" customHeight="1" x14ac:dyDescent="0.2">
      <c r="A1177" s="120" t="s">
        <v>5357</v>
      </c>
      <c r="B1177" s="120" t="s">
        <v>5358</v>
      </c>
      <c r="C1177" s="98" t="s">
        <v>3533</v>
      </c>
      <c r="D1177" s="120" t="s">
        <v>3563</v>
      </c>
      <c r="E1177" s="98">
        <v>2.479E-2</v>
      </c>
      <c r="F1177" s="120">
        <v>0</v>
      </c>
      <c r="G1177" s="121">
        <v>299020</v>
      </c>
      <c r="H1177" s="123">
        <v>2.4798000000000001E-2</v>
      </c>
      <c r="I1177" s="122">
        <v>7415.0979600000001</v>
      </c>
      <c r="J1177" s="124">
        <f t="shared" si="18"/>
        <v>24.79</v>
      </c>
      <c r="K1177" s="98" t="s">
        <v>5359</v>
      </c>
    </row>
    <row r="1178" spans="1:11" ht="15" customHeight="1" x14ac:dyDescent="0.2">
      <c r="A1178" s="120" t="s">
        <v>5360</v>
      </c>
      <c r="B1178" s="120" t="s">
        <v>5198</v>
      </c>
      <c r="C1178" s="98" t="s">
        <v>3533</v>
      </c>
      <c r="D1178" s="120" t="s">
        <v>3563</v>
      </c>
      <c r="E1178" s="98">
        <v>0.12</v>
      </c>
      <c r="F1178" s="120">
        <v>0</v>
      </c>
      <c r="G1178" s="121">
        <v>24605</v>
      </c>
      <c r="H1178" s="123">
        <v>0.12</v>
      </c>
      <c r="I1178" s="122">
        <v>2952.6</v>
      </c>
      <c r="J1178" s="124">
        <f t="shared" si="18"/>
        <v>120</v>
      </c>
      <c r="K1178" s="98" t="s">
        <v>5361</v>
      </c>
    </row>
    <row r="1179" spans="1:11" ht="15" customHeight="1" x14ac:dyDescent="0.2">
      <c r="A1179" s="120" t="s">
        <v>5362</v>
      </c>
      <c r="B1179" s="120" t="s">
        <v>5080</v>
      </c>
      <c r="C1179" s="98" t="s">
        <v>3533</v>
      </c>
      <c r="D1179" s="120" t="s">
        <v>3563</v>
      </c>
      <c r="E1179" s="98">
        <v>3.2899999999999999E-2</v>
      </c>
      <c r="F1179" s="120">
        <v>0</v>
      </c>
      <c r="G1179" s="121">
        <v>0</v>
      </c>
      <c r="H1179" s="123">
        <v>3.2899999999999999E-2</v>
      </c>
      <c r="I1179" s="122">
        <v>0</v>
      </c>
      <c r="J1179" s="124">
        <f t="shared" si="18"/>
        <v>32.9</v>
      </c>
      <c r="K1179" s="98" t="s">
        <v>5363</v>
      </c>
    </row>
    <row r="1180" spans="1:11" ht="15" customHeight="1" x14ac:dyDescent="0.2">
      <c r="A1180" s="120" t="s">
        <v>5364</v>
      </c>
      <c r="B1180" s="120" t="s">
        <v>5221</v>
      </c>
      <c r="C1180" s="98" t="s">
        <v>3533</v>
      </c>
      <c r="D1180" s="120" t="s">
        <v>3563</v>
      </c>
      <c r="E1180" s="98">
        <v>2.1999999999999999E-2</v>
      </c>
      <c r="F1180" s="120">
        <v>0</v>
      </c>
      <c r="G1180" s="121">
        <v>14745</v>
      </c>
      <c r="H1180" s="123">
        <v>2.1999999999999999E-2</v>
      </c>
      <c r="I1180" s="122">
        <v>324.39</v>
      </c>
      <c r="J1180" s="124">
        <f t="shared" si="18"/>
        <v>22</v>
      </c>
      <c r="K1180" s="98" t="s">
        <v>5365</v>
      </c>
    </row>
    <row r="1181" spans="1:11" ht="15" customHeight="1" x14ac:dyDescent="0.2">
      <c r="A1181" s="120" t="s">
        <v>5366</v>
      </c>
      <c r="B1181" s="120" t="s">
        <v>5216</v>
      </c>
      <c r="C1181" s="98" t="s">
        <v>3533</v>
      </c>
      <c r="D1181" s="120" t="s">
        <v>3563</v>
      </c>
      <c r="E1181" s="98">
        <v>0.01</v>
      </c>
      <c r="F1181" s="120">
        <v>0</v>
      </c>
      <c r="G1181" s="121">
        <v>447005</v>
      </c>
      <c r="H1181" s="123">
        <v>0.01</v>
      </c>
      <c r="I1181" s="122">
        <v>4470.05</v>
      </c>
      <c r="J1181" s="124">
        <f t="shared" si="18"/>
        <v>10</v>
      </c>
      <c r="K1181" s="98" t="s">
        <v>5189</v>
      </c>
    </row>
    <row r="1182" spans="1:11" ht="15" customHeight="1" x14ac:dyDescent="0.2">
      <c r="A1182" s="120" t="s">
        <v>5367</v>
      </c>
      <c r="B1182" s="120" t="s">
        <v>4783</v>
      </c>
      <c r="C1182" s="98" t="s">
        <v>3533</v>
      </c>
      <c r="D1182" s="120" t="s">
        <v>3563</v>
      </c>
      <c r="E1182" s="98">
        <v>7.4099999999999999E-3</v>
      </c>
      <c r="F1182" s="120">
        <v>0</v>
      </c>
      <c r="G1182" s="121">
        <v>0</v>
      </c>
      <c r="H1182" s="123">
        <v>7.4099999999999999E-3</v>
      </c>
      <c r="I1182" s="122">
        <v>0</v>
      </c>
      <c r="J1182" s="124">
        <f t="shared" si="18"/>
        <v>7.41</v>
      </c>
      <c r="K1182" s="98" t="s">
        <v>5368</v>
      </c>
    </row>
    <row r="1183" spans="1:11" ht="15" customHeight="1" x14ac:dyDescent="0.2">
      <c r="A1183" s="120" t="s">
        <v>5369</v>
      </c>
      <c r="B1183" s="120" t="s">
        <v>5258</v>
      </c>
      <c r="C1183" s="98" t="s">
        <v>3533</v>
      </c>
      <c r="D1183" s="120" t="s">
        <v>3563</v>
      </c>
      <c r="E1183" s="98">
        <v>4.3871252204585501E-2</v>
      </c>
      <c r="F1183" s="120">
        <v>0</v>
      </c>
      <c r="G1183" s="121">
        <v>21728</v>
      </c>
      <c r="H1183" s="123">
        <v>4.3871E-2</v>
      </c>
      <c r="I1183" s="122">
        <v>953.22908800000005</v>
      </c>
      <c r="J1183" s="124">
        <f t="shared" si="18"/>
        <v>43.871252204585502</v>
      </c>
      <c r="K1183" s="98" t="s">
        <v>5370</v>
      </c>
    </row>
    <row r="1184" spans="1:11" ht="15" customHeight="1" x14ac:dyDescent="0.2">
      <c r="A1184" s="120" t="s">
        <v>5371</v>
      </c>
      <c r="B1184" s="120" t="s">
        <v>5372</v>
      </c>
      <c r="C1184" s="98" t="s">
        <v>3533</v>
      </c>
      <c r="D1184" s="120" t="s">
        <v>3563</v>
      </c>
      <c r="E1184" s="98">
        <v>0.09</v>
      </c>
      <c r="F1184" s="120">
        <v>0</v>
      </c>
      <c r="G1184" s="121">
        <v>8693</v>
      </c>
      <c r="H1184" s="123">
        <v>0.09</v>
      </c>
      <c r="I1184" s="122">
        <v>782.37</v>
      </c>
      <c r="J1184" s="124">
        <f t="shared" si="18"/>
        <v>90</v>
      </c>
      <c r="K1184" s="98" t="s">
        <v>5373</v>
      </c>
    </row>
    <row r="1185" spans="1:11" ht="15" customHeight="1" x14ac:dyDescent="0.2">
      <c r="A1185" s="120" t="s">
        <v>5374</v>
      </c>
      <c r="B1185" s="120" t="s">
        <v>5375</v>
      </c>
      <c r="C1185" s="98" t="s">
        <v>3533</v>
      </c>
      <c r="D1185" s="120" t="s">
        <v>3563</v>
      </c>
      <c r="E1185" s="98">
        <v>2.597E-2</v>
      </c>
      <c r="F1185" s="120">
        <v>0</v>
      </c>
      <c r="G1185" s="121">
        <v>0</v>
      </c>
      <c r="H1185" s="123">
        <v>2.597E-2</v>
      </c>
      <c r="I1185" s="122">
        <v>0</v>
      </c>
      <c r="J1185" s="124">
        <f t="shared" si="18"/>
        <v>25.97</v>
      </c>
    </row>
    <row r="1186" spans="1:11" ht="15" customHeight="1" x14ac:dyDescent="0.2">
      <c r="A1186" s="120" t="s">
        <v>5376</v>
      </c>
      <c r="B1186" s="120" t="s">
        <v>5377</v>
      </c>
      <c r="C1186" s="98" t="s">
        <v>3533</v>
      </c>
      <c r="D1186" s="120" t="s">
        <v>3563</v>
      </c>
      <c r="E1186" s="98">
        <v>5.5500000000000001E-2</v>
      </c>
      <c r="F1186" s="120">
        <v>0</v>
      </c>
      <c r="G1186" s="121">
        <v>56210</v>
      </c>
      <c r="H1186" s="123">
        <v>5.5500000000000001E-2</v>
      </c>
      <c r="I1186" s="122">
        <v>3119.6550000000002</v>
      </c>
      <c r="J1186" s="124">
        <f t="shared" si="18"/>
        <v>55.5</v>
      </c>
      <c r="K1186" s="98" t="s">
        <v>5378</v>
      </c>
    </row>
    <row r="1187" spans="1:11" ht="15" customHeight="1" x14ac:dyDescent="0.2">
      <c r="A1187" s="120" t="s">
        <v>5379</v>
      </c>
      <c r="B1187" s="120" t="s">
        <v>2254</v>
      </c>
      <c r="C1187" s="98" t="s">
        <v>3533</v>
      </c>
      <c r="D1187" s="120" t="s">
        <v>3563</v>
      </c>
      <c r="E1187" s="98">
        <v>7.7819999999999999E-3</v>
      </c>
      <c r="F1187" s="120">
        <v>0</v>
      </c>
      <c r="G1187" s="121">
        <v>4563</v>
      </c>
      <c r="H1187" s="123">
        <v>7.7819999999999999E-3</v>
      </c>
      <c r="I1187" s="122">
        <v>35.509265999999997</v>
      </c>
      <c r="J1187" s="124">
        <f t="shared" si="18"/>
        <v>7.782</v>
      </c>
      <c r="K1187" s="98" t="s">
        <v>5380</v>
      </c>
    </row>
    <row r="1188" spans="1:11" ht="15" customHeight="1" x14ac:dyDescent="0.2">
      <c r="A1188" s="120" t="s">
        <v>5381</v>
      </c>
      <c r="B1188" s="120" t="s">
        <v>5382</v>
      </c>
      <c r="C1188" s="98" t="s">
        <v>3532</v>
      </c>
      <c r="D1188" s="120" t="s">
        <v>3563</v>
      </c>
      <c r="E1188" s="98">
        <v>1.4749999999999999E-2</v>
      </c>
      <c r="F1188" s="120">
        <v>0</v>
      </c>
      <c r="G1188" s="121">
        <v>0</v>
      </c>
      <c r="H1188" s="123">
        <v>1.4749999999999999E-2</v>
      </c>
      <c r="I1188" s="122">
        <v>0</v>
      </c>
      <c r="J1188" s="124">
        <f t="shared" si="18"/>
        <v>14.75</v>
      </c>
    </row>
    <row r="1189" spans="1:11" ht="15" customHeight="1" x14ac:dyDescent="0.2">
      <c r="A1189" s="120" t="s">
        <v>5383</v>
      </c>
      <c r="B1189" s="120" t="s">
        <v>4699</v>
      </c>
      <c r="C1189" s="98" t="s">
        <v>3533</v>
      </c>
      <c r="D1189" s="120" t="s">
        <v>3563</v>
      </c>
      <c r="E1189" s="98">
        <v>6.3699999999999998E-3</v>
      </c>
      <c r="F1189" s="120">
        <v>0</v>
      </c>
      <c r="G1189" s="121">
        <v>251919</v>
      </c>
      <c r="H1189" s="123">
        <v>6.3699999999999998E-3</v>
      </c>
      <c r="I1189" s="122">
        <v>1604.7240299999999</v>
      </c>
      <c r="J1189" s="124">
        <f t="shared" si="18"/>
        <v>6.37</v>
      </c>
      <c r="K1189" s="98" t="s">
        <v>5384</v>
      </c>
    </row>
    <row r="1190" spans="1:11" ht="15" customHeight="1" x14ac:dyDescent="0.2">
      <c r="A1190" s="120" t="s">
        <v>5385</v>
      </c>
      <c r="B1190" s="120" t="s">
        <v>5386</v>
      </c>
      <c r="C1190" s="98" t="s">
        <v>3532</v>
      </c>
      <c r="D1190" s="120" t="s">
        <v>3563</v>
      </c>
      <c r="E1190" s="98">
        <v>4.1250000000000002E-2</v>
      </c>
      <c r="F1190" s="120">
        <v>0</v>
      </c>
      <c r="G1190" s="121">
        <v>0</v>
      </c>
      <c r="H1190" s="123">
        <v>4.1250000000000002E-2</v>
      </c>
      <c r="I1190" s="122">
        <v>0</v>
      </c>
      <c r="J1190" s="124">
        <f t="shared" si="18"/>
        <v>41.25</v>
      </c>
    </row>
    <row r="1191" spans="1:11" ht="15" customHeight="1" x14ac:dyDescent="0.2">
      <c r="A1191" s="120" t="s">
        <v>5387</v>
      </c>
      <c r="B1191" s="120" t="s">
        <v>4720</v>
      </c>
      <c r="C1191" s="98" t="s">
        <v>3533</v>
      </c>
      <c r="D1191" s="120" t="s">
        <v>3563</v>
      </c>
      <c r="E1191" s="98">
        <v>8.8624338624338592E-2</v>
      </c>
      <c r="F1191" s="120">
        <v>0</v>
      </c>
      <c r="G1191" s="121">
        <v>16605</v>
      </c>
      <c r="H1191" s="123">
        <v>8.8623999999999994E-2</v>
      </c>
      <c r="I1191" s="122">
        <v>1471.6015199999999</v>
      </c>
      <c r="J1191" s="124">
        <f t="shared" si="18"/>
        <v>88.624338624338591</v>
      </c>
      <c r="K1191" s="98" t="s">
        <v>5388</v>
      </c>
    </row>
    <row r="1192" spans="1:11" ht="15" customHeight="1" x14ac:dyDescent="0.2">
      <c r="A1192" s="120" t="s">
        <v>5389</v>
      </c>
      <c r="B1192" s="120" t="s">
        <v>4720</v>
      </c>
      <c r="C1192" s="98" t="s">
        <v>3533</v>
      </c>
      <c r="D1192" s="120" t="s">
        <v>3563</v>
      </c>
      <c r="E1192" s="98">
        <v>3.9440000000000003E-2</v>
      </c>
      <c r="F1192" s="120">
        <v>0</v>
      </c>
      <c r="G1192" s="121">
        <v>186068</v>
      </c>
      <c r="H1192" s="123">
        <v>3.9440000000000003E-2</v>
      </c>
      <c r="I1192" s="122">
        <v>7338.5219200000001</v>
      </c>
      <c r="J1192" s="124">
        <f t="shared" si="18"/>
        <v>39.440000000000005</v>
      </c>
      <c r="K1192" s="98" t="s">
        <v>5390</v>
      </c>
    </row>
    <row r="1193" spans="1:11" ht="15" customHeight="1" x14ac:dyDescent="0.2">
      <c r="A1193" s="120" t="s">
        <v>5391</v>
      </c>
      <c r="B1193" s="120" t="s">
        <v>5392</v>
      </c>
      <c r="C1193" s="98" t="s">
        <v>3533</v>
      </c>
      <c r="D1193" s="120" t="s">
        <v>3563</v>
      </c>
      <c r="E1193" s="98">
        <v>2.7560000000000002E-3</v>
      </c>
      <c r="F1193" s="120">
        <v>0</v>
      </c>
      <c r="G1193" s="121">
        <v>0</v>
      </c>
      <c r="H1193" s="123">
        <v>2.7560000000000002E-3</v>
      </c>
      <c r="I1193" s="122">
        <v>0</v>
      </c>
      <c r="J1193" s="124">
        <f t="shared" si="18"/>
        <v>2.7560000000000002</v>
      </c>
      <c r="K1193" s="98" t="s">
        <v>5393</v>
      </c>
    </row>
    <row r="1194" spans="1:11" ht="15" customHeight="1" x14ac:dyDescent="0.2">
      <c r="A1194" s="120" t="s">
        <v>5394</v>
      </c>
      <c r="B1194" s="120" t="s">
        <v>5395</v>
      </c>
      <c r="C1194" s="98" t="s">
        <v>3532</v>
      </c>
      <c r="D1194" s="120" t="s">
        <v>3563</v>
      </c>
      <c r="E1194" s="98">
        <v>3.8999999999999998E-3</v>
      </c>
      <c r="F1194" s="120">
        <v>0</v>
      </c>
      <c r="G1194" s="121">
        <v>0</v>
      </c>
      <c r="H1194" s="123">
        <v>3.8999999999999998E-3</v>
      </c>
      <c r="I1194" s="122">
        <v>0</v>
      </c>
      <c r="J1194" s="124">
        <f t="shared" si="18"/>
        <v>3.9</v>
      </c>
    </row>
    <row r="1195" spans="1:11" ht="15" customHeight="1" x14ac:dyDescent="0.2">
      <c r="A1195" s="120" t="s">
        <v>5396</v>
      </c>
      <c r="B1195" s="120" t="s">
        <v>5221</v>
      </c>
      <c r="C1195" s="98" t="s">
        <v>3533</v>
      </c>
      <c r="D1195" s="120" t="s">
        <v>3563</v>
      </c>
      <c r="E1195" s="98">
        <v>1.6400000000000001E-2</v>
      </c>
      <c r="F1195" s="120">
        <v>0</v>
      </c>
      <c r="G1195" s="121">
        <v>22060</v>
      </c>
      <c r="H1195" s="123">
        <v>1.6400000000000001E-2</v>
      </c>
      <c r="I1195" s="122">
        <v>361.78400000000005</v>
      </c>
      <c r="J1195" s="124">
        <f t="shared" si="18"/>
        <v>16.400000000000002</v>
      </c>
      <c r="K1195" s="98" t="s">
        <v>5397</v>
      </c>
    </row>
    <row r="1196" spans="1:11" ht="15" customHeight="1" x14ac:dyDescent="0.2">
      <c r="A1196" s="120" t="s">
        <v>5398</v>
      </c>
      <c r="B1196" s="120" t="s">
        <v>3532</v>
      </c>
      <c r="C1196" s="98" t="s">
        <v>3532</v>
      </c>
      <c r="D1196" s="120" t="s">
        <v>3563</v>
      </c>
      <c r="E1196" s="98">
        <v>6.0000000000000001E-3</v>
      </c>
      <c r="F1196" s="120">
        <v>0</v>
      </c>
      <c r="G1196" s="121">
        <v>0</v>
      </c>
      <c r="H1196" s="123">
        <v>6.0000000000000001E-3</v>
      </c>
      <c r="I1196" s="122">
        <v>0</v>
      </c>
      <c r="J1196" s="124">
        <f t="shared" si="18"/>
        <v>6</v>
      </c>
    </row>
    <row r="1197" spans="1:11" ht="15" customHeight="1" x14ac:dyDescent="0.2">
      <c r="A1197" s="120" t="s">
        <v>5399</v>
      </c>
      <c r="B1197" s="120" t="s">
        <v>3532</v>
      </c>
      <c r="C1197" s="98" t="s">
        <v>3532</v>
      </c>
      <c r="D1197" s="120" t="s">
        <v>3563</v>
      </c>
      <c r="E1197" s="98">
        <v>1.4749999999999999E-2</v>
      </c>
      <c r="F1197" s="120">
        <v>0</v>
      </c>
      <c r="G1197" s="121">
        <v>0</v>
      </c>
      <c r="H1197" s="123">
        <v>1.4749999999999999E-2</v>
      </c>
      <c r="I1197" s="122">
        <v>0</v>
      </c>
      <c r="J1197" s="124">
        <f t="shared" si="18"/>
        <v>14.75</v>
      </c>
    </row>
    <row r="1198" spans="1:11" ht="15" customHeight="1" x14ac:dyDescent="0.2">
      <c r="A1198" s="120" t="s">
        <v>5400</v>
      </c>
      <c r="B1198" s="120" t="s">
        <v>5216</v>
      </c>
      <c r="C1198" s="98" t="s">
        <v>3533</v>
      </c>
      <c r="D1198" s="120" t="s">
        <v>3563</v>
      </c>
      <c r="E1198" s="98">
        <v>1.6E-2</v>
      </c>
      <c r="F1198" s="120">
        <v>0</v>
      </c>
      <c r="G1198" s="121">
        <v>25000</v>
      </c>
      <c r="H1198" s="123">
        <v>1.6E-2</v>
      </c>
      <c r="I1198" s="122">
        <v>400</v>
      </c>
      <c r="J1198" s="124">
        <f t="shared" si="18"/>
        <v>16</v>
      </c>
      <c r="K1198" s="98" t="s">
        <v>2379</v>
      </c>
    </row>
    <row r="1199" spans="1:11" ht="15" customHeight="1" x14ac:dyDescent="0.2">
      <c r="A1199" s="120" t="s">
        <v>2454</v>
      </c>
      <c r="B1199" s="120" t="s">
        <v>3532</v>
      </c>
      <c r="C1199" s="98" t="s">
        <v>3533</v>
      </c>
      <c r="D1199" s="120" t="s">
        <v>3563</v>
      </c>
      <c r="E1199" s="98">
        <v>1.7749999999999998E-2</v>
      </c>
      <c r="F1199" s="120">
        <v>0</v>
      </c>
      <c r="G1199" s="121">
        <v>0</v>
      </c>
      <c r="H1199" s="123">
        <v>1.7749999999999998E-2</v>
      </c>
      <c r="I1199" s="122">
        <v>0</v>
      </c>
      <c r="J1199" s="124">
        <f t="shared" si="18"/>
        <v>17.75</v>
      </c>
    </row>
    <row r="1200" spans="1:11" ht="15" customHeight="1" x14ac:dyDescent="0.2">
      <c r="A1200" s="120" t="s">
        <v>2454</v>
      </c>
      <c r="B1200" s="120" t="s">
        <v>5216</v>
      </c>
      <c r="C1200" s="98" t="s">
        <v>3533</v>
      </c>
      <c r="D1200" s="120" t="s">
        <v>3563</v>
      </c>
      <c r="E1200" s="98">
        <v>1.7999999999999999E-2</v>
      </c>
      <c r="F1200" s="120">
        <v>0</v>
      </c>
      <c r="G1200" s="121">
        <v>0</v>
      </c>
      <c r="H1200" s="123">
        <v>1.7999999999999999E-2</v>
      </c>
      <c r="I1200" s="122">
        <v>0</v>
      </c>
      <c r="J1200" s="124">
        <f t="shared" si="18"/>
        <v>18</v>
      </c>
      <c r="K1200" s="98" t="s">
        <v>2387</v>
      </c>
    </row>
    <row r="1201" spans="1:11" ht="15" customHeight="1" x14ac:dyDescent="0.2">
      <c r="A1201" s="120" t="s">
        <v>5401</v>
      </c>
      <c r="B1201" s="120" t="s">
        <v>5402</v>
      </c>
      <c r="C1201" s="98" t="s">
        <v>3533</v>
      </c>
      <c r="D1201" s="120" t="s">
        <v>3563</v>
      </c>
      <c r="E1201" s="98">
        <v>0.17699999999999999</v>
      </c>
      <c r="F1201" s="120">
        <v>0</v>
      </c>
      <c r="G1201" s="121">
        <v>7670</v>
      </c>
      <c r="H1201" s="123">
        <v>0.17699999999999999</v>
      </c>
      <c r="I1201" s="122">
        <v>1357.59</v>
      </c>
      <c r="J1201" s="124">
        <f t="shared" si="18"/>
        <v>177</v>
      </c>
      <c r="K1201" s="98" t="s">
        <v>5403</v>
      </c>
    </row>
    <row r="1202" spans="1:11" ht="15" customHeight="1" x14ac:dyDescent="0.2">
      <c r="A1202" s="120" t="s">
        <v>5404</v>
      </c>
      <c r="B1202" s="120" t="s">
        <v>2254</v>
      </c>
      <c r="C1202" s="98" t="s">
        <v>3533</v>
      </c>
      <c r="D1202" s="120" t="s">
        <v>3563</v>
      </c>
      <c r="E1202" s="98">
        <v>7.1999999999999995E-2</v>
      </c>
      <c r="F1202" s="120">
        <v>0</v>
      </c>
      <c r="G1202" s="121">
        <v>23465</v>
      </c>
      <c r="H1202" s="123">
        <v>7.1999999999999995E-2</v>
      </c>
      <c r="I1202" s="122">
        <v>1689.4799999999998</v>
      </c>
      <c r="J1202" s="124">
        <f t="shared" si="18"/>
        <v>72</v>
      </c>
      <c r="K1202" s="98" t="s">
        <v>3272</v>
      </c>
    </row>
    <row r="1203" spans="1:11" ht="15" customHeight="1" x14ac:dyDescent="0.2">
      <c r="A1203" s="120" t="s">
        <v>5405</v>
      </c>
      <c r="B1203" s="120" t="s">
        <v>5211</v>
      </c>
      <c r="C1203" s="98" t="s">
        <v>3533</v>
      </c>
      <c r="D1203" s="120" t="s">
        <v>3563</v>
      </c>
      <c r="E1203" s="98">
        <v>3.8949999999999999E-2</v>
      </c>
      <c r="F1203" s="120">
        <v>0</v>
      </c>
      <c r="G1203" s="121">
        <v>17605</v>
      </c>
      <c r="H1203" s="123">
        <v>3.8949999999999999E-2</v>
      </c>
      <c r="I1203" s="122">
        <v>685.71474999999998</v>
      </c>
      <c r="J1203" s="124">
        <f t="shared" si="18"/>
        <v>38.949999999999996</v>
      </c>
    </row>
    <row r="1204" spans="1:11" ht="15" customHeight="1" x14ac:dyDescent="0.2">
      <c r="A1204" s="120" t="s">
        <v>5406</v>
      </c>
      <c r="B1204" s="120" t="s">
        <v>5211</v>
      </c>
      <c r="C1204" s="98" t="s">
        <v>3532</v>
      </c>
      <c r="D1204" s="120" t="s">
        <v>3563</v>
      </c>
      <c r="E1204" s="98">
        <v>2.095E-2</v>
      </c>
      <c r="F1204" s="120">
        <v>0</v>
      </c>
      <c r="G1204" s="121">
        <v>0</v>
      </c>
      <c r="H1204" s="123">
        <v>2.095E-2</v>
      </c>
      <c r="I1204" s="122">
        <v>0</v>
      </c>
      <c r="J1204" s="124">
        <f t="shared" si="18"/>
        <v>20.95</v>
      </c>
    </row>
    <row r="1205" spans="1:11" ht="15" customHeight="1" x14ac:dyDescent="0.2">
      <c r="A1205" s="120" t="s">
        <v>5407</v>
      </c>
      <c r="B1205" s="120" t="s">
        <v>5221</v>
      </c>
      <c r="C1205" s="98" t="s">
        <v>3533</v>
      </c>
      <c r="D1205" s="120" t="s">
        <v>3563</v>
      </c>
      <c r="E1205" s="98">
        <v>1.5900000000000001E-2</v>
      </c>
      <c r="F1205" s="120">
        <v>0</v>
      </c>
      <c r="G1205" s="121">
        <v>8303</v>
      </c>
      <c r="H1205" s="123">
        <v>1.5900000000000001E-2</v>
      </c>
      <c r="I1205" s="122">
        <v>132.01770000000002</v>
      </c>
      <c r="J1205" s="124">
        <f t="shared" si="18"/>
        <v>15.9</v>
      </c>
    </row>
    <row r="1206" spans="1:11" ht="15" customHeight="1" x14ac:dyDescent="0.2">
      <c r="A1206" s="120" t="s">
        <v>5408</v>
      </c>
      <c r="B1206" s="120" t="s">
        <v>5216</v>
      </c>
      <c r="C1206" s="98" t="s">
        <v>3533</v>
      </c>
      <c r="D1206" s="120" t="s">
        <v>3563</v>
      </c>
      <c r="E1206" s="98">
        <v>3.9E-2</v>
      </c>
      <c r="F1206" s="120">
        <v>0</v>
      </c>
      <c r="G1206" s="121">
        <v>10950</v>
      </c>
      <c r="H1206" s="123">
        <v>3.9E-2</v>
      </c>
      <c r="I1206" s="122">
        <v>427.05</v>
      </c>
      <c r="J1206" s="124">
        <f t="shared" si="18"/>
        <v>39</v>
      </c>
      <c r="K1206" s="98" t="s">
        <v>2387</v>
      </c>
    </row>
    <row r="1207" spans="1:11" ht="15" customHeight="1" x14ac:dyDescent="0.2">
      <c r="A1207" s="120" t="s">
        <v>5409</v>
      </c>
      <c r="B1207" s="120" t="s">
        <v>5410</v>
      </c>
      <c r="C1207" s="98" t="s">
        <v>3533</v>
      </c>
      <c r="D1207" s="120" t="s">
        <v>3563</v>
      </c>
      <c r="E1207" s="98">
        <v>9.6799999999999994E-3</v>
      </c>
      <c r="F1207" s="120">
        <v>0</v>
      </c>
      <c r="G1207" s="121">
        <v>1622065</v>
      </c>
      <c r="H1207" s="123">
        <v>9.2589999999999999E-3</v>
      </c>
      <c r="I1207" s="122">
        <v>15018.699834999999</v>
      </c>
      <c r="J1207" s="124">
        <f t="shared" si="18"/>
        <v>9.68</v>
      </c>
      <c r="K1207" s="98" t="s">
        <v>5411</v>
      </c>
    </row>
    <row r="1208" spans="1:11" ht="15" customHeight="1" x14ac:dyDescent="0.2">
      <c r="A1208" s="120" t="s">
        <v>5412</v>
      </c>
      <c r="B1208" s="120" t="s">
        <v>5410</v>
      </c>
      <c r="C1208" s="98" t="s">
        <v>3533</v>
      </c>
      <c r="D1208" s="120" t="s">
        <v>3563</v>
      </c>
      <c r="E1208" s="98">
        <v>6.4999999999999997E-3</v>
      </c>
      <c r="F1208" s="120">
        <v>0</v>
      </c>
      <c r="G1208" s="121">
        <v>0</v>
      </c>
      <c r="H1208" s="123">
        <v>6.4999999999999997E-3</v>
      </c>
      <c r="I1208" s="122">
        <v>0</v>
      </c>
      <c r="J1208" s="124">
        <f t="shared" si="18"/>
        <v>6.5</v>
      </c>
    </row>
    <row r="1209" spans="1:11" ht="15" customHeight="1" x14ac:dyDescent="0.2">
      <c r="A1209" s="120" t="s">
        <v>5413</v>
      </c>
      <c r="B1209" s="120" t="s">
        <v>5414</v>
      </c>
      <c r="C1209" s="98" t="s">
        <v>3533</v>
      </c>
      <c r="D1209" s="120" t="s">
        <v>3563</v>
      </c>
      <c r="E1209" s="98">
        <v>2.5749999999999999E-2</v>
      </c>
      <c r="F1209" s="120">
        <v>0</v>
      </c>
      <c r="G1209" s="121">
        <v>51785</v>
      </c>
      <c r="H1209" s="123">
        <v>2.4761999999999999E-2</v>
      </c>
      <c r="I1209" s="122">
        <v>1282.30017</v>
      </c>
      <c r="J1209" s="124">
        <f t="shared" si="18"/>
        <v>25.75</v>
      </c>
      <c r="K1209" s="98" t="s">
        <v>5415</v>
      </c>
    </row>
    <row r="1210" spans="1:11" ht="15" customHeight="1" x14ac:dyDescent="0.2">
      <c r="A1210" s="120" t="s">
        <v>5416</v>
      </c>
      <c r="B1210" s="120" t="s">
        <v>5414</v>
      </c>
      <c r="C1210" s="98" t="s">
        <v>3533</v>
      </c>
      <c r="D1210" s="120" t="s">
        <v>3563</v>
      </c>
      <c r="E1210" s="98">
        <v>2.5000000000000001E-2</v>
      </c>
      <c r="F1210" s="120">
        <v>0</v>
      </c>
      <c r="G1210" s="121">
        <v>17338</v>
      </c>
      <c r="H1210" s="123">
        <v>2.5000000000000001E-2</v>
      </c>
      <c r="I1210" s="122">
        <v>433.45000000000005</v>
      </c>
      <c r="J1210" s="124">
        <f t="shared" si="18"/>
        <v>25</v>
      </c>
      <c r="K1210" s="98" t="s">
        <v>5417</v>
      </c>
    </row>
    <row r="1211" spans="1:11" ht="15" customHeight="1" x14ac:dyDescent="0.2">
      <c r="A1211" s="120" t="s">
        <v>5418</v>
      </c>
      <c r="B1211" s="120" t="s">
        <v>5419</v>
      </c>
      <c r="C1211" s="98" t="s">
        <v>3533</v>
      </c>
      <c r="D1211" s="120" t="s">
        <v>3563</v>
      </c>
      <c r="E1211" s="98">
        <v>8.7899999999999992E-3</v>
      </c>
      <c r="F1211" s="120">
        <v>0</v>
      </c>
      <c r="G1211" s="121">
        <v>0</v>
      </c>
      <c r="H1211" s="123">
        <v>8.7899999999999992E-3</v>
      </c>
      <c r="I1211" s="122">
        <v>0</v>
      </c>
      <c r="J1211" s="124">
        <f t="shared" si="18"/>
        <v>8.7899999999999991</v>
      </c>
    </row>
    <row r="1212" spans="1:11" ht="15" customHeight="1" x14ac:dyDescent="0.2">
      <c r="A1212" s="120" t="s">
        <v>5420</v>
      </c>
      <c r="B1212" s="120" t="s">
        <v>5216</v>
      </c>
      <c r="C1212" s="98" t="s">
        <v>3533</v>
      </c>
      <c r="D1212" s="120" t="s">
        <v>3563</v>
      </c>
      <c r="E1212" s="98">
        <v>1.7999999999999999E-2</v>
      </c>
      <c r="F1212" s="120">
        <v>0</v>
      </c>
      <c r="G1212" s="121">
        <v>52722</v>
      </c>
      <c r="H1212" s="123">
        <v>1.7999999999999999E-2</v>
      </c>
      <c r="I1212" s="122">
        <v>948.99599999999998</v>
      </c>
      <c r="J1212" s="124">
        <f t="shared" si="18"/>
        <v>18</v>
      </c>
      <c r="K1212" s="98" t="s">
        <v>2379</v>
      </c>
    </row>
    <row r="1213" spans="1:11" ht="15" customHeight="1" x14ac:dyDescent="0.2">
      <c r="A1213" s="120" t="s">
        <v>5421</v>
      </c>
      <c r="B1213" s="120" t="s">
        <v>5216</v>
      </c>
      <c r="C1213" s="98" t="s">
        <v>3533</v>
      </c>
      <c r="D1213" s="120" t="s">
        <v>3563</v>
      </c>
      <c r="E1213" s="98">
        <v>1.8499999999999999E-2</v>
      </c>
      <c r="F1213" s="120">
        <v>0</v>
      </c>
      <c r="G1213" s="121">
        <v>167955</v>
      </c>
      <c r="H1213" s="123">
        <v>1.8499999999999999E-2</v>
      </c>
      <c r="I1213" s="122">
        <v>3107.1675</v>
      </c>
      <c r="J1213" s="124">
        <f t="shared" si="18"/>
        <v>18.5</v>
      </c>
      <c r="K1213" s="98" t="s">
        <v>5189</v>
      </c>
    </row>
    <row r="1214" spans="1:11" ht="15" customHeight="1" x14ac:dyDescent="0.2">
      <c r="A1214" s="120" t="s">
        <v>5422</v>
      </c>
      <c r="B1214" s="120" t="s">
        <v>5211</v>
      </c>
      <c r="C1214" s="98" t="s">
        <v>3533</v>
      </c>
      <c r="D1214" s="120" t="s">
        <v>3563</v>
      </c>
      <c r="E1214" s="98">
        <v>1.7049999999999999E-2</v>
      </c>
      <c r="F1214" s="120">
        <v>0</v>
      </c>
      <c r="G1214" s="121">
        <v>18931</v>
      </c>
      <c r="H1214" s="123">
        <v>1.7049999999999999E-2</v>
      </c>
      <c r="I1214" s="122">
        <v>322.77355</v>
      </c>
      <c r="J1214" s="124">
        <f t="shared" si="18"/>
        <v>17.05</v>
      </c>
      <c r="K1214" s="98" t="s">
        <v>5423</v>
      </c>
    </row>
    <row r="1215" spans="1:11" ht="15" customHeight="1" x14ac:dyDescent="0.2">
      <c r="A1215" s="120" t="s">
        <v>5424</v>
      </c>
      <c r="B1215" s="120" t="s">
        <v>3532</v>
      </c>
      <c r="C1215" s="98" t="s">
        <v>3533</v>
      </c>
      <c r="D1215" s="120" t="s">
        <v>3563</v>
      </c>
      <c r="E1215" s="98">
        <v>1.2749999999999999E-2</v>
      </c>
      <c r="F1215" s="120">
        <v>0</v>
      </c>
      <c r="G1215" s="121">
        <v>0</v>
      </c>
      <c r="H1215" s="123">
        <v>1.2749999999999999E-2</v>
      </c>
      <c r="I1215" s="122">
        <v>0</v>
      </c>
      <c r="J1215" s="124">
        <f t="shared" si="18"/>
        <v>12.75</v>
      </c>
    </row>
    <row r="1216" spans="1:11" ht="15" customHeight="1" x14ac:dyDescent="0.2">
      <c r="A1216" s="120" t="s">
        <v>5425</v>
      </c>
      <c r="B1216" s="120" t="s">
        <v>4720</v>
      </c>
      <c r="C1216" s="98" t="s">
        <v>3533</v>
      </c>
      <c r="D1216" s="120" t="s">
        <v>3563</v>
      </c>
      <c r="E1216" s="98">
        <v>3.1940000000000003E-2</v>
      </c>
      <c r="F1216" s="120">
        <v>0</v>
      </c>
      <c r="G1216" s="121">
        <v>0</v>
      </c>
      <c r="H1216" s="123">
        <v>3.1940000000000003E-2</v>
      </c>
      <c r="I1216" s="122">
        <v>0</v>
      </c>
      <c r="J1216" s="124">
        <f t="shared" si="18"/>
        <v>31.940000000000005</v>
      </c>
      <c r="K1216" s="98" t="s">
        <v>5426</v>
      </c>
    </row>
    <row r="1217" spans="1:11" ht="15" customHeight="1" x14ac:dyDescent="0.2">
      <c r="A1217" s="120" t="s">
        <v>5427</v>
      </c>
      <c r="B1217" s="120" t="s">
        <v>5428</v>
      </c>
      <c r="C1217" s="98" t="s">
        <v>3532</v>
      </c>
      <c r="D1217" s="120" t="s">
        <v>3563</v>
      </c>
      <c r="E1217" s="98">
        <v>5.4999999999999997E-3</v>
      </c>
      <c r="F1217" s="120">
        <v>0</v>
      </c>
      <c r="G1217" s="121">
        <v>0</v>
      </c>
      <c r="H1217" s="123">
        <v>5.4999999999999997E-3</v>
      </c>
      <c r="I1217" s="122">
        <v>0</v>
      </c>
      <c r="J1217" s="124">
        <f t="shared" si="18"/>
        <v>5.5</v>
      </c>
    </row>
    <row r="1218" spans="1:11" ht="15" customHeight="1" x14ac:dyDescent="0.2">
      <c r="A1218" s="120" t="s">
        <v>5429</v>
      </c>
      <c r="B1218" s="120" t="s">
        <v>5430</v>
      </c>
      <c r="C1218" s="98" t="s">
        <v>3533</v>
      </c>
      <c r="D1218" s="120" t="s">
        <v>3563</v>
      </c>
      <c r="E1218" s="98">
        <v>4.829E-2</v>
      </c>
      <c r="F1218" s="120">
        <v>0</v>
      </c>
      <c r="G1218" s="121">
        <v>22730</v>
      </c>
      <c r="H1218" s="123">
        <v>4.829E-2</v>
      </c>
      <c r="I1218" s="122">
        <v>1097.6316999999999</v>
      </c>
      <c r="J1218" s="124">
        <f t="shared" ref="J1218:J1281" si="19">IF(D1218="gm", E1218*1000,+E1218)</f>
        <v>48.29</v>
      </c>
      <c r="K1218" s="98" t="s">
        <v>2379</v>
      </c>
    </row>
    <row r="1219" spans="1:11" ht="15" customHeight="1" x14ac:dyDescent="0.2">
      <c r="A1219" s="120" t="s">
        <v>5431</v>
      </c>
      <c r="B1219" s="120" t="s">
        <v>5432</v>
      </c>
      <c r="C1219" s="98" t="s">
        <v>3533</v>
      </c>
      <c r="D1219" s="120" t="s">
        <v>3563</v>
      </c>
      <c r="E1219" s="98">
        <v>2.1999600000000001E-2</v>
      </c>
      <c r="F1219" s="120">
        <v>20000</v>
      </c>
      <c r="G1219" s="121">
        <v>23575</v>
      </c>
      <c r="H1219" s="123">
        <v>2.1999999999999999E-2</v>
      </c>
      <c r="I1219" s="122">
        <v>518.65</v>
      </c>
      <c r="J1219" s="124">
        <f t="shared" si="19"/>
        <v>21.999600000000001</v>
      </c>
      <c r="K1219" s="98" t="s">
        <v>5433</v>
      </c>
    </row>
    <row r="1220" spans="1:11" ht="15" customHeight="1" x14ac:dyDescent="0.2">
      <c r="A1220" s="120" t="s">
        <v>5434</v>
      </c>
      <c r="B1220" s="120" t="s">
        <v>5435</v>
      </c>
      <c r="C1220" s="98" t="s">
        <v>3533</v>
      </c>
      <c r="D1220" s="120" t="s">
        <v>3563</v>
      </c>
      <c r="E1220" s="98">
        <v>2.21781305114638E-3</v>
      </c>
      <c r="F1220" s="120">
        <v>0</v>
      </c>
      <c r="G1220" s="121">
        <v>139290</v>
      </c>
      <c r="H1220" s="123">
        <v>2.2179999999999999E-3</v>
      </c>
      <c r="I1220" s="122">
        <v>308.94522000000001</v>
      </c>
      <c r="J1220" s="124">
        <f t="shared" si="19"/>
        <v>2.2178130511463801</v>
      </c>
      <c r="K1220" s="98" t="s">
        <v>5436</v>
      </c>
    </row>
    <row r="1221" spans="1:11" ht="15" customHeight="1" x14ac:dyDescent="0.2">
      <c r="A1221" s="120" t="s">
        <v>5437</v>
      </c>
      <c r="B1221" s="120" t="s">
        <v>5438</v>
      </c>
      <c r="C1221" s="98" t="s">
        <v>3533</v>
      </c>
      <c r="D1221" s="120" t="s">
        <v>3563</v>
      </c>
      <c r="E1221" s="98">
        <v>1.525E-2</v>
      </c>
      <c r="F1221" s="120">
        <v>0</v>
      </c>
      <c r="G1221" s="121">
        <v>403480</v>
      </c>
      <c r="H1221" s="123">
        <v>1.525E-2</v>
      </c>
      <c r="I1221" s="122">
        <v>6153.07</v>
      </c>
      <c r="J1221" s="124">
        <f t="shared" si="19"/>
        <v>15.25</v>
      </c>
      <c r="K1221" s="98" t="s">
        <v>5439</v>
      </c>
    </row>
    <row r="1222" spans="1:11" ht="15" customHeight="1" x14ac:dyDescent="0.2">
      <c r="A1222" s="120" t="s">
        <v>5440</v>
      </c>
      <c r="B1222" s="120" t="s">
        <v>3532</v>
      </c>
      <c r="C1222" s="98" t="s">
        <v>3532</v>
      </c>
      <c r="D1222" s="120" t="s">
        <v>3563</v>
      </c>
      <c r="E1222" s="98">
        <v>2.7230000000000002E-3</v>
      </c>
      <c r="F1222" s="120">
        <v>0</v>
      </c>
      <c r="G1222" s="121">
        <v>0</v>
      </c>
      <c r="H1222" s="123">
        <v>2.7230000000000002E-3</v>
      </c>
      <c r="I1222" s="122">
        <v>0</v>
      </c>
      <c r="J1222" s="124">
        <f t="shared" si="19"/>
        <v>2.7230000000000003</v>
      </c>
    </row>
    <row r="1223" spans="1:11" ht="15" customHeight="1" x14ac:dyDescent="0.2">
      <c r="A1223" s="120" t="s">
        <v>5441</v>
      </c>
      <c r="B1223" s="120" t="s">
        <v>5080</v>
      </c>
      <c r="C1223" s="98" t="s">
        <v>3533</v>
      </c>
      <c r="D1223" s="120" t="s">
        <v>3563</v>
      </c>
      <c r="E1223" s="98">
        <v>3.9849999999999997E-2</v>
      </c>
      <c r="F1223" s="120">
        <v>0</v>
      </c>
      <c r="G1223" s="121">
        <v>53230</v>
      </c>
      <c r="H1223" s="123">
        <v>3.9849999999999997E-2</v>
      </c>
      <c r="I1223" s="122">
        <v>2121.2154999999998</v>
      </c>
      <c r="J1223" s="124">
        <f t="shared" si="19"/>
        <v>39.849999999999994</v>
      </c>
      <c r="K1223" s="98" t="s">
        <v>5442</v>
      </c>
    </row>
    <row r="1224" spans="1:11" ht="15" customHeight="1" x14ac:dyDescent="0.2">
      <c r="A1224" s="120" t="s">
        <v>5443</v>
      </c>
      <c r="B1224" s="120" t="s">
        <v>2100</v>
      </c>
      <c r="C1224" s="98" t="s">
        <v>3533</v>
      </c>
      <c r="D1224" s="120" t="s">
        <v>3563</v>
      </c>
      <c r="E1224" s="98">
        <v>4.1446208112874798E-3</v>
      </c>
      <c r="F1224" s="120">
        <v>0</v>
      </c>
      <c r="G1224" s="121">
        <v>45507</v>
      </c>
      <c r="H1224" s="123">
        <v>4.1450000000000002E-3</v>
      </c>
      <c r="I1224" s="122">
        <v>188.62651500000001</v>
      </c>
      <c r="J1224" s="124">
        <f t="shared" si="19"/>
        <v>4.1446208112874796</v>
      </c>
      <c r="K1224" s="98" t="s">
        <v>5444</v>
      </c>
    </row>
    <row r="1225" spans="1:11" ht="15" customHeight="1" x14ac:dyDescent="0.2">
      <c r="A1225" s="120" t="s">
        <v>5445</v>
      </c>
      <c r="B1225" s="120" t="s">
        <v>5211</v>
      </c>
      <c r="C1225" s="98" t="s">
        <v>3533</v>
      </c>
      <c r="D1225" s="120" t="s">
        <v>3563</v>
      </c>
      <c r="E1225" s="98">
        <v>3.6949999999999997E-2</v>
      </c>
      <c r="F1225" s="120">
        <v>0</v>
      </c>
      <c r="G1225" s="121">
        <v>15830</v>
      </c>
      <c r="H1225" s="123">
        <v>3.6949999999999997E-2</v>
      </c>
      <c r="I1225" s="122">
        <v>584.91849999999999</v>
      </c>
      <c r="J1225" s="124">
        <f t="shared" si="19"/>
        <v>36.949999999999996</v>
      </c>
      <c r="K1225" s="98" t="s">
        <v>5189</v>
      </c>
    </row>
    <row r="1226" spans="1:11" ht="15" customHeight="1" x14ac:dyDescent="0.2">
      <c r="A1226" s="120" t="s">
        <v>2231</v>
      </c>
      <c r="B1226" s="120" t="s">
        <v>5147</v>
      </c>
      <c r="C1226" s="98" t="s">
        <v>3533</v>
      </c>
      <c r="D1226" s="120" t="s">
        <v>3563</v>
      </c>
      <c r="E1226" s="98">
        <v>9.7500000000000003E-2</v>
      </c>
      <c r="F1226" s="120">
        <v>0</v>
      </c>
      <c r="G1226" s="121">
        <v>44270</v>
      </c>
      <c r="H1226" s="123">
        <v>9.7500000000000003E-2</v>
      </c>
      <c r="I1226" s="122">
        <v>4316.3249999999998</v>
      </c>
      <c r="J1226" s="124">
        <f t="shared" si="19"/>
        <v>97.5</v>
      </c>
      <c r="K1226" s="98" t="s">
        <v>2567</v>
      </c>
    </row>
    <row r="1227" spans="1:11" ht="15" customHeight="1" x14ac:dyDescent="0.2">
      <c r="A1227" s="120" t="s">
        <v>5446</v>
      </c>
      <c r="B1227" s="120" t="s">
        <v>5216</v>
      </c>
      <c r="C1227" s="98" t="s">
        <v>3533</v>
      </c>
      <c r="D1227" s="120" t="s">
        <v>3563</v>
      </c>
      <c r="E1227" s="98">
        <v>0.123</v>
      </c>
      <c r="F1227" s="120">
        <v>0</v>
      </c>
      <c r="G1227" s="121">
        <v>12362</v>
      </c>
      <c r="H1227" s="123">
        <v>0.123</v>
      </c>
      <c r="I1227" s="122">
        <v>1520.5260000000001</v>
      </c>
      <c r="J1227" s="124">
        <f t="shared" si="19"/>
        <v>123</v>
      </c>
      <c r="K1227" s="98" t="s">
        <v>5447</v>
      </c>
    </row>
    <row r="1228" spans="1:11" ht="15" customHeight="1" x14ac:dyDescent="0.2">
      <c r="A1228" s="120" t="s">
        <v>5448</v>
      </c>
      <c r="B1228" s="120" t="s">
        <v>3532</v>
      </c>
      <c r="C1228" s="98" t="s">
        <v>3532</v>
      </c>
      <c r="D1228" s="120" t="s">
        <v>3563</v>
      </c>
      <c r="E1228" s="98">
        <v>0.01</v>
      </c>
      <c r="F1228" s="120">
        <v>0</v>
      </c>
      <c r="G1228" s="121">
        <v>0</v>
      </c>
      <c r="H1228" s="123">
        <v>0.01</v>
      </c>
      <c r="I1228" s="122">
        <v>0</v>
      </c>
      <c r="J1228" s="124">
        <f t="shared" si="19"/>
        <v>10</v>
      </c>
    </row>
    <row r="1229" spans="1:11" ht="15" customHeight="1" x14ac:dyDescent="0.2">
      <c r="A1229" s="120" t="s">
        <v>5449</v>
      </c>
      <c r="B1229" s="120" t="s">
        <v>4783</v>
      </c>
      <c r="C1229" s="98" t="s">
        <v>3533</v>
      </c>
      <c r="D1229" s="120" t="s">
        <v>3563</v>
      </c>
      <c r="E1229" s="98">
        <v>8.7499999999999994E-2</v>
      </c>
      <c r="F1229" s="120">
        <v>0</v>
      </c>
      <c r="G1229" s="121">
        <v>17007</v>
      </c>
      <c r="H1229" s="123">
        <v>8.7499999999999994E-2</v>
      </c>
      <c r="I1229" s="122">
        <v>1488.1125</v>
      </c>
      <c r="J1229" s="124">
        <f t="shared" si="19"/>
        <v>87.5</v>
      </c>
      <c r="K1229" s="98" t="s">
        <v>2387</v>
      </c>
    </row>
    <row r="1230" spans="1:11" ht="15" customHeight="1" x14ac:dyDescent="0.2">
      <c r="A1230" s="120" t="s">
        <v>5450</v>
      </c>
      <c r="B1230" s="120" t="s">
        <v>5072</v>
      </c>
      <c r="C1230" s="98" t="s">
        <v>3532</v>
      </c>
      <c r="D1230" s="120" t="s">
        <v>3563</v>
      </c>
      <c r="E1230" s="98">
        <v>3.2758000000000002E-2</v>
      </c>
      <c r="F1230" s="120">
        <v>0</v>
      </c>
      <c r="G1230" s="121">
        <v>10382</v>
      </c>
      <c r="H1230" s="123">
        <v>3.2758000000000002E-2</v>
      </c>
      <c r="I1230" s="122">
        <v>340.09355600000004</v>
      </c>
      <c r="J1230" s="124">
        <f t="shared" si="19"/>
        <v>32.758000000000003</v>
      </c>
    </row>
    <row r="1231" spans="1:11" ht="15" customHeight="1" x14ac:dyDescent="0.2">
      <c r="A1231" s="120" t="s">
        <v>5451</v>
      </c>
      <c r="B1231" s="120" t="s">
        <v>5452</v>
      </c>
      <c r="C1231" s="98" t="s">
        <v>3533</v>
      </c>
      <c r="D1231" s="120" t="s">
        <v>3563</v>
      </c>
      <c r="E1231" s="98">
        <v>0</v>
      </c>
      <c r="F1231" s="120">
        <v>0</v>
      </c>
      <c r="G1231" s="121">
        <v>0</v>
      </c>
      <c r="H1231" s="123">
        <v>0</v>
      </c>
      <c r="I1231" s="122">
        <v>0</v>
      </c>
      <c r="J1231" s="124">
        <f t="shared" si="19"/>
        <v>0</v>
      </c>
      <c r="K1231" s="98" t="s">
        <v>2466</v>
      </c>
    </row>
    <row r="1232" spans="1:11" ht="15" customHeight="1" x14ac:dyDescent="0.2">
      <c r="A1232" s="120" t="s">
        <v>5453</v>
      </c>
      <c r="B1232" s="120" t="s">
        <v>2254</v>
      </c>
      <c r="C1232" s="98" t="s">
        <v>3533</v>
      </c>
      <c r="D1232" s="120" t="s">
        <v>3563</v>
      </c>
      <c r="E1232" s="98">
        <v>3.3000000000000002E-2</v>
      </c>
      <c r="F1232" s="120">
        <v>0</v>
      </c>
      <c r="G1232" s="121">
        <v>71065</v>
      </c>
      <c r="H1232" s="123">
        <v>3.3000000000000002E-2</v>
      </c>
      <c r="I1232" s="122">
        <v>2345.145</v>
      </c>
      <c r="J1232" s="124">
        <f t="shared" si="19"/>
        <v>33</v>
      </c>
      <c r="K1232" s="98" t="s">
        <v>5454</v>
      </c>
    </row>
    <row r="1233" spans="1:11" ht="15" customHeight="1" x14ac:dyDescent="0.2">
      <c r="A1233" s="120" t="s">
        <v>5455</v>
      </c>
      <c r="B1233" s="120" t="s">
        <v>2184</v>
      </c>
      <c r="C1233" s="98" t="s">
        <v>3533</v>
      </c>
      <c r="D1233" s="120" t="s">
        <v>3563</v>
      </c>
      <c r="E1233" s="98">
        <v>0.23799999999999999</v>
      </c>
      <c r="F1233" s="120">
        <v>0</v>
      </c>
      <c r="G1233" s="121">
        <v>3625</v>
      </c>
      <c r="H1233" s="123">
        <v>0.23799999999999999</v>
      </c>
      <c r="I1233" s="122">
        <v>862.75</v>
      </c>
      <c r="J1233" s="124">
        <f t="shared" si="19"/>
        <v>238</v>
      </c>
      <c r="K1233" s="98" t="s">
        <v>5456</v>
      </c>
    </row>
    <row r="1234" spans="1:11" ht="15" customHeight="1" x14ac:dyDescent="0.2">
      <c r="A1234" s="120" t="s">
        <v>2309</v>
      </c>
      <c r="B1234" s="120" t="s">
        <v>2198</v>
      </c>
      <c r="C1234" s="98" t="s">
        <v>3533</v>
      </c>
      <c r="D1234" s="120" t="s">
        <v>3563</v>
      </c>
      <c r="E1234" s="98">
        <v>0.128</v>
      </c>
      <c r="F1234" s="120">
        <v>0</v>
      </c>
      <c r="G1234" s="121">
        <v>21625</v>
      </c>
      <c r="H1234" s="123">
        <v>0.128</v>
      </c>
      <c r="I1234" s="122">
        <v>2768</v>
      </c>
      <c r="J1234" s="124">
        <f t="shared" si="19"/>
        <v>128</v>
      </c>
    </row>
    <row r="1235" spans="1:11" ht="15" customHeight="1" x14ac:dyDescent="0.2">
      <c r="A1235" s="120" t="s">
        <v>5457</v>
      </c>
      <c r="B1235" s="120" t="s">
        <v>3532</v>
      </c>
      <c r="C1235" s="98" t="s">
        <v>3533</v>
      </c>
      <c r="D1235" s="120" t="s">
        <v>3563</v>
      </c>
      <c r="E1235" s="98">
        <v>0</v>
      </c>
      <c r="F1235" s="120">
        <v>0</v>
      </c>
      <c r="G1235" s="121">
        <v>0</v>
      </c>
      <c r="H1235" s="123">
        <v>0</v>
      </c>
      <c r="I1235" s="122">
        <v>0</v>
      </c>
      <c r="J1235" s="124">
        <f t="shared" si="19"/>
        <v>0</v>
      </c>
    </row>
    <row r="1236" spans="1:11" ht="15" customHeight="1" x14ac:dyDescent="0.2">
      <c r="A1236" s="120" t="s">
        <v>5458</v>
      </c>
      <c r="B1236" s="120" t="s">
        <v>2198</v>
      </c>
      <c r="C1236" s="98" t="s">
        <v>3533</v>
      </c>
      <c r="D1236" s="120" t="s">
        <v>3563</v>
      </c>
      <c r="E1236" s="98">
        <v>9.1049382716049398E-3</v>
      </c>
      <c r="F1236" s="120">
        <v>0</v>
      </c>
      <c r="G1236" s="121">
        <v>614665</v>
      </c>
      <c r="H1236" s="123">
        <v>9.1050000000000002E-3</v>
      </c>
      <c r="I1236" s="122">
        <v>5596.5248250000004</v>
      </c>
      <c r="J1236" s="124">
        <f t="shared" si="19"/>
        <v>9.1049382716049401</v>
      </c>
      <c r="K1236" s="98" t="s">
        <v>5459</v>
      </c>
    </row>
    <row r="1237" spans="1:11" ht="15" customHeight="1" x14ac:dyDescent="0.2">
      <c r="A1237" s="120" t="s">
        <v>5460</v>
      </c>
      <c r="B1237" s="120" t="s">
        <v>2198</v>
      </c>
      <c r="C1237" s="98" t="s">
        <v>3533</v>
      </c>
      <c r="D1237" s="120" t="s">
        <v>3563</v>
      </c>
      <c r="E1237" s="98">
        <v>4.2768959435626102E-4</v>
      </c>
      <c r="F1237" s="120">
        <v>0</v>
      </c>
      <c r="G1237" s="121">
        <v>9827.3513989999992</v>
      </c>
      <c r="H1237" s="123">
        <v>4.28E-4</v>
      </c>
      <c r="I1237" s="122">
        <v>4.2061063987719995</v>
      </c>
      <c r="J1237" s="124">
        <f t="shared" si="19"/>
        <v>0.42768959435626103</v>
      </c>
      <c r="K1237" s="98" t="s">
        <v>5461</v>
      </c>
    </row>
    <row r="1238" spans="1:11" ht="15" customHeight="1" x14ac:dyDescent="0.2">
      <c r="A1238" s="120" t="s">
        <v>5462</v>
      </c>
      <c r="B1238" s="120" t="s">
        <v>3532</v>
      </c>
      <c r="C1238" s="98" t="s">
        <v>3532</v>
      </c>
      <c r="D1238" s="120" t="s">
        <v>3563</v>
      </c>
      <c r="E1238" s="98">
        <v>9.0660000000000004E-2</v>
      </c>
      <c r="F1238" s="120">
        <v>0</v>
      </c>
      <c r="G1238" s="121">
        <v>0</v>
      </c>
      <c r="H1238" s="123">
        <v>9.0660000000000004E-2</v>
      </c>
      <c r="I1238" s="122">
        <v>0</v>
      </c>
      <c r="J1238" s="124">
        <f t="shared" si="19"/>
        <v>90.660000000000011</v>
      </c>
    </row>
    <row r="1239" spans="1:11" ht="15" customHeight="1" x14ac:dyDescent="0.2">
      <c r="A1239" s="120" t="s">
        <v>5463</v>
      </c>
      <c r="B1239" s="120" t="s">
        <v>5464</v>
      </c>
      <c r="C1239" s="98" t="s">
        <v>3533</v>
      </c>
      <c r="D1239" s="120" t="s">
        <v>3563</v>
      </c>
      <c r="E1239" s="98">
        <v>0.36940035273368604</v>
      </c>
      <c r="F1239" s="120">
        <v>0</v>
      </c>
      <c r="G1239" s="121">
        <v>12275</v>
      </c>
      <c r="H1239" s="123">
        <v>0.36778</v>
      </c>
      <c r="I1239" s="122">
        <v>4514.4994999999999</v>
      </c>
      <c r="J1239" s="124">
        <f t="shared" si="19"/>
        <v>369.40035273368602</v>
      </c>
      <c r="K1239" s="98" t="s">
        <v>5465</v>
      </c>
    </row>
    <row r="1240" spans="1:11" ht="15" customHeight="1" x14ac:dyDescent="0.2">
      <c r="A1240" s="120" t="s">
        <v>5466</v>
      </c>
      <c r="B1240" s="120" t="s">
        <v>2198</v>
      </c>
      <c r="C1240" s="98" t="s">
        <v>3533</v>
      </c>
      <c r="D1240" s="120" t="s">
        <v>3563</v>
      </c>
      <c r="E1240" s="98">
        <v>7.93666666666667E-3</v>
      </c>
      <c r="F1240" s="120">
        <v>200000</v>
      </c>
      <c r="G1240" s="121">
        <v>213533.8</v>
      </c>
      <c r="H1240" s="123">
        <v>7.9369999999999996E-3</v>
      </c>
      <c r="I1240" s="122">
        <v>1694.8177705999999</v>
      </c>
      <c r="J1240" s="124">
        <f t="shared" si="19"/>
        <v>7.9366666666666701</v>
      </c>
      <c r="K1240" s="98" t="s">
        <v>5467</v>
      </c>
    </row>
    <row r="1241" spans="1:11" ht="15" customHeight="1" x14ac:dyDescent="0.2">
      <c r="A1241" s="120" t="s">
        <v>5468</v>
      </c>
      <c r="B1241" s="120" t="s">
        <v>5469</v>
      </c>
      <c r="C1241" s="98" t="s">
        <v>3532</v>
      </c>
      <c r="D1241" s="120" t="s">
        <v>3563</v>
      </c>
      <c r="E1241" s="98">
        <v>0</v>
      </c>
      <c r="F1241" s="120">
        <v>0</v>
      </c>
      <c r="G1241" s="121">
        <v>0</v>
      </c>
      <c r="H1241" s="123">
        <v>0</v>
      </c>
      <c r="I1241" s="122">
        <v>0</v>
      </c>
      <c r="J1241" s="124">
        <f t="shared" si="19"/>
        <v>0</v>
      </c>
    </row>
    <row r="1242" spans="1:11" ht="15" customHeight="1" x14ac:dyDescent="0.2">
      <c r="A1242" s="120" t="s">
        <v>5470</v>
      </c>
      <c r="B1242" s="120" t="s">
        <v>3532</v>
      </c>
      <c r="C1242" s="98" t="s">
        <v>3532</v>
      </c>
      <c r="D1242" s="120" t="s">
        <v>3563</v>
      </c>
      <c r="E1242" s="98">
        <v>0.18</v>
      </c>
      <c r="F1242" s="120">
        <v>0</v>
      </c>
      <c r="G1242" s="121">
        <v>0</v>
      </c>
      <c r="H1242" s="123">
        <v>0.18</v>
      </c>
      <c r="I1242" s="122">
        <v>0</v>
      </c>
      <c r="J1242" s="124">
        <f t="shared" si="19"/>
        <v>180</v>
      </c>
    </row>
    <row r="1243" spans="1:11" ht="15" customHeight="1" x14ac:dyDescent="0.2">
      <c r="A1243" s="120" t="s">
        <v>5471</v>
      </c>
      <c r="B1243" s="120" t="s">
        <v>4720</v>
      </c>
      <c r="C1243" s="98" t="s">
        <v>3533</v>
      </c>
      <c r="D1243" s="120" t="s">
        <v>3563</v>
      </c>
      <c r="E1243" s="98">
        <v>9.722222222222221E-2</v>
      </c>
      <c r="F1243" s="120">
        <v>0</v>
      </c>
      <c r="G1243" s="121">
        <v>30885</v>
      </c>
      <c r="H1243" s="123">
        <v>9.7222000000000003E-2</v>
      </c>
      <c r="I1243" s="122">
        <v>3002.70147</v>
      </c>
      <c r="J1243" s="124">
        <f t="shared" si="19"/>
        <v>97.222222222222214</v>
      </c>
      <c r="K1243" s="98" t="s">
        <v>5472</v>
      </c>
    </row>
    <row r="1244" spans="1:11" ht="15" customHeight="1" x14ac:dyDescent="0.2">
      <c r="A1244" s="120" t="s">
        <v>5473</v>
      </c>
      <c r="B1244" s="120" t="s">
        <v>3532</v>
      </c>
      <c r="C1244" s="98" t="s">
        <v>3532</v>
      </c>
      <c r="D1244" s="120" t="s">
        <v>3563</v>
      </c>
      <c r="E1244" s="98">
        <v>6.9750000000000006E-2</v>
      </c>
      <c r="F1244" s="120">
        <v>0</v>
      </c>
      <c r="G1244" s="121">
        <v>0</v>
      </c>
      <c r="H1244" s="123">
        <v>6.9750000000000006E-2</v>
      </c>
      <c r="I1244" s="122">
        <v>0</v>
      </c>
      <c r="J1244" s="124">
        <f t="shared" si="19"/>
        <v>69.75</v>
      </c>
    </row>
    <row r="1245" spans="1:11" ht="15" customHeight="1" x14ac:dyDescent="0.2">
      <c r="A1245" s="120" t="s">
        <v>5474</v>
      </c>
      <c r="B1245" s="120" t="s">
        <v>3532</v>
      </c>
      <c r="C1245" s="98" t="s">
        <v>3532</v>
      </c>
      <c r="D1245" s="120" t="s">
        <v>3563</v>
      </c>
      <c r="E1245" s="98">
        <v>4.1860000000000001E-2</v>
      </c>
      <c r="F1245" s="120">
        <v>0</v>
      </c>
      <c r="G1245" s="121">
        <v>0</v>
      </c>
      <c r="H1245" s="123">
        <v>4.1860000000000001E-2</v>
      </c>
      <c r="I1245" s="122">
        <v>0</v>
      </c>
      <c r="J1245" s="124">
        <f t="shared" si="19"/>
        <v>41.86</v>
      </c>
    </row>
    <row r="1246" spans="1:11" ht="15" customHeight="1" x14ac:dyDescent="0.2">
      <c r="A1246" s="120" t="s">
        <v>5475</v>
      </c>
      <c r="B1246" s="120" t="s">
        <v>5076</v>
      </c>
      <c r="C1246" s="98" t="s">
        <v>3533</v>
      </c>
      <c r="D1246" s="120" t="s">
        <v>3563</v>
      </c>
      <c r="E1246" s="98">
        <v>3.4152399999999999E-2</v>
      </c>
      <c r="F1246" s="120">
        <v>0</v>
      </c>
      <c r="G1246" s="121">
        <v>139205</v>
      </c>
      <c r="H1246" s="123">
        <v>3.4152000000000002E-2</v>
      </c>
      <c r="I1246" s="122">
        <v>4754.1291600000004</v>
      </c>
      <c r="J1246" s="124">
        <f t="shared" si="19"/>
        <v>34.1524</v>
      </c>
      <c r="K1246" s="98" t="s">
        <v>3272</v>
      </c>
    </row>
    <row r="1247" spans="1:11" ht="15" customHeight="1" x14ac:dyDescent="0.2">
      <c r="A1247" s="120" t="s">
        <v>5476</v>
      </c>
      <c r="B1247" s="120" t="s">
        <v>5160</v>
      </c>
      <c r="C1247" s="98" t="s">
        <v>3533</v>
      </c>
      <c r="D1247" s="120" t="s">
        <v>3563</v>
      </c>
      <c r="E1247" s="98">
        <v>7.2440000000000004E-2</v>
      </c>
      <c r="F1247" s="120">
        <v>0</v>
      </c>
      <c r="G1247" s="121">
        <v>70060</v>
      </c>
      <c r="H1247" s="123">
        <v>7.2440000000000004E-2</v>
      </c>
      <c r="I1247" s="122">
        <v>5075.1464000000005</v>
      </c>
      <c r="J1247" s="124">
        <f t="shared" si="19"/>
        <v>72.44</v>
      </c>
      <c r="K1247" s="98" t="s">
        <v>5477</v>
      </c>
    </row>
    <row r="1248" spans="1:11" ht="15" customHeight="1" x14ac:dyDescent="0.2">
      <c r="A1248" s="120" t="s">
        <v>5478</v>
      </c>
      <c r="B1248" s="120" t="s">
        <v>5479</v>
      </c>
      <c r="C1248" s="98" t="s">
        <v>3533</v>
      </c>
      <c r="D1248" s="120" t="s">
        <v>3563</v>
      </c>
      <c r="E1248" s="98">
        <v>6.5000000000000002E-2</v>
      </c>
      <c r="F1248" s="120">
        <v>0</v>
      </c>
      <c r="G1248" s="121">
        <v>13885</v>
      </c>
      <c r="H1248" s="123">
        <v>6.5000000000000002E-2</v>
      </c>
      <c r="I1248" s="122">
        <v>902.52499999999998</v>
      </c>
      <c r="J1248" s="124">
        <f t="shared" si="19"/>
        <v>65</v>
      </c>
      <c r="K1248" s="98" t="s">
        <v>5480</v>
      </c>
    </row>
    <row r="1249" spans="1:11" ht="15" customHeight="1" x14ac:dyDescent="0.2">
      <c r="A1249" s="120" t="s">
        <v>5481</v>
      </c>
      <c r="B1249" s="120" t="s">
        <v>2198</v>
      </c>
      <c r="C1249" s="98" t="s">
        <v>3533</v>
      </c>
      <c r="D1249" s="120" t="s">
        <v>3563</v>
      </c>
      <c r="E1249" s="98">
        <v>5.1000000000000004E-3</v>
      </c>
      <c r="F1249" s="120">
        <v>350000</v>
      </c>
      <c r="G1249" s="121">
        <v>447875</v>
      </c>
      <c r="H1249" s="123">
        <v>5.1000000000000004E-3</v>
      </c>
      <c r="I1249" s="122">
        <v>2284.1625000000004</v>
      </c>
      <c r="J1249" s="124">
        <f t="shared" si="19"/>
        <v>5.1000000000000005</v>
      </c>
      <c r="K1249" s="98" t="s">
        <v>5482</v>
      </c>
    </row>
    <row r="1250" spans="1:11" ht="15" customHeight="1" x14ac:dyDescent="0.2">
      <c r="A1250" s="120" t="s">
        <v>5483</v>
      </c>
      <c r="B1250" s="120" t="s">
        <v>2198</v>
      </c>
      <c r="C1250" s="98" t="s">
        <v>3532</v>
      </c>
      <c r="D1250" s="120" t="s">
        <v>3563</v>
      </c>
      <c r="E1250" s="98">
        <v>5.7499999999999999E-3</v>
      </c>
      <c r="F1250" s="120">
        <v>0</v>
      </c>
      <c r="G1250" s="121">
        <v>0</v>
      </c>
      <c r="H1250" s="123">
        <v>5.7499999999999999E-3</v>
      </c>
      <c r="I1250" s="122">
        <v>0</v>
      </c>
      <c r="J1250" s="124">
        <f t="shared" si="19"/>
        <v>5.75</v>
      </c>
    </row>
    <row r="1251" spans="1:11" ht="15" customHeight="1" x14ac:dyDescent="0.2">
      <c r="A1251" s="120" t="s">
        <v>5484</v>
      </c>
      <c r="B1251" s="120" t="s">
        <v>5216</v>
      </c>
      <c r="C1251" s="98" t="s">
        <v>3533</v>
      </c>
      <c r="D1251" s="120" t="s">
        <v>3563</v>
      </c>
      <c r="E1251" s="98">
        <v>8.5000000000000006E-3</v>
      </c>
      <c r="F1251" s="120">
        <v>0</v>
      </c>
      <c r="G1251" s="121">
        <v>7715</v>
      </c>
      <c r="H1251" s="123">
        <v>8.5000000000000006E-3</v>
      </c>
      <c r="I1251" s="122">
        <v>65.577500000000001</v>
      </c>
      <c r="J1251" s="124">
        <f t="shared" si="19"/>
        <v>8.5</v>
      </c>
      <c r="K1251" s="98" t="s">
        <v>3272</v>
      </c>
    </row>
    <row r="1252" spans="1:11" ht="15" customHeight="1" x14ac:dyDescent="0.2">
      <c r="A1252" s="120" t="s">
        <v>5485</v>
      </c>
      <c r="B1252" s="120" t="s">
        <v>5428</v>
      </c>
      <c r="C1252" s="98" t="s">
        <v>3532</v>
      </c>
      <c r="D1252" s="120" t="s">
        <v>3563</v>
      </c>
      <c r="E1252" s="98">
        <v>2.35E-2</v>
      </c>
      <c r="F1252" s="120">
        <v>0</v>
      </c>
      <c r="G1252" s="121">
        <v>0</v>
      </c>
      <c r="H1252" s="123">
        <v>2.35E-2</v>
      </c>
      <c r="I1252" s="122">
        <v>0</v>
      </c>
      <c r="J1252" s="124">
        <f t="shared" si="19"/>
        <v>23.5</v>
      </c>
    </row>
    <row r="1253" spans="1:11" ht="15" customHeight="1" x14ac:dyDescent="0.2">
      <c r="A1253" s="120" t="s">
        <v>5486</v>
      </c>
      <c r="B1253" s="120" t="s">
        <v>2254</v>
      </c>
      <c r="C1253" s="98" t="s">
        <v>3540</v>
      </c>
      <c r="D1253" s="120" t="s">
        <v>3563</v>
      </c>
      <c r="E1253" s="98">
        <v>2.5999999999999999E-2</v>
      </c>
      <c r="F1253" s="120">
        <v>0</v>
      </c>
      <c r="G1253" s="121">
        <v>24682</v>
      </c>
      <c r="H1253" s="123">
        <v>2.5999999999999999E-2</v>
      </c>
      <c r="I1253" s="122">
        <v>641.73199999999997</v>
      </c>
      <c r="J1253" s="124">
        <f t="shared" si="19"/>
        <v>26</v>
      </c>
    </row>
    <row r="1254" spans="1:11" ht="15" customHeight="1" x14ac:dyDescent="0.2">
      <c r="A1254" s="120" t="s">
        <v>5487</v>
      </c>
      <c r="B1254" s="120" t="s">
        <v>2254</v>
      </c>
      <c r="C1254" s="98" t="s">
        <v>3533</v>
      </c>
      <c r="D1254" s="120" t="s">
        <v>3563</v>
      </c>
      <c r="E1254" s="98">
        <v>7.0000000000000001E-3</v>
      </c>
      <c r="F1254" s="120">
        <v>0</v>
      </c>
      <c r="G1254" s="121">
        <v>16655</v>
      </c>
      <c r="H1254" s="123">
        <v>7.0000000000000001E-3</v>
      </c>
      <c r="I1254" s="122">
        <v>116.58500000000001</v>
      </c>
      <c r="J1254" s="124">
        <f t="shared" si="19"/>
        <v>7</v>
      </c>
      <c r="K1254" s="98" t="s">
        <v>5189</v>
      </c>
    </row>
    <row r="1255" spans="1:11" ht="15" customHeight="1" x14ac:dyDescent="0.2">
      <c r="A1255" s="120" t="s">
        <v>5488</v>
      </c>
      <c r="B1255" s="120" t="s">
        <v>2254</v>
      </c>
      <c r="C1255" s="98" t="s">
        <v>3533</v>
      </c>
      <c r="D1255" s="120" t="s">
        <v>3563</v>
      </c>
      <c r="E1255" s="98">
        <v>8.5000000000000006E-2</v>
      </c>
      <c r="F1255" s="120">
        <v>0</v>
      </c>
      <c r="G1255" s="121">
        <v>7950</v>
      </c>
      <c r="H1255" s="123">
        <v>8.5000000000000006E-2</v>
      </c>
      <c r="I1255" s="122">
        <v>675.75</v>
      </c>
      <c r="J1255" s="124">
        <f t="shared" si="19"/>
        <v>85</v>
      </c>
      <c r="K1255" s="98" t="s">
        <v>5489</v>
      </c>
    </row>
    <row r="1256" spans="1:11" ht="15" customHeight="1" x14ac:dyDescent="0.2">
      <c r="A1256" s="120" t="s">
        <v>5490</v>
      </c>
      <c r="B1256" s="120" t="s">
        <v>2254</v>
      </c>
      <c r="C1256" s="98" t="s">
        <v>3533</v>
      </c>
      <c r="D1256" s="120" t="s">
        <v>3563</v>
      </c>
      <c r="E1256" s="98">
        <v>1.4E-2</v>
      </c>
      <c r="F1256" s="120">
        <v>0</v>
      </c>
      <c r="G1256" s="121">
        <v>12455</v>
      </c>
      <c r="H1256" s="123">
        <v>1.4E-2</v>
      </c>
      <c r="I1256" s="122">
        <v>174.37</v>
      </c>
      <c r="J1256" s="124">
        <f t="shared" si="19"/>
        <v>14</v>
      </c>
      <c r="K1256" s="98" t="s">
        <v>5491</v>
      </c>
    </row>
    <row r="1257" spans="1:11" ht="15" customHeight="1" x14ac:dyDescent="0.2">
      <c r="A1257" s="120" t="s">
        <v>5492</v>
      </c>
      <c r="B1257" s="120" t="s">
        <v>5493</v>
      </c>
      <c r="C1257" s="98" t="s">
        <v>3532</v>
      </c>
      <c r="D1257" s="120" t="s">
        <v>3563</v>
      </c>
      <c r="E1257" s="98">
        <v>0.25346000000000002</v>
      </c>
      <c r="F1257" s="120">
        <v>0</v>
      </c>
      <c r="G1257" s="121">
        <v>0</v>
      </c>
      <c r="H1257" s="123">
        <v>0.25346000000000002</v>
      </c>
      <c r="I1257" s="122">
        <v>0</v>
      </c>
      <c r="J1257" s="124">
        <f t="shared" si="19"/>
        <v>253.46</v>
      </c>
    </row>
    <row r="1258" spans="1:11" ht="15" customHeight="1" x14ac:dyDescent="0.2">
      <c r="A1258" s="120" t="s">
        <v>5494</v>
      </c>
      <c r="B1258" s="120" t="s">
        <v>4783</v>
      </c>
      <c r="C1258" s="98" t="s">
        <v>3533</v>
      </c>
      <c r="D1258" s="120" t="s">
        <v>3563</v>
      </c>
      <c r="E1258" s="98">
        <v>6.5500000000000003E-3</v>
      </c>
      <c r="F1258" s="120">
        <v>0</v>
      </c>
      <c r="G1258" s="121">
        <v>11373</v>
      </c>
      <c r="H1258" s="123">
        <v>6.5500000000000003E-3</v>
      </c>
      <c r="I1258" s="122">
        <v>74.49315</v>
      </c>
      <c r="J1258" s="124">
        <f t="shared" si="19"/>
        <v>6.5500000000000007</v>
      </c>
      <c r="K1258" s="98" t="s">
        <v>5310</v>
      </c>
    </row>
    <row r="1259" spans="1:11" ht="15" customHeight="1" x14ac:dyDescent="0.2">
      <c r="A1259" s="120" t="s">
        <v>5495</v>
      </c>
      <c r="B1259" s="120" t="s">
        <v>5209</v>
      </c>
      <c r="C1259" s="98" t="s">
        <v>3532</v>
      </c>
      <c r="D1259" s="120" t="s">
        <v>3563</v>
      </c>
      <c r="E1259" s="98">
        <v>1.119E-2</v>
      </c>
      <c r="F1259" s="120">
        <v>0</v>
      </c>
      <c r="G1259" s="121">
        <v>24596</v>
      </c>
      <c r="H1259" s="123">
        <v>1.119E-2</v>
      </c>
      <c r="I1259" s="122">
        <v>275.22924</v>
      </c>
      <c r="J1259" s="124">
        <f t="shared" si="19"/>
        <v>11.19</v>
      </c>
    </row>
    <row r="1260" spans="1:11" ht="15" customHeight="1" x14ac:dyDescent="0.2">
      <c r="A1260" s="120" t="s">
        <v>5496</v>
      </c>
      <c r="B1260" s="120" t="s">
        <v>5147</v>
      </c>
      <c r="C1260" s="98" t="s">
        <v>3533</v>
      </c>
      <c r="D1260" s="120" t="s">
        <v>3563</v>
      </c>
      <c r="E1260" s="98">
        <v>2.9950000000000001E-2</v>
      </c>
      <c r="F1260" s="120">
        <v>0</v>
      </c>
      <c r="G1260" s="121">
        <v>21600</v>
      </c>
      <c r="H1260" s="123">
        <v>2.9950000000000001E-2</v>
      </c>
      <c r="I1260" s="122">
        <v>646.92000000000007</v>
      </c>
      <c r="J1260" s="124">
        <f t="shared" si="19"/>
        <v>29.95</v>
      </c>
      <c r="K1260" s="98" t="s">
        <v>5497</v>
      </c>
    </row>
    <row r="1261" spans="1:11" ht="15" customHeight="1" x14ac:dyDescent="0.2">
      <c r="A1261" s="120" t="s">
        <v>5498</v>
      </c>
      <c r="B1261" s="120" t="s">
        <v>5216</v>
      </c>
      <c r="C1261" s="98" t="s">
        <v>3532</v>
      </c>
      <c r="D1261" s="120" t="s">
        <v>3563</v>
      </c>
      <c r="E1261" s="98">
        <v>9.4999999999999998E-3</v>
      </c>
      <c r="F1261" s="120">
        <v>0</v>
      </c>
      <c r="G1261" s="121">
        <v>13020</v>
      </c>
      <c r="H1261" s="123">
        <v>9.4999999999999998E-3</v>
      </c>
      <c r="I1261" s="122">
        <v>123.69</v>
      </c>
      <c r="J1261" s="124">
        <f t="shared" si="19"/>
        <v>9.5</v>
      </c>
    </row>
    <row r="1262" spans="1:11" ht="15" customHeight="1" x14ac:dyDescent="0.2">
      <c r="A1262" s="120" t="s">
        <v>5499</v>
      </c>
      <c r="B1262" s="120" t="s">
        <v>3532</v>
      </c>
      <c r="C1262" s="98" t="s">
        <v>3533</v>
      </c>
      <c r="D1262" s="120" t="s">
        <v>3563</v>
      </c>
      <c r="E1262" s="98">
        <v>5.7499999999999999E-3</v>
      </c>
      <c r="F1262" s="120">
        <v>0</v>
      </c>
      <c r="G1262" s="121">
        <v>0</v>
      </c>
      <c r="H1262" s="123">
        <v>5.7499999999999999E-3</v>
      </c>
      <c r="I1262" s="122">
        <v>0</v>
      </c>
      <c r="J1262" s="124">
        <f t="shared" si="19"/>
        <v>5.75</v>
      </c>
    </row>
    <row r="1263" spans="1:11" ht="15" customHeight="1" x14ac:dyDescent="0.2">
      <c r="A1263" s="120" t="s">
        <v>5500</v>
      </c>
      <c r="B1263" s="120" t="s">
        <v>5126</v>
      </c>
      <c r="C1263" s="98" t="s">
        <v>3540</v>
      </c>
      <c r="D1263" s="120" t="s">
        <v>3563</v>
      </c>
      <c r="E1263" s="98">
        <v>1.102E-2</v>
      </c>
      <c r="F1263" s="120">
        <v>0</v>
      </c>
      <c r="G1263" s="121">
        <v>0</v>
      </c>
      <c r="H1263" s="123">
        <v>1.102E-2</v>
      </c>
      <c r="I1263" s="122">
        <v>0</v>
      </c>
      <c r="J1263" s="124">
        <f t="shared" si="19"/>
        <v>11.02</v>
      </c>
    </row>
    <row r="1264" spans="1:11" ht="15" customHeight="1" x14ac:dyDescent="0.2">
      <c r="A1264" s="120" t="s">
        <v>5501</v>
      </c>
      <c r="B1264" s="120" t="s">
        <v>3532</v>
      </c>
      <c r="C1264" s="98" t="s">
        <v>3532</v>
      </c>
      <c r="D1264" s="120" t="s">
        <v>3563</v>
      </c>
      <c r="E1264" s="98">
        <v>2.2499999999999999E-2</v>
      </c>
      <c r="F1264" s="120">
        <v>0</v>
      </c>
      <c r="G1264" s="121">
        <v>0</v>
      </c>
      <c r="H1264" s="123">
        <v>2.2499999999999999E-2</v>
      </c>
      <c r="I1264" s="122">
        <v>0</v>
      </c>
      <c r="J1264" s="124">
        <f t="shared" si="19"/>
        <v>22.5</v>
      </c>
    </row>
    <row r="1265" spans="1:11" ht="15" customHeight="1" x14ac:dyDescent="0.2">
      <c r="A1265" s="120" t="s">
        <v>5502</v>
      </c>
      <c r="B1265" s="120" t="s">
        <v>5358</v>
      </c>
      <c r="C1265" s="98" t="s">
        <v>3532</v>
      </c>
      <c r="D1265" s="120" t="s">
        <v>3563</v>
      </c>
      <c r="E1265" s="98">
        <v>1.256E-2</v>
      </c>
      <c r="F1265" s="120">
        <v>0</v>
      </c>
      <c r="G1265" s="121">
        <v>0</v>
      </c>
      <c r="H1265" s="123">
        <v>1.256E-2</v>
      </c>
      <c r="I1265" s="122">
        <v>0</v>
      </c>
      <c r="J1265" s="124">
        <f t="shared" si="19"/>
        <v>12.56</v>
      </c>
    </row>
    <row r="1266" spans="1:11" ht="15" customHeight="1" x14ac:dyDescent="0.2">
      <c r="A1266" s="120" t="s">
        <v>5503</v>
      </c>
      <c r="B1266" s="120" t="s">
        <v>5080</v>
      </c>
      <c r="C1266" s="98" t="s">
        <v>3533</v>
      </c>
      <c r="D1266" s="120" t="s">
        <v>3563</v>
      </c>
      <c r="E1266" s="98">
        <v>2.4500000000000001E-2</v>
      </c>
      <c r="F1266" s="120">
        <v>0</v>
      </c>
      <c r="G1266" s="121">
        <v>189400</v>
      </c>
      <c r="H1266" s="123">
        <v>2.4500000000000001E-2</v>
      </c>
      <c r="I1266" s="122">
        <v>4640.3</v>
      </c>
      <c r="J1266" s="124">
        <f t="shared" si="19"/>
        <v>24.5</v>
      </c>
      <c r="K1266" s="98" t="s">
        <v>5504</v>
      </c>
    </row>
    <row r="1267" spans="1:11" ht="15" customHeight="1" x14ac:dyDescent="0.2">
      <c r="A1267" s="120" t="s">
        <v>5505</v>
      </c>
      <c r="B1267" s="120" t="s">
        <v>2254</v>
      </c>
      <c r="C1267" s="98" t="s">
        <v>3533</v>
      </c>
      <c r="D1267" s="120" t="s">
        <v>3563</v>
      </c>
      <c r="E1267" s="98">
        <v>2.8000000000000001E-2</v>
      </c>
      <c r="F1267" s="120">
        <v>0</v>
      </c>
      <c r="G1267" s="121">
        <v>18465</v>
      </c>
      <c r="H1267" s="123">
        <v>2.8000000000000001E-2</v>
      </c>
      <c r="I1267" s="122">
        <v>517.02</v>
      </c>
      <c r="J1267" s="124">
        <f t="shared" si="19"/>
        <v>28</v>
      </c>
      <c r="K1267" s="98" t="s">
        <v>2405</v>
      </c>
    </row>
    <row r="1268" spans="1:11" ht="15" customHeight="1" x14ac:dyDescent="0.2">
      <c r="A1268" s="120" t="s">
        <v>5506</v>
      </c>
      <c r="B1268" s="120" t="s">
        <v>5082</v>
      </c>
      <c r="C1268" s="98" t="s">
        <v>3533</v>
      </c>
      <c r="D1268" s="120" t="s">
        <v>3563</v>
      </c>
      <c r="E1268" s="98">
        <v>3.3000000000000002E-2</v>
      </c>
      <c r="F1268" s="120">
        <v>0</v>
      </c>
      <c r="G1268" s="121">
        <v>35695</v>
      </c>
      <c r="H1268" s="123">
        <v>3.3000000000000002E-2</v>
      </c>
      <c r="I1268" s="122">
        <v>1177.9349999999999</v>
      </c>
      <c r="J1268" s="124">
        <f t="shared" si="19"/>
        <v>33</v>
      </c>
    </row>
    <row r="1269" spans="1:11" ht="15" customHeight="1" x14ac:dyDescent="0.2">
      <c r="A1269" s="120" t="s">
        <v>5507</v>
      </c>
      <c r="B1269" s="120" t="s">
        <v>5508</v>
      </c>
      <c r="C1269" s="98" t="s">
        <v>3533</v>
      </c>
      <c r="D1269" s="120" t="s">
        <v>3563</v>
      </c>
      <c r="E1269" s="98">
        <v>2.9000000000000001E-2</v>
      </c>
      <c r="F1269" s="120">
        <v>0</v>
      </c>
      <c r="G1269" s="121">
        <v>14290</v>
      </c>
      <c r="H1269" s="123">
        <v>2.9000000000000001E-2</v>
      </c>
      <c r="I1269" s="122">
        <v>414.41</v>
      </c>
      <c r="J1269" s="124">
        <f t="shared" si="19"/>
        <v>29</v>
      </c>
      <c r="K1269" s="98" t="s">
        <v>5509</v>
      </c>
    </row>
    <row r="1270" spans="1:11" ht="15" customHeight="1" x14ac:dyDescent="0.2">
      <c r="A1270" s="120" t="s">
        <v>5510</v>
      </c>
      <c r="B1270" s="120" t="s">
        <v>4836</v>
      </c>
      <c r="C1270" s="98" t="s">
        <v>3533</v>
      </c>
      <c r="D1270" s="120" t="s">
        <v>3563</v>
      </c>
      <c r="E1270" s="98">
        <v>3.2</v>
      </c>
      <c r="F1270" s="120">
        <v>0</v>
      </c>
      <c r="G1270" s="121">
        <v>1300.8</v>
      </c>
      <c r="H1270" s="123">
        <v>3.2</v>
      </c>
      <c r="I1270" s="122">
        <v>4162.5600000000004</v>
      </c>
      <c r="J1270" s="124">
        <f t="shared" si="19"/>
        <v>3200</v>
      </c>
      <c r="K1270" s="98" t="s">
        <v>5511</v>
      </c>
    </row>
    <row r="1271" spans="1:11" ht="15" customHeight="1" x14ac:dyDescent="0.2">
      <c r="A1271" s="120" t="s">
        <v>5512</v>
      </c>
      <c r="B1271" s="120" t="s">
        <v>5076</v>
      </c>
      <c r="C1271" s="98" t="s">
        <v>3533</v>
      </c>
      <c r="D1271" s="120" t="s">
        <v>3563</v>
      </c>
      <c r="E1271" s="98">
        <v>1.5200000000000001E-3</v>
      </c>
      <c r="F1271" s="120">
        <v>0</v>
      </c>
      <c r="G1271" s="121">
        <v>0</v>
      </c>
      <c r="H1271" s="123">
        <v>1.049E-3</v>
      </c>
      <c r="I1271" s="122">
        <v>0</v>
      </c>
      <c r="J1271" s="124">
        <f t="shared" si="19"/>
        <v>1.52</v>
      </c>
      <c r="K1271" s="98" t="s">
        <v>5513</v>
      </c>
    </row>
    <row r="1272" spans="1:11" ht="15" customHeight="1" x14ac:dyDescent="0.2">
      <c r="A1272" s="120" t="s">
        <v>5514</v>
      </c>
      <c r="B1272" s="120" t="s">
        <v>5110</v>
      </c>
      <c r="C1272" s="98" t="s">
        <v>3533</v>
      </c>
      <c r="D1272" s="120" t="s">
        <v>3563</v>
      </c>
      <c r="E1272" s="98">
        <v>2.7300000000000001E-2</v>
      </c>
      <c r="F1272" s="120">
        <v>0</v>
      </c>
      <c r="G1272" s="121">
        <v>16540</v>
      </c>
      <c r="H1272" s="123">
        <v>2.7300000000000001E-2</v>
      </c>
      <c r="I1272" s="122">
        <v>451.54200000000003</v>
      </c>
      <c r="J1272" s="124">
        <f t="shared" si="19"/>
        <v>27.3</v>
      </c>
      <c r="K1272" s="98" t="s">
        <v>5515</v>
      </c>
    </row>
    <row r="1273" spans="1:11" ht="15" customHeight="1" x14ac:dyDescent="0.2">
      <c r="A1273" s="120" t="s">
        <v>5516</v>
      </c>
      <c r="B1273" s="120" t="s">
        <v>2254</v>
      </c>
      <c r="C1273" s="98" t="s">
        <v>3533</v>
      </c>
      <c r="D1273" s="120" t="s">
        <v>3563</v>
      </c>
      <c r="E1273" s="98">
        <v>1.2E-2</v>
      </c>
      <c r="F1273" s="120">
        <v>0</v>
      </c>
      <c r="G1273" s="121">
        <v>7600</v>
      </c>
      <c r="H1273" s="123">
        <v>1.2E-2</v>
      </c>
      <c r="I1273" s="122">
        <v>91.2</v>
      </c>
      <c r="J1273" s="124">
        <f t="shared" si="19"/>
        <v>12</v>
      </c>
      <c r="K1273" s="98" t="s">
        <v>5214</v>
      </c>
    </row>
    <row r="1274" spans="1:11" ht="15" customHeight="1" x14ac:dyDescent="0.2">
      <c r="A1274" s="120" t="s">
        <v>5517</v>
      </c>
      <c r="B1274" s="120" t="s">
        <v>3532</v>
      </c>
      <c r="C1274" s="98" t="s">
        <v>3532</v>
      </c>
      <c r="D1274" s="120" t="s">
        <v>3563</v>
      </c>
      <c r="E1274" s="98">
        <v>1.0619999999999999E-2</v>
      </c>
      <c r="F1274" s="120">
        <v>0</v>
      </c>
      <c r="G1274" s="121">
        <v>0</v>
      </c>
      <c r="H1274" s="123">
        <v>1.0619999999999999E-2</v>
      </c>
      <c r="I1274" s="122">
        <v>0</v>
      </c>
      <c r="J1274" s="124">
        <f t="shared" si="19"/>
        <v>10.62</v>
      </c>
    </row>
    <row r="1275" spans="1:11" ht="15" customHeight="1" x14ac:dyDescent="0.2">
      <c r="A1275" s="120" t="s">
        <v>3347</v>
      </c>
      <c r="B1275" s="120" t="s">
        <v>3532</v>
      </c>
      <c r="C1275" s="98" t="s">
        <v>3532</v>
      </c>
      <c r="D1275" s="120" t="s">
        <v>3563</v>
      </c>
      <c r="E1275" s="98">
        <v>5.2500000000000003E-3</v>
      </c>
      <c r="F1275" s="120">
        <v>0</v>
      </c>
      <c r="G1275" s="121">
        <v>0</v>
      </c>
      <c r="H1275" s="123">
        <v>5.2500000000000003E-3</v>
      </c>
      <c r="I1275" s="122">
        <v>0</v>
      </c>
      <c r="J1275" s="124">
        <f t="shared" si="19"/>
        <v>5.25</v>
      </c>
    </row>
    <row r="1276" spans="1:11" ht="15" customHeight="1" x14ac:dyDescent="0.2">
      <c r="A1276" s="120" t="s">
        <v>5518</v>
      </c>
      <c r="B1276" s="120" t="s">
        <v>5508</v>
      </c>
      <c r="C1276" s="98" t="s">
        <v>3533</v>
      </c>
      <c r="D1276" s="120" t="s">
        <v>3563</v>
      </c>
      <c r="E1276" s="98">
        <v>2.9000000000000001E-2</v>
      </c>
      <c r="F1276" s="120">
        <v>0</v>
      </c>
      <c r="G1276" s="121">
        <v>20000</v>
      </c>
      <c r="H1276" s="123">
        <v>2.9000000000000001E-2</v>
      </c>
      <c r="I1276" s="122">
        <v>580</v>
      </c>
      <c r="J1276" s="124">
        <f t="shared" si="19"/>
        <v>29</v>
      </c>
      <c r="K1276" s="98" t="s">
        <v>5519</v>
      </c>
    </row>
    <row r="1277" spans="1:11" ht="15" customHeight="1" x14ac:dyDescent="0.2">
      <c r="A1277" s="120" t="s">
        <v>5520</v>
      </c>
      <c r="B1277" s="120" t="s">
        <v>2254</v>
      </c>
      <c r="C1277" s="98" t="s">
        <v>3533</v>
      </c>
      <c r="D1277" s="120" t="s">
        <v>3563</v>
      </c>
      <c r="E1277" s="98">
        <v>1.0999999999999999E-2</v>
      </c>
      <c r="F1277" s="120">
        <v>0</v>
      </c>
      <c r="G1277" s="121">
        <v>41070</v>
      </c>
      <c r="H1277" s="123">
        <v>1.0999999999999999E-2</v>
      </c>
      <c r="I1277" s="122">
        <v>451.77</v>
      </c>
      <c r="J1277" s="124">
        <f t="shared" si="19"/>
        <v>11</v>
      </c>
      <c r="K1277" s="98" t="s">
        <v>5214</v>
      </c>
    </row>
    <row r="1278" spans="1:11" ht="15" customHeight="1" x14ac:dyDescent="0.2">
      <c r="A1278" s="120" t="s">
        <v>5521</v>
      </c>
      <c r="B1278" s="120" t="s">
        <v>5479</v>
      </c>
      <c r="C1278" s="98" t="s">
        <v>3533</v>
      </c>
      <c r="D1278" s="120" t="s">
        <v>3563</v>
      </c>
      <c r="E1278" s="98">
        <v>4.4999999999999998E-2</v>
      </c>
      <c r="F1278" s="120">
        <v>0</v>
      </c>
      <c r="G1278" s="121">
        <v>6292</v>
      </c>
      <c r="H1278" s="123">
        <v>4.4999999999999998E-2</v>
      </c>
      <c r="I1278" s="122">
        <v>283.14</v>
      </c>
      <c r="J1278" s="124">
        <f t="shared" si="19"/>
        <v>45</v>
      </c>
      <c r="K1278" s="98" t="s">
        <v>5522</v>
      </c>
    </row>
    <row r="1279" spans="1:11" ht="15" customHeight="1" x14ac:dyDescent="0.2">
      <c r="A1279" s="120" t="s">
        <v>5523</v>
      </c>
      <c r="B1279" s="120" t="s">
        <v>5479</v>
      </c>
      <c r="C1279" s="98" t="s">
        <v>3533</v>
      </c>
      <c r="D1279" s="120" t="s">
        <v>3563</v>
      </c>
      <c r="E1279" s="98">
        <v>1.2999999999999999E-2</v>
      </c>
      <c r="F1279" s="120">
        <v>0</v>
      </c>
      <c r="G1279" s="121">
        <v>3495</v>
      </c>
      <c r="H1279" s="123">
        <v>1.2999999999999999E-2</v>
      </c>
      <c r="I1279" s="122">
        <v>45.434999999999995</v>
      </c>
      <c r="J1279" s="124">
        <f t="shared" si="19"/>
        <v>13</v>
      </c>
      <c r="K1279" s="98" t="s">
        <v>5524</v>
      </c>
    </row>
    <row r="1280" spans="1:11" ht="15" customHeight="1" x14ac:dyDescent="0.2">
      <c r="A1280" s="120" t="s">
        <v>5525</v>
      </c>
      <c r="B1280" s="120" t="s">
        <v>5526</v>
      </c>
      <c r="C1280" s="98" t="s">
        <v>3540</v>
      </c>
      <c r="D1280" s="120" t="s">
        <v>3563</v>
      </c>
      <c r="E1280" s="98">
        <v>1.9980000000000001E-2</v>
      </c>
      <c r="F1280" s="120">
        <v>0</v>
      </c>
      <c r="G1280" s="121">
        <v>0</v>
      </c>
      <c r="H1280" s="123">
        <v>1.9980000000000001E-2</v>
      </c>
      <c r="I1280" s="122">
        <v>0</v>
      </c>
      <c r="J1280" s="124">
        <f t="shared" si="19"/>
        <v>19.98</v>
      </c>
    </row>
    <row r="1281" spans="1:11" ht="15" customHeight="1" x14ac:dyDescent="0.2">
      <c r="A1281" s="120" t="s">
        <v>5527</v>
      </c>
      <c r="B1281" s="120" t="s">
        <v>3532</v>
      </c>
      <c r="C1281" s="98" t="s">
        <v>3532</v>
      </c>
      <c r="D1281" s="120" t="s">
        <v>3563</v>
      </c>
      <c r="E1281" s="98">
        <v>1.7000000000000001E-2</v>
      </c>
      <c r="F1281" s="120">
        <v>0</v>
      </c>
      <c r="G1281" s="121">
        <v>0</v>
      </c>
      <c r="H1281" s="123">
        <v>1.7000000000000001E-2</v>
      </c>
      <c r="I1281" s="122">
        <v>0</v>
      </c>
      <c r="J1281" s="124">
        <f t="shared" si="19"/>
        <v>17</v>
      </c>
    </row>
    <row r="1282" spans="1:11" ht="15" customHeight="1" x14ac:dyDescent="0.2">
      <c r="A1282" s="120" t="s">
        <v>5528</v>
      </c>
      <c r="B1282" s="120" t="s">
        <v>5529</v>
      </c>
      <c r="C1282" s="98" t="s">
        <v>3532</v>
      </c>
      <c r="D1282" s="120" t="s">
        <v>3563</v>
      </c>
      <c r="E1282" s="98">
        <v>1.7409999999999998E-2</v>
      </c>
      <c r="F1282" s="120">
        <v>0</v>
      </c>
      <c r="G1282" s="121">
        <v>0</v>
      </c>
      <c r="H1282" s="123">
        <v>1.7409999999999998E-2</v>
      </c>
      <c r="I1282" s="122">
        <v>0</v>
      </c>
      <c r="J1282" s="124">
        <f t="shared" ref="J1282:J1345" si="20">IF(D1282="gm", E1282*1000,+E1282)</f>
        <v>17.41</v>
      </c>
    </row>
    <row r="1283" spans="1:11" ht="15" customHeight="1" x14ac:dyDescent="0.2">
      <c r="A1283" s="120" t="s">
        <v>5530</v>
      </c>
      <c r="B1283" s="120" t="s">
        <v>3532</v>
      </c>
      <c r="C1283" s="98" t="s">
        <v>3532</v>
      </c>
      <c r="D1283" s="120" t="s">
        <v>3563</v>
      </c>
      <c r="E1283" s="98">
        <v>1.7739999999999999E-2</v>
      </c>
      <c r="F1283" s="120">
        <v>0</v>
      </c>
      <c r="G1283" s="121">
        <v>0</v>
      </c>
      <c r="H1283" s="123">
        <v>1.7739999999999999E-2</v>
      </c>
      <c r="I1283" s="122">
        <v>0</v>
      </c>
      <c r="J1283" s="124">
        <f t="shared" si="20"/>
        <v>17.739999999999998</v>
      </c>
    </row>
    <row r="1284" spans="1:11" ht="15" customHeight="1" x14ac:dyDescent="0.2">
      <c r="A1284" s="120" t="s">
        <v>5531</v>
      </c>
      <c r="B1284" s="120" t="s">
        <v>5322</v>
      </c>
      <c r="C1284" s="98" t="s">
        <v>3532</v>
      </c>
      <c r="D1284" s="120" t="s">
        <v>3563</v>
      </c>
      <c r="E1284" s="98">
        <v>0</v>
      </c>
      <c r="F1284" s="120">
        <v>0</v>
      </c>
      <c r="G1284" s="121">
        <v>0</v>
      </c>
      <c r="H1284" s="123">
        <v>0</v>
      </c>
      <c r="I1284" s="122">
        <v>0</v>
      </c>
      <c r="J1284" s="124">
        <f t="shared" si="20"/>
        <v>0</v>
      </c>
    </row>
    <row r="1285" spans="1:11" ht="15" customHeight="1" x14ac:dyDescent="0.2">
      <c r="A1285" s="120" t="s">
        <v>5532</v>
      </c>
      <c r="B1285" s="120" t="s">
        <v>3532</v>
      </c>
      <c r="C1285" s="98" t="s">
        <v>3532</v>
      </c>
      <c r="D1285" s="120" t="s">
        <v>3563</v>
      </c>
      <c r="E1285" s="98">
        <v>0</v>
      </c>
      <c r="F1285" s="120">
        <v>0</v>
      </c>
      <c r="G1285" s="121">
        <v>0</v>
      </c>
      <c r="H1285" s="123">
        <v>0</v>
      </c>
      <c r="I1285" s="122">
        <v>0</v>
      </c>
      <c r="J1285" s="124">
        <f t="shared" si="20"/>
        <v>0</v>
      </c>
    </row>
    <row r="1286" spans="1:11" ht="15" customHeight="1" x14ac:dyDescent="0.2">
      <c r="A1286" s="120" t="s">
        <v>5533</v>
      </c>
      <c r="B1286" s="120" t="s">
        <v>3532</v>
      </c>
      <c r="C1286" s="98" t="s">
        <v>3532</v>
      </c>
      <c r="D1286" s="120" t="s">
        <v>3563</v>
      </c>
      <c r="E1286" s="98">
        <v>0</v>
      </c>
      <c r="F1286" s="120">
        <v>0</v>
      </c>
      <c r="G1286" s="121">
        <v>0</v>
      </c>
      <c r="H1286" s="123">
        <v>0</v>
      </c>
      <c r="I1286" s="122">
        <v>0</v>
      </c>
      <c r="J1286" s="124">
        <f t="shared" si="20"/>
        <v>0</v>
      </c>
    </row>
    <row r="1287" spans="1:11" ht="15" customHeight="1" x14ac:dyDescent="0.2">
      <c r="A1287" s="120" t="s">
        <v>5534</v>
      </c>
      <c r="B1287" s="120" t="s">
        <v>3532</v>
      </c>
      <c r="C1287" s="98" t="s">
        <v>3532</v>
      </c>
      <c r="D1287" s="120" t="s">
        <v>3563</v>
      </c>
      <c r="E1287" s="98">
        <v>0</v>
      </c>
      <c r="F1287" s="120">
        <v>0</v>
      </c>
      <c r="G1287" s="121">
        <v>0</v>
      </c>
      <c r="H1287" s="123">
        <v>0</v>
      </c>
      <c r="I1287" s="122">
        <v>0</v>
      </c>
      <c r="J1287" s="124">
        <f t="shared" si="20"/>
        <v>0</v>
      </c>
    </row>
    <row r="1288" spans="1:11" ht="15" customHeight="1" x14ac:dyDescent="0.2">
      <c r="A1288" s="120" t="s">
        <v>5535</v>
      </c>
      <c r="B1288" s="120" t="s">
        <v>5536</v>
      </c>
      <c r="C1288" s="98" t="s">
        <v>3532</v>
      </c>
      <c r="D1288" s="120" t="s">
        <v>3563</v>
      </c>
      <c r="E1288" s="98">
        <v>3.7999999999999999E-2</v>
      </c>
      <c r="F1288" s="120">
        <v>0</v>
      </c>
      <c r="G1288" s="121">
        <v>5680</v>
      </c>
      <c r="H1288" s="123">
        <v>3.7999999999999999E-2</v>
      </c>
      <c r="I1288" s="122">
        <v>215.84</v>
      </c>
      <c r="J1288" s="124">
        <f t="shared" si="20"/>
        <v>38</v>
      </c>
    </row>
    <row r="1289" spans="1:11" ht="15" customHeight="1" x14ac:dyDescent="0.2">
      <c r="A1289" s="120" t="s">
        <v>5537</v>
      </c>
      <c r="B1289" s="120" t="s">
        <v>3532</v>
      </c>
      <c r="C1289" s="98" t="s">
        <v>3532</v>
      </c>
      <c r="D1289" s="120" t="s">
        <v>3563</v>
      </c>
      <c r="E1289" s="98">
        <v>7.4999999999999997E-3</v>
      </c>
      <c r="F1289" s="120">
        <v>0</v>
      </c>
      <c r="G1289" s="121">
        <v>0</v>
      </c>
      <c r="H1289" s="123">
        <v>7.4999999999999997E-3</v>
      </c>
      <c r="I1289" s="122">
        <v>0</v>
      </c>
      <c r="J1289" s="124">
        <f t="shared" si="20"/>
        <v>7.5</v>
      </c>
    </row>
    <row r="1290" spans="1:11" ht="15" customHeight="1" x14ac:dyDescent="0.2">
      <c r="A1290" s="120" t="s">
        <v>5538</v>
      </c>
      <c r="B1290" s="120" t="s">
        <v>3532</v>
      </c>
      <c r="C1290" s="98" t="s">
        <v>3532</v>
      </c>
      <c r="D1290" s="120" t="s">
        <v>3563</v>
      </c>
      <c r="E1290" s="98">
        <v>8.9999999999999993E-3</v>
      </c>
      <c r="F1290" s="120">
        <v>0</v>
      </c>
      <c r="G1290" s="121">
        <v>0</v>
      </c>
      <c r="H1290" s="123">
        <v>8.9999999999999993E-3</v>
      </c>
      <c r="I1290" s="122">
        <v>0</v>
      </c>
      <c r="J1290" s="124">
        <f t="shared" si="20"/>
        <v>9</v>
      </c>
    </row>
    <row r="1291" spans="1:11" ht="15" customHeight="1" x14ac:dyDescent="0.2">
      <c r="A1291" s="120" t="s">
        <v>5539</v>
      </c>
      <c r="B1291" s="120" t="s">
        <v>4773</v>
      </c>
      <c r="C1291" s="98" t="s">
        <v>3533</v>
      </c>
      <c r="D1291" s="120" t="s">
        <v>3563</v>
      </c>
      <c r="E1291" s="98">
        <v>8.9999999999999993E-3</v>
      </c>
      <c r="F1291" s="120">
        <v>0</v>
      </c>
      <c r="G1291" s="121">
        <v>63670</v>
      </c>
      <c r="H1291" s="123">
        <v>8.9999999999999993E-3</v>
      </c>
      <c r="I1291" s="122">
        <v>573.03</v>
      </c>
      <c r="J1291" s="124">
        <f t="shared" si="20"/>
        <v>9</v>
      </c>
      <c r="K1291" s="98" t="s">
        <v>5540</v>
      </c>
    </row>
    <row r="1292" spans="1:11" ht="15" customHeight="1" x14ac:dyDescent="0.2">
      <c r="A1292" s="120" t="s">
        <v>5541</v>
      </c>
      <c r="B1292" s="120" t="s">
        <v>5120</v>
      </c>
      <c r="C1292" s="98" t="s">
        <v>3533</v>
      </c>
      <c r="D1292" s="120" t="s">
        <v>3563</v>
      </c>
      <c r="E1292" s="98">
        <v>3.7999999999999999E-2</v>
      </c>
      <c r="F1292" s="120">
        <v>0</v>
      </c>
      <c r="G1292" s="121">
        <v>24992</v>
      </c>
      <c r="H1292" s="123">
        <v>3.7999999999999999E-2</v>
      </c>
      <c r="I1292" s="122">
        <v>949.69600000000003</v>
      </c>
      <c r="J1292" s="124">
        <f t="shared" si="20"/>
        <v>38</v>
      </c>
      <c r="K1292" s="98" t="s">
        <v>5542</v>
      </c>
    </row>
    <row r="1293" spans="1:11" ht="15" customHeight="1" x14ac:dyDescent="0.2">
      <c r="A1293" s="120" t="s">
        <v>5543</v>
      </c>
      <c r="B1293" s="120" t="s">
        <v>5094</v>
      </c>
      <c r="C1293" s="98" t="s">
        <v>3533</v>
      </c>
      <c r="D1293" s="120" t="s">
        <v>3563</v>
      </c>
      <c r="E1293" s="98">
        <v>5.1200000000000004E-3</v>
      </c>
      <c r="F1293" s="120">
        <v>0</v>
      </c>
      <c r="G1293" s="121">
        <v>0</v>
      </c>
      <c r="H1293" s="123">
        <v>5.1200000000000004E-3</v>
      </c>
      <c r="I1293" s="122">
        <v>0</v>
      </c>
      <c r="J1293" s="124">
        <f t="shared" si="20"/>
        <v>5.12</v>
      </c>
    </row>
    <row r="1294" spans="1:11" ht="15" customHeight="1" x14ac:dyDescent="0.2">
      <c r="A1294" s="120" t="s">
        <v>5544</v>
      </c>
      <c r="B1294" s="120" t="s">
        <v>5120</v>
      </c>
      <c r="C1294" s="98" t="s">
        <v>3533</v>
      </c>
      <c r="D1294" s="120" t="s">
        <v>3563</v>
      </c>
      <c r="E1294" s="98">
        <v>0.12725</v>
      </c>
      <c r="F1294" s="120">
        <v>0</v>
      </c>
      <c r="G1294" s="121">
        <v>11014</v>
      </c>
      <c r="H1294" s="123">
        <v>0.12725</v>
      </c>
      <c r="I1294" s="122">
        <v>1401.5315000000001</v>
      </c>
      <c r="J1294" s="124">
        <f t="shared" si="20"/>
        <v>127.25</v>
      </c>
      <c r="K1294" s="98" t="s">
        <v>5545</v>
      </c>
    </row>
    <row r="1295" spans="1:11" ht="15" customHeight="1" x14ac:dyDescent="0.2">
      <c r="A1295" s="120" t="s">
        <v>5546</v>
      </c>
      <c r="B1295" s="120" t="s">
        <v>5094</v>
      </c>
      <c r="C1295" s="98" t="s">
        <v>3533</v>
      </c>
      <c r="D1295" s="120" t="s">
        <v>3563</v>
      </c>
      <c r="E1295" s="98">
        <v>2.46</v>
      </c>
      <c r="F1295" s="120">
        <v>0</v>
      </c>
      <c r="G1295" s="121">
        <v>0</v>
      </c>
      <c r="H1295" s="123">
        <v>2.46</v>
      </c>
      <c r="I1295" s="122">
        <v>0</v>
      </c>
      <c r="J1295" s="124">
        <f t="shared" si="20"/>
        <v>2460</v>
      </c>
      <c r="K1295" s="98" t="s">
        <v>5547</v>
      </c>
    </row>
    <row r="1296" spans="1:11" ht="15" customHeight="1" x14ac:dyDescent="0.2">
      <c r="A1296" s="120" t="s">
        <v>5548</v>
      </c>
      <c r="B1296" s="120" t="s">
        <v>3532</v>
      </c>
      <c r="C1296" s="98" t="s">
        <v>3533</v>
      </c>
      <c r="D1296" s="120" t="s">
        <v>3563</v>
      </c>
      <c r="E1296" s="98">
        <v>1.6E-2</v>
      </c>
      <c r="F1296" s="120">
        <v>0</v>
      </c>
      <c r="G1296" s="121">
        <v>0</v>
      </c>
      <c r="H1296" s="123">
        <v>1.6E-2</v>
      </c>
      <c r="I1296" s="122">
        <v>0</v>
      </c>
      <c r="J1296" s="124">
        <f t="shared" si="20"/>
        <v>16</v>
      </c>
    </row>
    <row r="1297" spans="1:11" ht="15" customHeight="1" x14ac:dyDescent="0.2">
      <c r="A1297" s="120" t="s">
        <v>5549</v>
      </c>
      <c r="B1297" s="120" t="s">
        <v>2198</v>
      </c>
      <c r="C1297" s="98" t="s">
        <v>3533</v>
      </c>
      <c r="D1297" s="120" t="s">
        <v>3563</v>
      </c>
      <c r="E1297" s="98">
        <v>4.4091710758377401E-4</v>
      </c>
      <c r="F1297" s="120">
        <v>0</v>
      </c>
      <c r="G1297" s="121">
        <v>105569</v>
      </c>
      <c r="H1297" s="123">
        <v>4.4099999999999999E-4</v>
      </c>
      <c r="I1297" s="122">
        <v>46.555928999999999</v>
      </c>
      <c r="J1297" s="124">
        <f t="shared" si="20"/>
        <v>0.440917107583774</v>
      </c>
      <c r="K1297" s="98" t="s">
        <v>5550</v>
      </c>
    </row>
    <row r="1298" spans="1:11" ht="15" customHeight="1" x14ac:dyDescent="0.2">
      <c r="A1298" s="120" t="s">
        <v>5551</v>
      </c>
      <c r="B1298" s="120" t="s">
        <v>5094</v>
      </c>
      <c r="C1298" s="98" t="s">
        <v>3533</v>
      </c>
      <c r="D1298" s="120" t="s">
        <v>3563</v>
      </c>
      <c r="E1298" s="98">
        <v>0.29599999999999999</v>
      </c>
      <c r="F1298" s="120">
        <v>0</v>
      </c>
      <c r="G1298" s="121">
        <v>3287.9639999999999</v>
      </c>
      <c r="H1298" s="123">
        <v>0.29599999999999999</v>
      </c>
      <c r="I1298" s="122">
        <v>973.23734399999989</v>
      </c>
      <c r="J1298" s="124">
        <f t="shared" si="20"/>
        <v>296</v>
      </c>
      <c r="K1298" s="98" t="s">
        <v>5552</v>
      </c>
    </row>
    <row r="1299" spans="1:11" ht="15" customHeight="1" x14ac:dyDescent="0.2">
      <c r="A1299" s="120" t="s">
        <v>5553</v>
      </c>
      <c r="B1299" s="120" t="s">
        <v>3532</v>
      </c>
      <c r="C1299" s="98" t="s">
        <v>3533</v>
      </c>
      <c r="D1299" s="120" t="s">
        <v>3563</v>
      </c>
      <c r="E1299" s="98">
        <v>1.732</v>
      </c>
      <c r="F1299" s="120">
        <v>0</v>
      </c>
      <c r="G1299" s="121">
        <v>17</v>
      </c>
      <c r="H1299" s="123">
        <v>1.732</v>
      </c>
      <c r="I1299" s="122">
        <v>29.443999999999999</v>
      </c>
      <c r="J1299" s="124">
        <f t="shared" si="20"/>
        <v>1732</v>
      </c>
    </row>
    <row r="1300" spans="1:11" ht="15" customHeight="1" x14ac:dyDescent="0.2">
      <c r="A1300" s="120" t="s">
        <v>5554</v>
      </c>
      <c r="B1300" s="120" t="s">
        <v>3532</v>
      </c>
      <c r="C1300" s="98" t="s">
        <v>3532</v>
      </c>
      <c r="D1300" s="120" t="s">
        <v>3563</v>
      </c>
      <c r="E1300" s="98">
        <v>2.5000000000000001E-2</v>
      </c>
      <c r="F1300" s="120">
        <v>0</v>
      </c>
      <c r="G1300" s="121">
        <v>0</v>
      </c>
      <c r="H1300" s="123">
        <v>2.5000000000000001E-2</v>
      </c>
      <c r="I1300" s="122">
        <v>0</v>
      </c>
      <c r="J1300" s="124">
        <f t="shared" si="20"/>
        <v>25</v>
      </c>
    </row>
    <row r="1301" spans="1:11" ht="15" customHeight="1" x14ac:dyDescent="0.2">
      <c r="A1301" s="120" t="s">
        <v>5555</v>
      </c>
      <c r="B1301" s="120" t="s">
        <v>4699</v>
      </c>
      <c r="C1301" s="98" t="s">
        <v>3533</v>
      </c>
      <c r="D1301" s="120" t="s">
        <v>3563</v>
      </c>
      <c r="E1301" s="98">
        <v>1.2324E-2</v>
      </c>
      <c r="F1301" s="120">
        <v>0</v>
      </c>
      <c r="G1301" s="121">
        <v>0</v>
      </c>
      <c r="H1301" s="123">
        <v>1.2324E-2</v>
      </c>
      <c r="I1301" s="122">
        <v>0</v>
      </c>
      <c r="J1301" s="124">
        <f t="shared" si="20"/>
        <v>12.324</v>
      </c>
      <c r="K1301" s="98" t="s">
        <v>5556</v>
      </c>
    </row>
    <row r="1302" spans="1:11" ht="15" customHeight="1" x14ac:dyDescent="0.2">
      <c r="A1302" s="120" t="s">
        <v>5557</v>
      </c>
      <c r="B1302" s="120" t="s">
        <v>5529</v>
      </c>
      <c r="C1302" s="98" t="s">
        <v>3532</v>
      </c>
      <c r="D1302" s="120" t="s">
        <v>3563</v>
      </c>
      <c r="E1302" s="98">
        <v>1.8100000000000002E-2</v>
      </c>
      <c r="F1302" s="120">
        <v>0</v>
      </c>
      <c r="G1302" s="121">
        <v>0</v>
      </c>
      <c r="H1302" s="123">
        <v>1.8100000000000002E-2</v>
      </c>
      <c r="I1302" s="122">
        <v>0</v>
      </c>
      <c r="J1302" s="124">
        <f t="shared" si="20"/>
        <v>18.100000000000001</v>
      </c>
    </row>
    <row r="1303" spans="1:11" ht="15" customHeight="1" x14ac:dyDescent="0.2">
      <c r="A1303" s="120" t="s">
        <v>5558</v>
      </c>
      <c r="B1303" s="120" t="s">
        <v>2184</v>
      </c>
      <c r="C1303" s="98" t="s">
        <v>3533</v>
      </c>
      <c r="D1303" s="120" t="s">
        <v>3563</v>
      </c>
      <c r="E1303" s="98">
        <v>6.2E-2</v>
      </c>
      <c r="F1303" s="120">
        <v>0</v>
      </c>
      <c r="G1303" s="121">
        <v>94872</v>
      </c>
      <c r="H1303" s="123">
        <v>6.2E-2</v>
      </c>
      <c r="I1303" s="122">
        <v>5882.0640000000003</v>
      </c>
      <c r="J1303" s="124">
        <f t="shared" si="20"/>
        <v>62</v>
      </c>
      <c r="K1303" s="98" t="s">
        <v>2379</v>
      </c>
    </row>
    <row r="1304" spans="1:11" ht="15" customHeight="1" x14ac:dyDescent="0.2">
      <c r="A1304" s="120" t="s">
        <v>5559</v>
      </c>
      <c r="B1304" s="120" t="s">
        <v>5072</v>
      </c>
      <c r="C1304" s="98" t="s">
        <v>3533</v>
      </c>
      <c r="D1304" s="120" t="s">
        <v>3563</v>
      </c>
      <c r="E1304" s="98">
        <v>2.4E-2</v>
      </c>
      <c r="F1304" s="120">
        <v>0</v>
      </c>
      <c r="G1304" s="121">
        <v>20050</v>
      </c>
      <c r="H1304" s="123">
        <v>2.4E-2</v>
      </c>
      <c r="I1304" s="122">
        <v>481.2</v>
      </c>
      <c r="J1304" s="124">
        <f t="shared" si="20"/>
        <v>24</v>
      </c>
      <c r="K1304" s="98" t="s">
        <v>3272</v>
      </c>
    </row>
    <row r="1305" spans="1:11" ht="15" customHeight="1" x14ac:dyDescent="0.2">
      <c r="A1305" s="120" t="s">
        <v>5560</v>
      </c>
      <c r="B1305" s="120" t="s">
        <v>4723</v>
      </c>
      <c r="C1305" s="98" t="s">
        <v>3532</v>
      </c>
      <c r="D1305" s="120" t="s">
        <v>3563</v>
      </c>
      <c r="E1305" s="98">
        <v>4.1750000000000002E-2</v>
      </c>
      <c r="F1305" s="120">
        <v>0</v>
      </c>
      <c r="G1305" s="121">
        <v>0</v>
      </c>
      <c r="H1305" s="123">
        <v>4.1750000000000002E-2</v>
      </c>
      <c r="I1305" s="122">
        <v>0</v>
      </c>
      <c r="J1305" s="124">
        <f t="shared" si="20"/>
        <v>41.75</v>
      </c>
    </row>
    <row r="1306" spans="1:11" ht="15" customHeight="1" x14ac:dyDescent="0.2">
      <c r="A1306" s="120" t="s">
        <v>5561</v>
      </c>
      <c r="B1306" s="120" t="s">
        <v>3532</v>
      </c>
      <c r="C1306" s="98" t="s">
        <v>3532</v>
      </c>
      <c r="D1306" s="120" t="s">
        <v>3563</v>
      </c>
      <c r="E1306" s="98">
        <v>2.044E-2</v>
      </c>
      <c r="F1306" s="120">
        <v>0</v>
      </c>
      <c r="G1306" s="121">
        <v>0</v>
      </c>
      <c r="H1306" s="123">
        <v>2.044E-2</v>
      </c>
      <c r="I1306" s="122">
        <v>0</v>
      </c>
      <c r="J1306" s="124">
        <f t="shared" si="20"/>
        <v>20.440000000000001</v>
      </c>
    </row>
    <row r="1307" spans="1:11" ht="15" customHeight="1" x14ac:dyDescent="0.2">
      <c r="A1307" s="120" t="s">
        <v>5562</v>
      </c>
      <c r="B1307" s="120" t="s">
        <v>3532</v>
      </c>
      <c r="C1307" s="98" t="s">
        <v>3533</v>
      </c>
      <c r="D1307" s="120" t="s">
        <v>3563</v>
      </c>
      <c r="E1307" s="98">
        <v>0.28198000000000001</v>
      </c>
      <c r="F1307" s="120">
        <v>0</v>
      </c>
      <c r="G1307" s="121">
        <v>0</v>
      </c>
      <c r="H1307" s="123">
        <v>0.28198000000000001</v>
      </c>
      <c r="I1307" s="122">
        <v>0</v>
      </c>
      <c r="J1307" s="124">
        <f t="shared" si="20"/>
        <v>281.98</v>
      </c>
    </row>
    <row r="1308" spans="1:11" ht="15" customHeight="1" x14ac:dyDescent="0.2">
      <c r="A1308" s="120" t="s">
        <v>5563</v>
      </c>
      <c r="B1308" s="120" t="s">
        <v>4879</v>
      </c>
      <c r="C1308" s="98" t="s">
        <v>3533</v>
      </c>
      <c r="D1308" s="120" t="s">
        <v>3563</v>
      </c>
      <c r="E1308" s="98">
        <v>3.32E-2</v>
      </c>
      <c r="F1308" s="120">
        <v>0</v>
      </c>
      <c r="G1308" s="121">
        <v>0</v>
      </c>
      <c r="H1308" s="123">
        <v>3.32E-2</v>
      </c>
      <c r="I1308" s="122">
        <v>0</v>
      </c>
      <c r="J1308" s="124">
        <f t="shared" si="20"/>
        <v>33.200000000000003</v>
      </c>
    </row>
    <row r="1309" spans="1:11" ht="15" customHeight="1" x14ac:dyDescent="0.2">
      <c r="A1309" s="120" t="s">
        <v>5564</v>
      </c>
      <c r="B1309" s="120" t="s">
        <v>2254</v>
      </c>
      <c r="C1309" s="98" t="s">
        <v>3533</v>
      </c>
      <c r="D1309" s="120" t="s">
        <v>3563</v>
      </c>
      <c r="E1309" s="98">
        <v>3.6999999999999998E-2</v>
      </c>
      <c r="F1309" s="120">
        <v>0</v>
      </c>
      <c r="G1309" s="121">
        <v>148935</v>
      </c>
      <c r="H1309" s="123">
        <v>3.6999999999999998E-2</v>
      </c>
      <c r="I1309" s="122">
        <v>5510.5949999999993</v>
      </c>
      <c r="J1309" s="124">
        <f t="shared" si="20"/>
        <v>37</v>
      </c>
      <c r="K1309" s="98" t="s">
        <v>2375</v>
      </c>
    </row>
    <row r="1310" spans="1:11" ht="15" customHeight="1" x14ac:dyDescent="0.2">
      <c r="A1310" s="120" t="s">
        <v>5565</v>
      </c>
      <c r="B1310" s="120" t="s">
        <v>5335</v>
      </c>
      <c r="C1310" s="98" t="s">
        <v>3540</v>
      </c>
      <c r="D1310" s="120" t="s">
        <v>3563</v>
      </c>
      <c r="E1310" s="98">
        <v>4.9379999999999997E-3</v>
      </c>
      <c r="F1310" s="120">
        <v>0</v>
      </c>
      <c r="G1310" s="121">
        <v>0</v>
      </c>
      <c r="H1310" s="123">
        <v>4.9379999999999997E-3</v>
      </c>
      <c r="I1310" s="122">
        <v>0</v>
      </c>
      <c r="J1310" s="124">
        <f t="shared" si="20"/>
        <v>4.9379999999999997</v>
      </c>
    </row>
    <row r="1311" spans="1:11" ht="15" customHeight="1" x14ac:dyDescent="0.2">
      <c r="A1311" s="120" t="s">
        <v>5566</v>
      </c>
      <c r="B1311" s="120" t="s">
        <v>5386</v>
      </c>
      <c r="C1311" s="98" t="s">
        <v>3540</v>
      </c>
      <c r="D1311" s="120" t="s">
        <v>3563</v>
      </c>
      <c r="E1311" s="98">
        <v>7.6499999999999999E-2</v>
      </c>
      <c r="F1311" s="120">
        <v>0</v>
      </c>
      <c r="G1311" s="121">
        <v>0</v>
      </c>
      <c r="H1311" s="123">
        <v>7.6499999999999999E-2</v>
      </c>
      <c r="I1311" s="122">
        <v>0</v>
      </c>
      <c r="J1311" s="124">
        <f t="shared" si="20"/>
        <v>76.5</v>
      </c>
    </row>
    <row r="1312" spans="1:11" ht="15" customHeight="1" x14ac:dyDescent="0.2">
      <c r="A1312" s="120" t="s">
        <v>5567</v>
      </c>
      <c r="B1312" s="120" t="s">
        <v>3532</v>
      </c>
      <c r="C1312" s="98" t="s">
        <v>3532</v>
      </c>
      <c r="D1312" s="120" t="s">
        <v>3563</v>
      </c>
      <c r="E1312" s="98">
        <v>5.1799999999999997E-3</v>
      </c>
      <c r="F1312" s="120">
        <v>0</v>
      </c>
      <c r="G1312" s="121">
        <v>0</v>
      </c>
      <c r="H1312" s="123">
        <v>5.1799999999999997E-3</v>
      </c>
      <c r="I1312" s="122">
        <v>0</v>
      </c>
      <c r="J1312" s="124">
        <f t="shared" si="20"/>
        <v>5.18</v>
      </c>
    </row>
    <row r="1313" spans="1:11" ht="15" customHeight="1" x14ac:dyDescent="0.2">
      <c r="A1313" s="120" t="s">
        <v>5568</v>
      </c>
      <c r="B1313" s="120" t="s">
        <v>5076</v>
      </c>
      <c r="C1313" s="98" t="s">
        <v>3533</v>
      </c>
      <c r="D1313" s="120" t="s">
        <v>3563</v>
      </c>
      <c r="E1313" s="98">
        <v>1.0300666666666699E-2</v>
      </c>
      <c r="F1313" s="120">
        <v>0</v>
      </c>
      <c r="G1313" s="121">
        <v>8980</v>
      </c>
      <c r="H1313" s="123">
        <v>1.0300999999999999E-2</v>
      </c>
      <c r="I1313" s="122">
        <v>92.502979999999994</v>
      </c>
      <c r="J1313" s="124">
        <f t="shared" si="20"/>
        <v>10.300666666666698</v>
      </c>
      <c r="K1313" s="98" t="s">
        <v>5569</v>
      </c>
    </row>
    <row r="1314" spans="1:11" ht="15" customHeight="1" x14ac:dyDescent="0.2">
      <c r="A1314" s="120" t="s">
        <v>5570</v>
      </c>
      <c r="B1314" s="120" t="s">
        <v>2184</v>
      </c>
      <c r="C1314" s="98" t="s">
        <v>3533</v>
      </c>
      <c r="D1314" s="120" t="s">
        <v>3563</v>
      </c>
      <c r="E1314" s="98">
        <v>0.17499999999999999</v>
      </c>
      <c r="F1314" s="120">
        <v>0</v>
      </c>
      <c r="G1314" s="121">
        <v>9032</v>
      </c>
      <c r="H1314" s="123">
        <v>0.17499999999999999</v>
      </c>
      <c r="I1314" s="122">
        <v>1580.6</v>
      </c>
      <c r="J1314" s="124">
        <f t="shared" si="20"/>
        <v>175</v>
      </c>
      <c r="K1314" s="98" t="s">
        <v>5571</v>
      </c>
    </row>
    <row r="1315" spans="1:11" ht="15" customHeight="1" x14ac:dyDescent="0.2">
      <c r="A1315" s="120" t="s">
        <v>2266</v>
      </c>
      <c r="B1315" s="120" t="s">
        <v>2184</v>
      </c>
      <c r="C1315" s="98" t="s">
        <v>3533</v>
      </c>
      <c r="D1315" s="120" t="s">
        <v>3563</v>
      </c>
      <c r="E1315" s="98">
        <v>1.8499999999999999E-2</v>
      </c>
      <c r="F1315" s="120">
        <v>0</v>
      </c>
      <c r="G1315" s="121">
        <v>38484</v>
      </c>
      <c r="H1315" s="123">
        <v>1.8499999999999999E-2</v>
      </c>
      <c r="I1315" s="122">
        <v>711.95399999999995</v>
      </c>
      <c r="J1315" s="124">
        <f t="shared" si="20"/>
        <v>18.5</v>
      </c>
      <c r="K1315" s="98" t="s">
        <v>2379</v>
      </c>
    </row>
    <row r="1316" spans="1:11" ht="15" customHeight="1" x14ac:dyDescent="0.2">
      <c r="A1316" s="120" t="s">
        <v>5572</v>
      </c>
      <c r="B1316" s="120" t="s">
        <v>2184</v>
      </c>
      <c r="C1316" s="98" t="s">
        <v>3533</v>
      </c>
      <c r="D1316" s="120" t="s">
        <v>3563</v>
      </c>
      <c r="E1316" s="98">
        <v>0.185</v>
      </c>
      <c r="F1316" s="120">
        <v>0</v>
      </c>
      <c r="G1316" s="121">
        <v>30580</v>
      </c>
      <c r="H1316" s="123">
        <v>0.185</v>
      </c>
      <c r="I1316" s="122">
        <v>5657.3</v>
      </c>
      <c r="J1316" s="124">
        <f t="shared" si="20"/>
        <v>185</v>
      </c>
      <c r="K1316" s="98" t="s">
        <v>2387</v>
      </c>
    </row>
    <row r="1317" spans="1:11" ht="15" customHeight="1" x14ac:dyDescent="0.2">
      <c r="A1317" s="120" t="s">
        <v>5573</v>
      </c>
      <c r="B1317" s="120" t="s">
        <v>2184</v>
      </c>
      <c r="C1317" s="98" t="s">
        <v>3533</v>
      </c>
      <c r="D1317" s="120" t="s">
        <v>3563</v>
      </c>
      <c r="E1317" s="98">
        <v>2.35E-2</v>
      </c>
      <c r="F1317" s="120">
        <v>0</v>
      </c>
      <c r="G1317" s="121">
        <v>115262</v>
      </c>
      <c r="H1317" s="123">
        <v>2.35E-2</v>
      </c>
      <c r="I1317" s="122">
        <v>2708.6570000000002</v>
      </c>
      <c r="J1317" s="124">
        <f t="shared" si="20"/>
        <v>23.5</v>
      </c>
      <c r="K1317" s="98" t="s">
        <v>5102</v>
      </c>
    </row>
    <row r="1318" spans="1:11" ht="15" customHeight="1" x14ac:dyDescent="0.2">
      <c r="A1318" s="120" t="s">
        <v>5574</v>
      </c>
      <c r="B1318" s="120" t="s">
        <v>2184</v>
      </c>
      <c r="C1318" s="98" t="s">
        <v>3533</v>
      </c>
      <c r="D1318" s="120" t="s">
        <v>3563</v>
      </c>
      <c r="E1318" s="98">
        <v>6.9499999999999996E-3</v>
      </c>
      <c r="F1318" s="120">
        <v>0</v>
      </c>
      <c r="G1318" s="121">
        <v>124895</v>
      </c>
      <c r="H1318" s="123">
        <v>6.9499999999999996E-3</v>
      </c>
      <c r="I1318" s="122">
        <v>868.02024999999992</v>
      </c>
      <c r="J1318" s="124">
        <f t="shared" si="20"/>
        <v>6.9499999999999993</v>
      </c>
      <c r="K1318" s="98" t="s">
        <v>5102</v>
      </c>
    </row>
    <row r="1319" spans="1:11" ht="15" customHeight="1" x14ac:dyDescent="0.2">
      <c r="A1319" s="120" t="s">
        <v>5575</v>
      </c>
      <c r="B1319" s="120" t="s">
        <v>2184</v>
      </c>
      <c r="C1319" s="98" t="s">
        <v>3533</v>
      </c>
      <c r="D1319" s="120" t="s">
        <v>3563</v>
      </c>
      <c r="E1319" s="98">
        <v>3.5000000000000003E-2</v>
      </c>
      <c r="F1319" s="120">
        <v>0</v>
      </c>
      <c r="G1319" s="121">
        <v>15825</v>
      </c>
      <c r="H1319" s="123">
        <v>3.5000000000000003E-2</v>
      </c>
      <c r="I1319" s="122">
        <v>553.875</v>
      </c>
      <c r="J1319" s="124">
        <f t="shared" si="20"/>
        <v>35</v>
      </c>
      <c r="K1319" s="98" t="s">
        <v>2387</v>
      </c>
    </row>
    <row r="1320" spans="1:11" ht="15" customHeight="1" x14ac:dyDescent="0.2">
      <c r="A1320" s="120" t="s">
        <v>5576</v>
      </c>
      <c r="B1320" s="120" t="s">
        <v>5072</v>
      </c>
      <c r="C1320" s="98" t="s">
        <v>3533</v>
      </c>
      <c r="D1320" s="120" t="s">
        <v>3563</v>
      </c>
      <c r="E1320" s="98">
        <v>1.95E-2</v>
      </c>
      <c r="F1320" s="120">
        <v>0</v>
      </c>
      <c r="G1320" s="121">
        <v>12520</v>
      </c>
      <c r="H1320" s="123">
        <v>1.95E-2</v>
      </c>
      <c r="I1320" s="122">
        <v>244.14</v>
      </c>
      <c r="J1320" s="124">
        <f t="shared" si="20"/>
        <v>19.5</v>
      </c>
      <c r="K1320" s="98" t="s">
        <v>2387</v>
      </c>
    </row>
    <row r="1321" spans="1:11" ht="15" customHeight="1" x14ac:dyDescent="0.2">
      <c r="A1321" s="120" t="s">
        <v>5577</v>
      </c>
      <c r="B1321" s="120" t="s">
        <v>2254</v>
      </c>
      <c r="C1321" s="98" t="s">
        <v>3532</v>
      </c>
      <c r="D1321" s="120" t="s">
        <v>3563</v>
      </c>
      <c r="E1321" s="98">
        <v>1.375E-2</v>
      </c>
      <c r="F1321" s="120">
        <v>0</v>
      </c>
      <c r="G1321" s="121">
        <v>0</v>
      </c>
      <c r="H1321" s="123">
        <v>1.375E-2</v>
      </c>
      <c r="I1321" s="122">
        <v>0</v>
      </c>
      <c r="J1321" s="124">
        <f t="shared" si="20"/>
        <v>13.75</v>
      </c>
    </row>
    <row r="1322" spans="1:11" ht="15" customHeight="1" x14ac:dyDescent="0.2">
      <c r="A1322" s="120" t="s">
        <v>5578</v>
      </c>
      <c r="B1322" s="120" t="s">
        <v>2254</v>
      </c>
      <c r="C1322" s="98" t="s">
        <v>3532</v>
      </c>
      <c r="D1322" s="120" t="s">
        <v>3563</v>
      </c>
      <c r="E1322" s="98">
        <v>0.01</v>
      </c>
      <c r="F1322" s="120">
        <v>0</v>
      </c>
      <c r="G1322" s="121">
        <v>0</v>
      </c>
      <c r="H1322" s="123">
        <v>0.01</v>
      </c>
      <c r="I1322" s="122">
        <v>0</v>
      </c>
      <c r="J1322" s="124">
        <f t="shared" si="20"/>
        <v>10</v>
      </c>
    </row>
    <row r="1323" spans="1:11" ht="15" customHeight="1" x14ac:dyDescent="0.2">
      <c r="A1323" s="120" t="s">
        <v>5579</v>
      </c>
      <c r="B1323" s="120" t="s">
        <v>5580</v>
      </c>
      <c r="C1323" s="98" t="s">
        <v>3533</v>
      </c>
      <c r="D1323" s="120" t="s">
        <v>3563</v>
      </c>
      <c r="E1323" s="98">
        <v>0.52539999999999998</v>
      </c>
      <c r="F1323" s="120">
        <v>0</v>
      </c>
      <c r="G1323" s="121">
        <v>2146</v>
      </c>
      <c r="H1323" s="123">
        <v>0.52539999999999998</v>
      </c>
      <c r="I1323" s="122">
        <v>1127.5083999999999</v>
      </c>
      <c r="J1323" s="124">
        <f t="shared" si="20"/>
        <v>525.4</v>
      </c>
      <c r="K1323" s="98" t="s">
        <v>5581</v>
      </c>
    </row>
    <row r="1324" spans="1:11" ht="15" customHeight="1" x14ac:dyDescent="0.2">
      <c r="A1324" s="120" t="s">
        <v>5582</v>
      </c>
      <c r="B1324" s="120" t="s">
        <v>5082</v>
      </c>
      <c r="C1324" s="98" t="s">
        <v>3533</v>
      </c>
      <c r="D1324" s="120" t="s">
        <v>3563</v>
      </c>
      <c r="E1324" s="98">
        <v>1.22</v>
      </c>
      <c r="F1324" s="120">
        <v>0</v>
      </c>
      <c r="G1324" s="121">
        <v>1060</v>
      </c>
      <c r="H1324" s="123">
        <v>1.22</v>
      </c>
      <c r="I1324" s="122">
        <v>1293.2</v>
      </c>
      <c r="J1324" s="124">
        <f t="shared" si="20"/>
        <v>1220</v>
      </c>
    </row>
    <row r="1325" spans="1:11" ht="15" customHeight="1" x14ac:dyDescent="0.2">
      <c r="A1325" s="120" t="s">
        <v>5583</v>
      </c>
      <c r="B1325" s="120" t="s">
        <v>5198</v>
      </c>
      <c r="C1325" s="98" t="s">
        <v>3532</v>
      </c>
      <c r="D1325" s="120" t="s">
        <v>3563</v>
      </c>
      <c r="E1325" s="98">
        <v>0.105</v>
      </c>
      <c r="F1325" s="120">
        <v>0</v>
      </c>
      <c r="G1325" s="121">
        <v>0</v>
      </c>
      <c r="H1325" s="123">
        <v>0.105</v>
      </c>
      <c r="I1325" s="122">
        <v>0</v>
      </c>
      <c r="J1325" s="124">
        <f t="shared" si="20"/>
        <v>105</v>
      </c>
    </row>
    <row r="1326" spans="1:11" ht="15" customHeight="1" x14ac:dyDescent="0.2">
      <c r="A1326" s="120" t="s">
        <v>5584</v>
      </c>
      <c r="B1326" s="120" t="s">
        <v>2146</v>
      </c>
      <c r="C1326" s="98" t="s">
        <v>3533</v>
      </c>
      <c r="D1326" s="120" t="s">
        <v>3563</v>
      </c>
      <c r="E1326" s="98">
        <v>4.4999999999999998E-2</v>
      </c>
      <c r="F1326" s="120">
        <v>0</v>
      </c>
      <c r="G1326" s="121">
        <v>10730</v>
      </c>
      <c r="H1326" s="123">
        <v>4.4999999999999998E-2</v>
      </c>
      <c r="I1326" s="122">
        <v>482.84999999999997</v>
      </c>
      <c r="J1326" s="124">
        <f t="shared" si="20"/>
        <v>45</v>
      </c>
      <c r="K1326" s="98" t="s">
        <v>2387</v>
      </c>
    </row>
    <row r="1327" spans="1:11" ht="15" customHeight="1" x14ac:dyDescent="0.2">
      <c r="A1327" s="120" t="s">
        <v>5585</v>
      </c>
      <c r="B1327" s="120" t="s">
        <v>5410</v>
      </c>
      <c r="C1327" s="98" t="s">
        <v>3533</v>
      </c>
      <c r="D1327" s="120" t="s">
        <v>3563</v>
      </c>
      <c r="E1327" s="98">
        <v>1.2409999999999999E-2</v>
      </c>
      <c r="F1327" s="120">
        <v>0</v>
      </c>
      <c r="G1327" s="121">
        <v>1373175</v>
      </c>
      <c r="H1327" s="123">
        <v>1.1778E-2</v>
      </c>
      <c r="I1327" s="122">
        <v>16173.255150000001</v>
      </c>
      <c r="J1327" s="124">
        <f t="shared" si="20"/>
        <v>12.409999999999998</v>
      </c>
      <c r="K1327" s="98" t="s">
        <v>5586</v>
      </c>
    </row>
    <row r="1328" spans="1:11" ht="15" customHeight="1" x14ac:dyDescent="0.2">
      <c r="A1328" s="120" t="s">
        <v>5587</v>
      </c>
      <c r="B1328" s="120" t="s">
        <v>5410</v>
      </c>
      <c r="C1328" s="98" t="s">
        <v>3533</v>
      </c>
      <c r="D1328" s="120" t="s">
        <v>3563</v>
      </c>
      <c r="E1328" s="98">
        <v>1.2409999999999999E-2</v>
      </c>
      <c r="F1328" s="120">
        <v>0</v>
      </c>
      <c r="G1328" s="121">
        <v>1512515</v>
      </c>
      <c r="H1328" s="123">
        <v>1.2219000000000001E-2</v>
      </c>
      <c r="I1328" s="122">
        <v>18481.420785000002</v>
      </c>
      <c r="J1328" s="124">
        <f t="shared" si="20"/>
        <v>12.409999999999998</v>
      </c>
      <c r="K1328" s="98" t="s">
        <v>5588</v>
      </c>
    </row>
    <row r="1329" spans="1:11" ht="15" customHeight="1" x14ac:dyDescent="0.2">
      <c r="A1329" s="120" t="s">
        <v>5589</v>
      </c>
      <c r="B1329" s="120" t="s">
        <v>5590</v>
      </c>
      <c r="C1329" s="98" t="s">
        <v>3533</v>
      </c>
      <c r="D1329" s="120" t="s">
        <v>3563</v>
      </c>
      <c r="E1329" s="98">
        <v>1.3334E-2</v>
      </c>
      <c r="F1329" s="120">
        <v>0</v>
      </c>
      <c r="G1329" s="121">
        <v>0</v>
      </c>
      <c r="H1329" s="123">
        <v>1.3334E-2</v>
      </c>
      <c r="I1329" s="122">
        <v>0</v>
      </c>
      <c r="J1329" s="124">
        <f t="shared" si="20"/>
        <v>13.334</v>
      </c>
    </row>
    <row r="1330" spans="1:11" ht="15" customHeight="1" x14ac:dyDescent="0.2">
      <c r="A1330" s="120" t="s">
        <v>5591</v>
      </c>
      <c r="B1330" s="120" t="s">
        <v>2146</v>
      </c>
      <c r="C1330" s="98" t="s">
        <v>3533</v>
      </c>
      <c r="D1330" s="120" t="s">
        <v>3563</v>
      </c>
      <c r="E1330" s="98">
        <v>0.154</v>
      </c>
      <c r="F1330" s="120">
        <v>0</v>
      </c>
      <c r="G1330" s="121">
        <v>155432</v>
      </c>
      <c r="H1330" s="123">
        <v>0.154</v>
      </c>
      <c r="I1330" s="122">
        <v>23936.527999999998</v>
      </c>
      <c r="J1330" s="124">
        <f t="shared" si="20"/>
        <v>154</v>
      </c>
      <c r="K1330" s="98" t="s">
        <v>5592</v>
      </c>
    </row>
    <row r="1331" spans="1:11" ht="15" customHeight="1" x14ac:dyDescent="0.2">
      <c r="A1331" s="120" t="s">
        <v>5593</v>
      </c>
      <c r="B1331" s="120" t="s">
        <v>5082</v>
      </c>
      <c r="C1331" s="98" t="s">
        <v>3533</v>
      </c>
      <c r="D1331" s="120" t="s">
        <v>3563</v>
      </c>
      <c r="E1331" s="98">
        <v>2.3E-2</v>
      </c>
      <c r="F1331" s="120">
        <v>0</v>
      </c>
      <c r="G1331" s="121">
        <v>0</v>
      </c>
      <c r="H1331" s="123">
        <v>2.3E-2</v>
      </c>
      <c r="I1331" s="122">
        <v>0</v>
      </c>
      <c r="J1331" s="124">
        <f t="shared" si="20"/>
        <v>23</v>
      </c>
      <c r="K1331" s="98" t="s">
        <v>5594</v>
      </c>
    </row>
    <row r="1332" spans="1:11" ht="15" customHeight="1" x14ac:dyDescent="0.2">
      <c r="A1332" s="120" t="s">
        <v>5595</v>
      </c>
      <c r="B1332" s="120" t="s">
        <v>5021</v>
      </c>
      <c r="C1332" s="98" t="s">
        <v>3533</v>
      </c>
      <c r="D1332" s="120" t="s">
        <v>3563</v>
      </c>
      <c r="E1332" s="98">
        <v>1.4500000000000001E-2</v>
      </c>
      <c r="F1332" s="120">
        <v>0</v>
      </c>
      <c r="G1332" s="121">
        <v>501210</v>
      </c>
      <c r="H1332" s="123">
        <v>2.2120999999999998E-2</v>
      </c>
      <c r="I1332" s="122">
        <v>11087.266409999998</v>
      </c>
      <c r="J1332" s="124">
        <f t="shared" si="20"/>
        <v>14.5</v>
      </c>
      <c r="K1332" s="98" t="s">
        <v>5596</v>
      </c>
    </row>
    <row r="1333" spans="1:11" ht="15" customHeight="1" x14ac:dyDescent="0.2">
      <c r="A1333" s="120" t="s">
        <v>5597</v>
      </c>
      <c r="B1333" s="120" t="s">
        <v>5598</v>
      </c>
      <c r="C1333" s="98" t="s">
        <v>3533</v>
      </c>
      <c r="D1333" s="120" t="s">
        <v>3563</v>
      </c>
      <c r="E1333" s="98">
        <v>4.4999999999999998E-2</v>
      </c>
      <c r="F1333" s="120">
        <v>0</v>
      </c>
      <c r="G1333" s="121">
        <v>0</v>
      </c>
      <c r="H1333" s="123">
        <v>4.4999999999999998E-2</v>
      </c>
      <c r="I1333" s="122">
        <v>0</v>
      </c>
      <c r="J1333" s="124">
        <f t="shared" si="20"/>
        <v>45</v>
      </c>
      <c r="K1333" s="98" t="s">
        <v>5599</v>
      </c>
    </row>
    <row r="1334" spans="1:11" ht="15" customHeight="1" x14ac:dyDescent="0.2">
      <c r="A1334" s="120" t="s">
        <v>5600</v>
      </c>
      <c r="B1334" s="120" t="s">
        <v>3532</v>
      </c>
      <c r="C1334" s="98" t="s">
        <v>3532</v>
      </c>
      <c r="D1334" s="120" t="s">
        <v>3563</v>
      </c>
      <c r="E1334" s="98">
        <v>0</v>
      </c>
      <c r="F1334" s="120">
        <v>0</v>
      </c>
      <c r="G1334" s="121">
        <v>0</v>
      </c>
      <c r="H1334" s="123">
        <v>0</v>
      </c>
      <c r="I1334" s="122">
        <v>0</v>
      </c>
      <c r="J1334" s="124">
        <f t="shared" si="20"/>
        <v>0</v>
      </c>
    </row>
    <row r="1335" spans="1:11" ht="15" customHeight="1" x14ac:dyDescent="0.2">
      <c r="A1335" s="120" t="s">
        <v>5601</v>
      </c>
      <c r="B1335" s="120" t="s">
        <v>3532</v>
      </c>
      <c r="C1335" s="98" t="s">
        <v>3532</v>
      </c>
      <c r="D1335" s="120" t="s">
        <v>3563</v>
      </c>
      <c r="E1335" s="98">
        <v>0</v>
      </c>
      <c r="F1335" s="120">
        <v>0</v>
      </c>
      <c r="G1335" s="121">
        <v>0</v>
      </c>
      <c r="H1335" s="123">
        <v>0</v>
      </c>
      <c r="I1335" s="122">
        <v>0</v>
      </c>
      <c r="J1335" s="124">
        <f t="shared" si="20"/>
        <v>0</v>
      </c>
    </row>
    <row r="1336" spans="1:11" ht="15" customHeight="1" x14ac:dyDescent="0.2">
      <c r="A1336" s="120" t="s">
        <v>5602</v>
      </c>
      <c r="B1336" s="120" t="s">
        <v>3532</v>
      </c>
      <c r="C1336" s="98" t="s">
        <v>3532</v>
      </c>
      <c r="D1336" s="120" t="s">
        <v>3563</v>
      </c>
      <c r="E1336" s="98">
        <v>0</v>
      </c>
      <c r="F1336" s="120">
        <v>0</v>
      </c>
      <c r="G1336" s="121">
        <v>0</v>
      </c>
      <c r="H1336" s="123">
        <v>0</v>
      </c>
      <c r="I1336" s="122">
        <v>0</v>
      </c>
      <c r="J1336" s="124">
        <f t="shared" si="20"/>
        <v>0</v>
      </c>
    </row>
    <row r="1337" spans="1:11" ht="15" customHeight="1" x14ac:dyDescent="0.2">
      <c r="A1337" s="120" t="s">
        <v>5603</v>
      </c>
      <c r="B1337" s="120" t="s">
        <v>5216</v>
      </c>
      <c r="C1337" s="98" t="s">
        <v>3533</v>
      </c>
      <c r="D1337" s="120" t="s">
        <v>3563</v>
      </c>
      <c r="E1337" s="98">
        <v>1.95E-2</v>
      </c>
      <c r="F1337" s="120">
        <v>0</v>
      </c>
      <c r="G1337" s="121">
        <v>180620</v>
      </c>
      <c r="H1337" s="123">
        <v>1.95E-2</v>
      </c>
      <c r="I1337" s="122">
        <v>3522.09</v>
      </c>
      <c r="J1337" s="124">
        <f t="shared" si="20"/>
        <v>19.5</v>
      </c>
      <c r="K1337" s="98" t="s">
        <v>2379</v>
      </c>
    </row>
    <row r="1338" spans="1:11" ht="15" customHeight="1" x14ac:dyDescent="0.2">
      <c r="A1338" s="120" t="s">
        <v>5604</v>
      </c>
      <c r="B1338" s="120" t="s">
        <v>5605</v>
      </c>
      <c r="C1338" s="98" t="s">
        <v>3533</v>
      </c>
      <c r="D1338" s="120" t="s">
        <v>3563</v>
      </c>
      <c r="E1338" s="98">
        <v>9.2499999999999995E-3</v>
      </c>
      <c r="F1338" s="120">
        <v>0</v>
      </c>
      <c r="G1338" s="121">
        <v>28155</v>
      </c>
      <c r="H1338" s="123">
        <v>9.2499999999999995E-3</v>
      </c>
      <c r="I1338" s="122">
        <v>260.43374999999997</v>
      </c>
      <c r="J1338" s="124">
        <f t="shared" si="20"/>
        <v>9.25</v>
      </c>
      <c r="K1338" s="98" t="s">
        <v>5606</v>
      </c>
    </row>
    <row r="1339" spans="1:11" ht="15" customHeight="1" x14ac:dyDescent="0.2">
      <c r="A1339" s="120" t="s">
        <v>5607</v>
      </c>
      <c r="B1339" s="120" t="s">
        <v>3532</v>
      </c>
      <c r="C1339" s="98" t="s">
        <v>3532</v>
      </c>
      <c r="D1339" s="120" t="s">
        <v>3563</v>
      </c>
      <c r="E1339" s="98">
        <v>4.0499999999999998E-3</v>
      </c>
      <c r="F1339" s="120">
        <v>0</v>
      </c>
      <c r="G1339" s="121">
        <v>0</v>
      </c>
      <c r="H1339" s="123">
        <v>4.0499999999999998E-3</v>
      </c>
      <c r="I1339" s="122">
        <v>0</v>
      </c>
      <c r="J1339" s="124">
        <f t="shared" si="20"/>
        <v>4.05</v>
      </c>
    </row>
    <row r="1340" spans="1:11" ht="15" customHeight="1" x14ac:dyDescent="0.2">
      <c r="A1340" s="120" t="s">
        <v>5608</v>
      </c>
      <c r="B1340" s="120" t="s">
        <v>3532</v>
      </c>
      <c r="C1340" s="98" t="s">
        <v>3532</v>
      </c>
      <c r="D1340" s="120" t="s">
        <v>3563</v>
      </c>
      <c r="E1340" s="98">
        <v>0</v>
      </c>
      <c r="F1340" s="120">
        <v>0</v>
      </c>
      <c r="G1340" s="121">
        <v>0</v>
      </c>
      <c r="H1340" s="123">
        <v>0</v>
      </c>
      <c r="I1340" s="122">
        <v>0</v>
      </c>
      <c r="J1340" s="124">
        <f t="shared" si="20"/>
        <v>0</v>
      </c>
    </row>
    <row r="1341" spans="1:11" ht="15" customHeight="1" x14ac:dyDescent="0.2">
      <c r="A1341" s="120" t="s">
        <v>5609</v>
      </c>
      <c r="B1341" s="120" t="s">
        <v>3532</v>
      </c>
      <c r="C1341" s="98" t="s">
        <v>3533</v>
      </c>
      <c r="D1341" s="120" t="s">
        <v>3563</v>
      </c>
      <c r="E1341" s="98">
        <v>1.2E-2</v>
      </c>
      <c r="F1341" s="120">
        <v>0</v>
      </c>
      <c r="G1341" s="121">
        <v>0</v>
      </c>
      <c r="H1341" s="123">
        <v>1.2E-2</v>
      </c>
      <c r="I1341" s="122">
        <v>0</v>
      </c>
      <c r="J1341" s="124">
        <f t="shared" si="20"/>
        <v>12</v>
      </c>
    </row>
    <row r="1342" spans="1:11" ht="15" customHeight="1" x14ac:dyDescent="0.2">
      <c r="A1342" s="120" t="s">
        <v>5610</v>
      </c>
      <c r="B1342" s="120" t="s">
        <v>5202</v>
      </c>
      <c r="C1342" s="98" t="s">
        <v>3540</v>
      </c>
      <c r="D1342" s="120" t="s">
        <v>3563</v>
      </c>
      <c r="E1342" s="98">
        <v>9.75E-3</v>
      </c>
      <c r="F1342" s="120">
        <v>0</v>
      </c>
      <c r="G1342" s="121">
        <v>0</v>
      </c>
      <c r="H1342" s="123">
        <v>9.75E-3</v>
      </c>
      <c r="I1342" s="122">
        <v>0</v>
      </c>
      <c r="J1342" s="124">
        <f t="shared" si="20"/>
        <v>9.75</v>
      </c>
    </row>
    <row r="1343" spans="1:11" ht="15" customHeight="1" x14ac:dyDescent="0.2">
      <c r="A1343" s="120" t="s">
        <v>5611</v>
      </c>
      <c r="B1343" s="120" t="s">
        <v>5395</v>
      </c>
      <c r="C1343" s="98" t="s">
        <v>3533</v>
      </c>
      <c r="D1343" s="120" t="s">
        <v>3563</v>
      </c>
      <c r="E1343" s="98">
        <v>9.3699999999999999E-3</v>
      </c>
      <c r="F1343" s="120">
        <v>0</v>
      </c>
      <c r="G1343" s="121">
        <v>46845</v>
      </c>
      <c r="H1343" s="123">
        <v>9.3699999999999999E-3</v>
      </c>
      <c r="I1343" s="122">
        <v>438.93765000000002</v>
      </c>
      <c r="J1343" s="124">
        <f t="shared" si="20"/>
        <v>9.3699999999999992</v>
      </c>
    </row>
    <row r="1344" spans="1:11" ht="15" customHeight="1" x14ac:dyDescent="0.2">
      <c r="A1344" s="120" t="s">
        <v>5612</v>
      </c>
      <c r="B1344" s="120" t="s">
        <v>3532</v>
      </c>
      <c r="C1344" s="98" t="s">
        <v>3533</v>
      </c>
      <c r="D1344" s="120" t="s">
        <v>3563</v>
      </c>
      <c r="E1344" s="98">
        <v>5.7499999999999999E-3</v>
      </c>
      <c r="F1344" s="120">
        <v>0</v>
      </c>
      <c r="G1344" s="121">
        <v>0</v>
      </c>
      <c r="H1344" s="123">
        <v>5.7499999999999999E-3</v>
      </c>
      <c r="I1344" s="122">
        <v>0</v>
      </c>
      <c r="J1344" s="124">
        <f t="shared" si="20"/>
        <v>5.75</v>
      </c>
    </row>
    <row r="1345" spans="1:11" ht="15" customHeight="1" x14ac:dyDescent="0.2">
      <c r="A1345" s="120" t="s">
        <v>5613</v>
      </c>
      <c r="B1345" s="120" t="s">
        <v>3532</v>
      </c>
      <c r="C1345" s="98" t="s">
        <v>3532</v>
      </c>
      <c r="D1345" s="120" t="s">
        <v>3563</v>
      </c>
      <c r="E1345" s="98">
        <v>1.95E-2</v>
      </c>
      <c r="F1345" s="120">
        <v>0</v>
      </c>
      <c r="G1345" s="121">
        <v>0</v>
      </c>
      <c r="H1345" s="123">
        <v>1.95E-2</v>
      </c>
      <c r="I1345" s="122">
        <v>0</v>
      </c>
      <c r="J1345" s="124">
        <f t="shared" si="20"/>
        <v>19.5</v>
      </c>
    </row>
    <row r="1346" spans="1:11" ht="15" customHeight="1" x14ac:dyDescent="0.2">
      <c r="A1346" s="120" t="s">
        <v>5614</v>
      </c>
      <c r="B1346" s="120" t="s">
        <v>3532</v>
      </c>
      <c r="C1346" s="98" t="s">
        <v>3533</v>
      </c>
      <c r="D1346" s="120" t="s">
        <v>3563</v>
      </c>
      <c r="E1346" s="98">
        <v>0</v>
      </c>
      <c r="F1346" s="120">
        <v>0</v>
      </c>
      <c r="G1346" s="121">
        <v>0</v>
      </c>
      <c r="H1346" s="123">
        <v>0</v>
      </c>
      <c r="I1346" s="122">
        <v>0</v>
      </c>
      <c r="J1346" s="124">
        <f t="shared" ref="J1346:J1409" si="21">IF(D1346="gm", E1346*1000,+E1346)</f>
        <v>0</v>
      </c>
    </row>
    <row r="1347" spans="1:11" ht="15" customHeight="1" x14ac:dyDescent="0.2">
      <c r="A1347" s="120" t="s">
        <v>5615</v>
      </c>
      <c r="B1347" s="120" t="s">
        <v>3532</v>
      </c>
      <c r="C1347" s="98" t="s">
        <v>3532</v>
      </c>
      <c r="D1347" s="120" t="s">
        <v>3563</v>
      </c>
      <c r="E1347" s="98">
        <v>4.4999999999999997E-3</v>
      </c>
      <c r="F1347" s="120">
        <v>0</v>
      </c>
      <c r="G1347" s="121">
        <v>0</v>
      </c>
      <c r="H1347" s="123">
        <v>4.4999999999999997E-3</v>
      </c>
      <c r="I1347" s="122">
        <v>0</v>
      </c>
      <c r="J1347" s="124">
        <f t="shared" si="21"/>
        <v>4.5</v>
      </c>
    </row>
    <row r="1348" spans="1:11" ht="15" customHeight="1" x14ac:dyDescent="0.2">
      <c r="A1348" s="120" t="s">
        <v>5616</v>
      </c>
      <c r="B1348" s="120" t="s">
        <v>4879</v>
      </c>
      <c r="C1348" s="98" t="s">
        <v>3533</v>
      </c>
      <c r="D1348" s="120" t="s">
        <v>3563</v>
      </c>
      <c r="E1348" s="98">
        <v>1.6750000000000001E-2</v>
      </c>
      <c r="F1348" s="120">
        <v>0</v>
      </c>
      <c r="G1348" s="121">
        <v>0</v>
      </c>
      <c r="H1348" s="123">
        <v>1.6750000000000001E-2</v>
      </c>
      <c r="I1348" s="122">
        <v>0</v>
      </c>
      <c r="J1348" s="124">
        <f t="shared" si="21"/>
        <v>16.75</v>
      </c>
    </row>
    <row r="1349" spans="1:11" ht="15" customHeight="1" x14ac:dyDescent="0.2">
      <c r="A1349" s="120" t="s">
        <v>5617</v>
      </c>
      <c r="B1349" s="120" t="s">
        <v>3532</v>
      </c>
      <c r="C1349" s="98" t="s">
        <v>3533</v>
      </c>
      <c r="D1349" s="120" t="s">
        <v>3563</v>
      </c>
      <c r="E1349" s="98">
        <v>4.4999999999999997E-3</v>
      </c>
      <c r="F1349" s="120">
        <v>0</v>
      </c>
      <c r="G1349" s="121">
        <v>0</v>
      </c>
      <c r="H1349" s="123">
        <v>4.4999999999999997E-3</v>
      </c>
      <c r="I1349" s="122">
        <v>0</v>
      </c>
      <c r="J1349" s="124">
        <f t="shared" si="21"/>
        <v>4.5</v>
      </c>
    </row>
    <row r="1350" spans="1:11" ht="15" customHeight="1" x14ac:dyDescent="0.2">
      <c r="A1350" s="120" t="s">
        <v>5618</v>
      </c>
      <c r="B1350" s="120" t="s">
        <v>3532</v>
      </c>
      <c r="C1350" s="98" t="s">
        <v>3532</v>
      </c>
      <c r="D1350" s="120" t="s">
        <v>3563</v>
      </c>
      <c r="E1350" s="98">
        <v>5.7499999999999999E-3</v>
      </c>
      <c r="F1350" s="120">
        <v>0</v>
      </c>
      <c r="G1350" s="121">
        <v>0</v>
      </c>
      <c r="H1350" s="123">
        <v>5.7499999999999999E-3</v>
      </c>
      <c r="I1350" s="122">
        <v>0</v>
      </c>
      <c r="J1350" s="124">
        <f t="shared" si="21"/>
        <v>5.75</v>
      </c>
    </row>
    <row r="1351" spans="1:11" ht="15" customHeight="1" x14ac:dyDescent="0.2">
      <c r="A1351" s="120" t="s">
        <v>5619</v>
      </c>
      <c r="B1351" s="120" t="s">
        <v>5395</v>
      </c>
      <c r="C1351" s="98" t="s">
        <v>3532</v>
      </c>
      <c r="D1351" s="120" t="s">
        <v>3563</v>
      </c>
      <c r="E1351" s="98">
        <v>0</v>
      </c>
      <c r="F1351" s="120">
        <v>0</v>
      </c>
      <c r="G1351" s="121">
        <v>0</v>
      </c>
      <c r="H1351" s="123">
        <v>0</v>
      </c>
      <c r="I1351" s="122">
        <v>0</v>
      </c>
      <c r="J1351" s="124">
        <f t="shared" si="21"/>
        <v>0</v>
      </c>
    </row>
    <row r="1352" spans="1:11" ht="15" customHeight="1" x14ac:dyDescent="0.2">
      <c r="A1352" s="120" t="s">
        <v>5620</v>
      </c>
      <c r="B1352" s="120" t="s">
        <v>5395</v>
      </c>
      <c r="C1352" s="98" t="s">
        <v>3533</v>
      </c>
      <c r="D1352" s="120" t="s">
        <v>3563</v>
      </c>
      <c r="E1352" s="98">
        <v>1.0019999999999999E-2</v>
      </c>
      <c r="F1352" s="120">
        <v>0</v>
      </c>
      <c r="G1352" s="121">
        <v>0</v>
      </c>
      <c r="H1352" s="123">
        <v>1.0019999999999999E-2</v>
      </c>
      <c r="I1352" s="122">
        <v>0</v>
      </c>
      <c r="J1352" s="124">
        <f t="shared" si="21"/>
        <v>10.02</v>
      </c>
    </row>
    <row r="1353" spans="1:11" ht="15" customHeight="1" x14ac:dyDescent="0.2">
      <c r="A1353" s="120" t="s">
        <v>5621</v>
      </c>
      <c r="B1353" s="120" t="s">
        <v>3532</v>
      </c>
      <c r="C1353" s="98" t="s">
        <v>3532</v>
      </c>
      <c r="D1353" s="120" t="s">
        <v>3563</v>
      </c>
      <c r="E1353" s="98">
        <v>2.3E-2</v>
      </c>
      <c r="F1353" s="120">
        <v>0</v>
      </c>
      <c r="G1353" s="121">
        <v>0</v>
      </c>
      <c r="H1353" s="123">
        <v>2.3E-2</v>
      </c>
      <c r="I1353" s="122">
        <v>0</v>
      </c>
      <c r="J1353" s="124">
        <f t="shared" si="21"/>
        <v>23</v>
      </c>
    </row>
    <row r="1354" spans="1:11" ht="15" customHeight="1" x14ac:dyDescent="0.2">
      <c r="A1354" s="120" t="s">
        <v>5622</v>
      </c>
      <c r="B1354" s="120" t="s">
        <v>3532</v>
      </c>
      <c r="C1354" s="98" t="s">
        <v>3532</v>
      </c>
      <c r="D1354" s="120" t="s">
        <v>3563</v>
      </c>
      <c r="E1354" s="98">
        <v>2.5999999999999999E-2</v>
      </c>
      <c r="F1354" s="120">
        <v>0</v>
      </c>
      <c r="G1354" s="121">
        <v>0</v>
      </c>
      <c r="H1354" s="123">
        <v>2.5999999999999999E-2</v>
      </c>
      <c r="I1354" s="122">
        <v>0</v>
      </c>
      <c r="J1354" s="124">
        <f t="shared" si="21"/>
        <v>26</v>
      </c>
    </row>
    <row r="1355" spans="1:11" ht="15" customHeight="1" x14ac:dyDescent="0.2">
      <c r="A1355" s="120" t="s">
        <v>5623</v>
      </c>
      <c r="B1355" s="120" t="s">
        <v>2254</v>
      </c>
      <c r="C1355" s="98" t="s">
        <v>3533</v>
      </c>
      <c r="D1355" s="120" t="s">
        <v>3563</v>
      </c>
      <c r="E1355" s="98">
        <v>8.9999999999999993E-3</v>
      </c>
      <c r="F1355" s="120">
        <v>0</v>
      </c>
      <c r="G1355" s="121">
        <v>14920</v>
      </c>
      <c r="H1355" s="123">
        <v>8.9999999999999993E-3</v>
      </c>
      <c r="I1355" s="122">
        <v>134.28</v>
      </c>
      <c r="J1355" s="124">
        <f t="shared" si="21"/>
        <v>9</v>
      </c>
      <c r="K1355" s="98" t="s">
        <v>5214</v>
      </c>
    </row>
    <row r="1356" spans="1:11" ht="15" customHeight="1" x14ac:dyDescent="0.2">
      <c r="A1356" s="120" t="s">
        <v>5624</v>
      </c>
      <c r="B1356" s="120" t="s">
        <v>5395</v>
      </c>
      <c r="C1356" s="98" t="s">
        <v>3532</v>
      </c>
      <c r="D1356" s="120" t="s">
        <v>3563</v>
      </c>
      <c r="E1356" s="98">
        <v>8.0000000000000002E-3</v>
      </c>
      <c r="F1356" s="120">
        <v>0</v>
      </c>
      <c r="G1356" s="121">
        <v>0</v>
      </c>
      <c r="H1356" s="123">
        <v>8.0000000000000002E-3</v>
      </c>
      <c r="I1356" s="122">
        <v>0</v>
      </c>
      <c r="J1356" s="124">
        <f t="shared" si="21"/>
        <v>8</v>
      </c>
    </row>
    <row r="1357" spans="1:11" ht="15" customHeight="1" x14ac:dyDescent="0.2">
      <c r="A1357" s="120" t="s">
        <v>5625</v>
      </c>
      <c r="B1357" s="120" t="s">
        <v>2254</v>
      </c>
      <c r="C1357" s="98" t="s">
        <v>3533</v>
      </c>
      <c r="D1357" s="120" t="s">
        <v>3563</v>
      </c>
      <c r="E1357" s="98">
        <v>2.9000000000000001E-2</v>
      </c>
      <c r="F1357" s="120">
        <v>0</v>
      </c>
      <c r="G1357" s="121">
        <v>5640</v>
      </c>
      <c r="H1357" s="123">
        <v>2.9000000000000001E-2</v>
      </c>
      <c r="I1357" s="122">
        <v>163.56</v>
      </c>
      <c r="J1357" s="124">
        <f t="shared" si="21"/>
        <v>29</v>
      </c>
      <c r="K1357" s="98" t="s">
        <v>5214</v>
      </c>
    </row>
    <row r="1358" spans="1:11" ht="15" customHeight="1" x14ac:dyDescent="0.2">
      <c r="A1358" s="120" t="s">
        <v>5626</v>
      </c>
      <c r="B1358" s="120" t="s">
        <v>3532</v>
      </c>
      <c r="C1358" s="98" t="s">
        <v>3533</v>
      </c>
      <c r="D1358" s="120" t="s">
        <v>3563</v>
      </c>
      <c r="E1358" s="98">
        <v>6.0000000000000001E-3</v>
      </c>
      <c r="F1358" s="120">
        <v>0</v>
      </c>
      <c r="G1358" s="121">
        <v>0</v>
      </c>
      <c r="H1358" s="123">
        <v>6.0000000000000001E-3</v>
      </c>
      <c r="I1358" s="122">
        <v>0</v>
      </c>
      <c r="J1358" s="124">
        <f t="shared" si="21"/>
        <v>6</v>
      </c>
    </row>
    <row r="1359" spans="1:11" ht="15" customHeight="1" x14ac:dyDescent="0.2">
      <c r="A1359" s="120" t="s">
        <v>5627</v>
      </c>
      <c r="B1359" s="120" t="s">
        <v>3532</v>
      </c>
      <c r="C1359" s="98" t="s">
        <v>3532</v>
      </c>
      <c r="D1359" s="120" t="s">
        <v>3563</v>
      </c>
      <c r="E1359" s="98">
        <v>7.4999999999999997E-3</v>
      </c>
      <c r="F1359" s="120">
        <v>0</v>
      </c>
      <c r="G1359" s="121">
        <v>0</v>
      </c>
      <c r="H1359" s="123">
        <v>7.4999999999999997E-3</v>
      </c>
      <c r="I1359" s="122">
        <v>0</v>
      </c>
      <c r="J1359" s="124">
        <f t="shared" si="21"/>
        <v>7.5</v>
      </c>
    </row>
    <row r="1360" spans="1:11" ht="15" customHeight="1" x14ac:dyDescent="0.2">
      <c r="A1360" s="120" t="s">
        <v>5628</v>
      </c>
      <c r="B1360" s="120" t="s">
        <v>3532</v>
      </c>
      <c r="C1360" s="98" t="s">
        <v>3532</v>
      </c>
      <c r="D1360" s="120" t="s">
        <v>3563</v>
      </c>
      <c r="E1360" s="98">
        <v>2.402E-2</v>
      </c>
      <c r="F1360" s="120">
        <v>0</v>
      </c>
      <c r="G1360" s="121">
        <v>0</v>
      </c>
      <c r="H1360" s="123">
        <v>2.402E-2</v>
      </c>
      <c r="I1360" s="122">
        <v>0</v>
      </c>
      <c r="J1360" s="124">
        <f t="shared" si="21"/>
        <v>24.02</v>
      </c>
    </row>
    <row r="1361" spans="1:11" ht="15" customHeight="1" x14ac:dyDescent="0.2">
      <c r="A1361" s="120" t="s">
        <v>5629</v>
      </c>
      <c r="B1361" s="120" t="s">
        <v>3532</v>
      </c>
      <c r="C1361" s="98" t="s">
        <v>3532</v>
      </c>
      <c r="D1361" s="120" t="s">
        <v>3563</v>
      </c>
      <c r="E1361" s="98">
        <v>2.9000000000000001E-2</v>
      </c>
      <c r="F1361" s="120">
        <v>0</v>
      </c>
      <c r="G1361" s="121">
        <v>0</v>
      </c>
      <c r="H1361" s="123">
        <v>2.9000000000000001E-2</v>
      </c>
      <c r="I1361" s="122">
        <v>0</v>
      </c>
      <c r="J1361" s="124">
        <f t="shared" si="21"/>
        <v>29</v>
      </c>
    </row>
    <row r="1362" spans="1:11" ht="15" customHeight="1" x14ac:dyDescent="0.2">
      <c r="A1362" s="120" t="s">
        <v>5630</v>
      </c>
      <c r="B1362" s="120" t="s">
        <v>5072</v>
      </c>
      <c r="C1362" s="98" t="s">
        <v>3533</v>
      </c>
      <c r="D1362" s="120" t="s">
        <v>3563</v>
      </c>
      <c r="E1362" s="98">
        <v>3.3000000000000002E-2</v>
      </c>
      <c r="F1362" s="120">
        <v>0</v>
      </c>
      <c r="G1362" s="121">
        <v>9335</v>
      </c>
      <c r="H1362" s="123">
        <v>3.3000000000000002E-2</v>
      </c>
      <c r="I1362" s="122">
        <v>308.05500000000001</v>
      </c>
      <c r="J1362" s="124">
        <f t="shared" si="21"/>
        <v>33</v>
      </c>
      <c r="K1362" s="98" t="s">
        <v>2387</v>
      </c>
    </row>
    <row r="1363" spans="1:11" ht="15" customHeight="1" x14ac:dyDescent="0.2">
      <c r="A1363" s="120" t="s">
        <v>5631</v>
      </c>
      <c r="B1363" s="120" t="s">
        <v>5632</v>
      </c>
      <c r="C1363" s="98" t="s">
        <v>3532</v>
      </c>
      <c r="D1363" s="120" t="s">
        <v>3563</v>
      </c>
      <c r="E1363" s="98">
        <v>0.30499999999999999</v>
      </c>
      <c r="F1363" s="120">
        <v>0</v>
      </c>
      <c r="G1363" s="121">
        <v>0</v>
      </c>
      <c r="H1363" s="123">
        <v>0.30499999999999999</v>
      </c>
      <c r="I1363" s="122">
        <v>0</v>
      </c>
      <c r="J1363" s="124">
        <f t="shared" si="21"/>
        <v>305</v>
      </c>
    </row>
    <row r="1364" spans="1:11" ht="15" customHeight="1" x14ac:dyDescent="0.2">
      <c r="A1364" s="120" t="s">
        <v>5633</v>
      </c>
      <c r="B1364" s="120" t="s">
        <v>5634</v>
      </c>
      <c r="C1364" s="98" t="s">
        <v>3533</v>
      </c>
      <c r="D1364" s="120" t="s">
        <v>3563</v>
      </c>
      <c r="E1364" s="98">
        <v>1.85</v>
      </c>
      <c r="F1364" s="120">
        <v>0</v>
      </c>
      <c r="G1364" s="121">
        <v>1690</v>
      </c>
      <c r="H1364" s="123">
        <v>1.85</v>
      </c>
      <c r="I1364" s="122">
        <v>3126.5</v>
      </c>
      <c r="J1364" s="124">
        <f t="shared" si="21"/>
        <v>1850</v>
      </c>
      <c r="K1364" s="98" t="s">
        <v>5635</v>
      </c>
    </row>
    <row r="1365" spans="1:11" ht="15" customHeight="1" x14ac:dyDescent="0.2">
      <c r="A1365" s="120" t="s">
        <v>5636</v>
      </c>
      <c r="B1365" s="120" t="s">
        <v>2198</v>
      </c>
      <c r="C1365" s="98" t="s">
        <v>3533</v>
      </c>
      <c r="D1365" s="120" t="s">
        <v>3563</v>
      </c>
      <c r="E1365" s="98">
        <v>1.4749999999999999E-2</v>
      </c>
      <c r="F1365" s="120">
        <v>0</v>
      </c>
      <c r="G1365" s="121">
        <v>25000</v>
      </c>
      <c r="H1365" s="123">
        <v>1.4749999999999999E-2</v>
      </c>
      <c r="I1365" s="122">
        <v>368.75</v>
      </c>
      <c r="J1365" s="124">
        <f t="shared" si="21"/>
        <v>14.75</v>
      </c>
      <c r="K1365" s="98" t="s">
        <v>5310</v>
      </c>
    </row>
    <row r="1366" spans="1:11" ht="15" customHeight="1" x14ac:dyDescent="0.2">
      <c r="A1366" s="120" t="s">
        <v>5637</v>
      </c>
      <c r="B1366" s="120" t="s">
        <v>2146</v>
      </c>
      <c r="C1366" s="98" t="s">
        <v>3532</v>
      </c>
      <c r="D1366" s="120" t="s">
        <v>3563</v>
      </c>
      <c r="E1366" s="98">
        <v>1.0500000000000001E-2</v>
      </c>
      <c r="F1366" s="120">
        <v>0</v>
      </c>
      <c r="G1366" s="121">
        <v>0</v>
      </c>
      <c r="H1366" s="123">
        <v>1.0500000000000001E-2</v>
      </c>
      <c r="I1366" s="122">
        <v>0</v>
      </c>
      <c r="J1366" s="124">
        <f t="shared" si="21"/>
        <v>10.5</v>
      </c>
    </row>
    <row r="1367" spans="1:11" ht="15" customHeight="1" x14ac:dyDescent="0.2">
      <c r="A1367" s="120" t="s">
        <v>5638</v>
      </c>
      <c r="B1367" s="120" t="s">
        <v>5639</v>
      </c>
      <c r="C1367" s="98" t="s">
        <v>3533</v>
      </c>
      <c r="D1367" s="120" t="s">
        <v>3563</v>
      </c>
      <c r="E1367" s="98">
        <v>0.19500000000000001</v>
      </c>
      <c r="F1367" s="120">
        <v>0</v>
      </c>
      <c r="G1367" s="121">
        <v>28100</v>
      </c>
      <c r="H1367" s="123">
        <v>0.19500000000000001</v>
      </c>
      <c r="I1367" s="122">
        <v>5479.5</v>
      </c>
      <c r="J1367" s="124">
        <f t="shared" si="21"/>
        <v>195</v>
      </c>
      <c r="K1367" s="98" t="s">
        <v>5640</v>
      </c>
    </row>
    <row r="1368" spans="1:11" ht="15" customHeight="1" x14ac:dyDescent="0.2">
      <c r="A1368" s="120" t="s">
        <v>5641</v>
      </c>
      <c r="B1368" s="120" t="s">
        <v>5642</v>
      </c>
      <c r="C1368" s="98" t="s">
        <v>4682</v>
      </c>
      <c r="D1368" s="120" t="s">
        <v>3563</v>
      </c>
      <c r="E1368" s="98">
        <v>2.9479999999999999E-2</v>
      </c>
      <c r="F1368" s="120">
        <v>0</v>
      </c>
      <c r="G1368" s="121">
        <v>0</v>
      </c>
      <c r="H1368" s="123">
        <v>2.9479999999999999E-2</v>
      </c>
      <c r="I1368" s="122">
        <v>0</v>
      </c>
      <c r="J1368" s="124">
        <f t="shared" si="21"/>
        <v>29.48</v>
      </c>
    </row>
    <row r="1369" spans="1:11" ht="15" customHeight="1" x14ac:dyDescent="0.2">
      <c r="A1369" s="120" t="s">
        <v>5643</v>
      </c>
      <c r="B1369" s="120" t="s">
        <v>4901</v>
      </c>
      <c r="C1369" s="98" t="s">
        <v>3533</v>
      </c>
      <c r="D1369" s="120" t="s">
        <v>3563</v>
      </c>
      <c r="E1369" s="98">
        <v>0.28999999999999998</v>
      </c>
      <c r="F1369" s="120">
        <v>0</v>
      </c>
      <c r="G1369" s="121">
        <v>23325</v>
      </c>
      <c r="H1369" s="123">
        <v>0.28999999999999998</v>
      </c>
      <c r="I1369" s="122">
        <v>6764.2499999999991</v>
      </c>
      <c r="J1369" s="124">
        <f t="shared" si="21"/>
        <v>290</v>
      </c>
      <c r="K1369" s="98" t="s">
        <v>5644</v>
      </c>
    </row>
    <row r="1370" spans="1:11" ht="15" customHeight="1" x14ac:dyDescent="0.2">
      <c r="A1370" s="120" t="s">
        <v>5645</v>
      </c>
      <c r="B1370" s="120" t="s">
        <v>5646</v>
      </c>
      <c r="C1370" s="98" t="s">
        <v>3533</v>
      </c>
      <c r="D1370" s="120" t="s">
        <v>3563</v>
      </c>
      <c r="E1370" s="98">
        <v>0.44600000000000001</v>
      </c>
      <c r="F1370" s="120">
        <v>0</v>
      </c>
      <c r="G1370" s="121">
        <v>2852</v>
      </c>
      <c r="H1370" s="123">
        <v>0.44600000000000001</v>
      </c>
      <c r="I1370" s="122">
        <v>1271.992</v>
      </c>
      <c r="J1370" s="124">
        <f t="shared" si="21"/>
        <v>446</v>
      </c>
    </row>
    <row r="1371" spans="1:11" ht="15" customHeight="1" x14ac:dyDescent="0.2">
      <c r="A1371" s="120" t="s">
        <v>5647</v>
      </c>
      <c r="B1371" s="120" t="s">
        <v>5648</v>
      </c>
      <c r="C1371" s="98" t="s">
        <v>3533</v>
      </c>
      <c r="D1371" s="120" t="s">
        <v>3563</v>
      </c>
      <c r="E1371" s="98">
        <v>1.6E-2</v>
      </c>
      <c r="F1371" s="120">
        <v>0</v>
      </c>
      <c r="G1371" s="121">
        <v>0</v>
      </c>
      <c r="H1371" s="123">
        <v>1.6E-2</v>
      </c>
      <c r="I1371" s="122">
        <v>0</v>
      </c>
      <c r="J1371" s="124">
        <f t="shared" si="21"/>
        <v>16</v>
      </c>
      <c r="K1371" s="98" t="s">
        <v>5649</v>
      </c>
    </row>
    <row r="1372" spans="1:11" ht="15" customHeight="1" x14ac:dyDescent="0.2">
      <c r="A1372" s="120" t="s">
        <v>5650</v>
      </c>
      <c r="B1372" s="120" t="s">
        <v>5216</v>
      </c>
      <c r="C1372" s="98" t="s">
        <v>3533</v>
      </c>
      <c r="D1372" s="120" t="s">
        <v>3563</v>
      </c>
      <c r="E1372" s="98">
        <v>1.0999999999999999E-2</v>
      </c>
      <c r="F1372" s="120">
        <v>0</v>
      </c>
      <c r="G1372" s="121">
        <v>8595</v>
      </c>
      <c r="H1372" s="123">
        <v>1.0999999999999999E-2</v>
      </c>
      <c r="I1372" s="122">
        <v>94.544999999999987</v>
      </c>
      <c r="J1372" s="124">
        <f t="shared" si="21"/>
        <v>11</v>
      </c>
      <c r="K1372" s="98" t="s">
        <v>2387</v>
      </c>
    </row>
    <row r="1373" spans="1:11" ht="15" customHeight="1" x14ac:dyDescent="0.2">
      <c r="A1373" s="120" t="s">
        <v>5651</v>
      </c>
      <c r="B1373" s="120" t="s">
        <v>4879</v>
      </c>
      <c r="C1373" s="98" t="s">
        <v>3533</v>
      </c>
      <c r="D1373" s="120" t="s">
        <v>3563</v>
      </c>
      <c r="E1373" s="98">
        <v>1.3339E-2</v>
      </c>
      <c r="F1373" s="120">
        <v>0</v>
      </c>
      <c r="G1373" s="121">
        <v>111991</v>
      </c>
      <c r="H1373" s="123">
        <v>1.3339E-2</v>
      </c>
      <c r="I1373" s="122">
        <v>1493.847949</v>
      </c>
      <c r="J1373" s="124">
        <f t="shared" si="21"/>
        <v>13.339</v>
      </c>
      <c r="K1373" s="98" t="s">
        <v>5652</v>
      </c>
    </row>
    <row r="1374" spans="1:11" ht="15" customHeight="1" x14ac:dyDescent="0.2">
      <c r="A1374" s="120" t="s">
        <v>5653</v>
      </c>
      <c r="B1374" s="120" t="s">
        <v>5438</v>
      </c>
      <c r="C1374" s="98" t="s">
        <v>3533</v>
      </c>
      <c r="D1374" s="120" t="s">
        <v>3563</v>
      </c>
      <c r="E1374" s="98">
        <v>1.4999999999999999E-2</v>
      </c>
      <c r="F1374" s="120">
        <v>0</v>
      </c>
      <c r="G1374" s="121">
        <v>0</v>
      </c>
      <c r="H1374" s="123">
        <v>1.4999999999999999E-2</v>
      </c>
      <c r="I1374" s="122">
        <v>0</v>
      </c>
      <c r="J1374" s="124">
        <f t="shared" si="21"/>
        <v>15</v>
      </c>
    </row>
    <row r="1375" spans="1:11" ht="15" customHeight="1" x14ac:dyDescent="0.2">
      <c r="A1375" s="120" t="s">
        <v>5654</v>
      </c>
      <c r="B1375" s="120" t="s">
        <v>5655</v>
      </c>
      <c r="C1375" s="98" t="s">
        <v>3533</v>
      </c>
      <c r="D1375" s="120" t="s">
        <v>3563</v>
      </c>
      <c r="E1375" s="98">
        <v>1.4E-2</v>
      </c>
      <c r="F1375" s="120">
        <v>0</v>
      </c>
      <c r="G1375" s="121">
        <v>322780</v>
      </c>
      <c r="H1375" s="123">
        <v>1.4E-2</v>
      </c>
      <c r="I1375" s="122">
        <v>4518.92</v>
      </c>
      <c r="J1375" s="124">
        <f t="shared" si="21"/>
        <v>14</v>
      </c>
      <c r="K1375" s="98" t="s">
        <v>5656</v>
      </c>
    </row>
    <row r="1376" spans="1:11" ht="15" customHeight="1" x14ac:dyDescent="0.2">
      <c r="A1376" s="120" t="s">
        <v>5657</v>
      </c>
      <c r="B1376" s="120" t="s">
        <v>5410</v>
      </c>
      <c r="C1376" s="98" t="s">
        <v>3533</v>
      </c>
      <c r="D1376" s="120" t="s">
        <v>3563</v>
      </c>
      <c r="E1376" s="98">
        <v>7.0000000000000001E-3</v>
      </c>
      <c r="F1376" s="120">
        <v>0</v>
      </c>
      <c r="G1376" s="121">
        <v>0</v>
      </c>
      <c r="H1376" s="123">
        <v>7.0000000000000001E-3</v>
      </c>
      <c r="I1376" s="122">
        <v>0</v>
      </c>
      <c r="J1376" s="124">
        <f t="shared" si="21"/>
        <v>7</v>
      </c>
    </row>
    <row r="1377" spans="1:11" ht="15" customHeight="1" x14ac:dyDescent="0.2">
      <c r="A1377" s="120" t="s">
        <v>5658</v>
      </c>
      <c r="B1377" s="120" t="s">
        <v>5414</v>
      </c>
      <c r="C1377" s="98" t="s">
        <v>3533</v>
      </c>
      <c r="D1377" s="120" t="s">
        <v>3563</v>
      </c>
      <c r="E1377" s="98">
        <v>2.5000000000000001E-2</v>
      </c>
      <c r="F1377" s="120">
        <v>0</v>
      </c>
      <c r="G1377" s="121">
        <v>33575</v>
      </c>
      <c r="H1377" s="123">
        <v>2.5000000000000001E-2</v>
      </c>
      <c r="I1377" s="122">
        <v>839.375</v>
      </c>
      <c r="J1377" s="124">
        <f t="shared" si="21"/>
        <v>25</v>
      </c>
      <c r="K1377" s="98" t="s">
        <v>5659</v>
      </c>
    </row>
    <row r="1378" spans="1:11" ht="15" customHeight="1" x14ac:dyDescent="0.2">
      <c r="A1378" s="120" t="s">
        <v>5660</v>
      </c>
      <c r="B1378" s="120" t="s">
        <v>5414</v>
      </c>
      <c r="C1378" s="98" t="s">
        <v>3533</v>
      </c>
      <c r="D1378" s="120" t="s">
        <v>3563</v>
      </c>
      <c r="E1378" s="98">
        <v>2.5000000000000001E-2</v>
      </c>
      <c r="F1378" s="120">
        <v>0</v>
      </c>
      <c r="G1378" s="121">
        <v>0</v>
      </c>
      <c r="H1378" s="123">
        <v>2.5000000000000001E-2</v>
      </c>
      <c r="I1378" s="122">
        <v>0</v>
      </c>
      <c r="J1378" s="124">
        <f t="shared" si="21"/>
        <v>25</v>
      </c>
      <c r="K1378" s="98" t="s">
        <v>5661</v>
      </c>
    </row>
    <row r="1379" spans="1:11" ht="15" customHeight="1" x14ac:dyDescent="0.2">
      <c r="A1379" s="120" t="s">
        <v>5662</v>
      </c>
      <c r="B1379" s="120" t="s">
        <v>5663</v>
      </c>
      <c r="C1379" s="98" t="s">
        <v>3533</v>
      </c>
      <c r="D1379" s="120" t="s">
        <v>3563</v>
      </c>
      <c r="E1379" s="98">
        <v>3.5000000000000003E-2</v>
      </c>
      <c r="F1379" s="120">
        <v>0</v>
      </c>
      <c r="G1379" s="121">
        <v>0</v>
      </c>
      <c r="H1379" s="123">
        <v>3.5000000000000003E-2</v>
      </c>
      <c r="I1379" s="122">
        <v>0</v>
      </c>
      <c r="J1379" s="124">
        <f t="shared" si="21"/>
        <v>35</v>
      </c>
    </row>
    <row r="1380" spans="1:11" ht="15" customHeight="1" x14ac:dyDescent="0.2">
      <c r="A1380" s="120" t="s">
        <v>5664</v>
      </c>
      <c r="B1380" s="120" t="s">
        <v>5663</v>
      </c>
      <c r="C1380" s="98" t="s">
        <v>3533</v>
      </c>
      <c r="D1380" s="120" t="s">
        <v>3563</v>
      </c>
      <c r="E1380" s="98">
        <v>4.2000000000000003E-2</v>
      </c>
      <c r="F1380" s="120">
        <v>0</v>
      </c>
      <c r="G1380" s="121">
        <v>0</v>
      </c>
      <c r="H1380" s="123">
        <v>4.2000000000000003E-2</v>
      </c>
      <c r="I1380" s="122">
        <v>0</v>
      </c>
      <c r="J1380" s="124">
        <f t="shared" si="21"/>
        <v>42</v>
      </c>
    </row>
    <row r="1381" spans="1:11" ht="15" customHeight="1" x14ac:dyDescent="0.2">
      <c r="A1381" s="120" t="s">
        <v>5665</v>
      </c>
      <c r="B1381" s="120" t="s">
        <v>4764</v>
      </c>
      <c r="C1381" s="98" t="s">
        <v>3533</v>
      </c>
      <c r="D1381" s="120" t="s">
        <v>3563</v>
      </c>
      <c r="E1381" s="98">
        <v>0.30998999999999999</v>
      </c>
      <c r="F1381" s="120">
        <v>0</v>
      </c>
      <c r="G1381" s="121">
        <v>0</v>
      </c>
      <c r="H1381" s="123">
        <v>0.30998999999999999</v>
      </c>
      <c r="I1381" s="122">
        <v>0</v>
      </c>
      <c r="J1381" s="124">
        <f t="shared" si="21"/>
        <v>309.99</v>
      </c>
      <c r="K1381" s="98" t="s">
        <v>5666</v>
      </c>
    </row>
    <row r="1382" spans="1:11" ht="15" customHeight="1" x14ac:dyDescent="0.2">
      <c r="A1382" s="120" t="s">
        <v>5667</v>
      </c>
      <c r="B1382" s="120" t="s">
        <v>5082</v>
      </c>
      <c r="C1382" s="98" t="s">
        <v>3533</v>
      </c>
      <c r="D1382" s="120" t="s">
        <v>3563</v>
      </c>
      <c r="E1382" s="98">
        <v>7.5999999999999998E-2</v>
      </c>
      <c r="F1382" s="120">
        <v>0</v>
      </c>
      <c r="G1382" s="121">
        <v>0</v>
      </c>
      <c r="H1382" s="123">
        <v>7.5999999999999998E-2</v>
      </c>
      <c r="I1382" s="122">
        <v>0</v>
      </c>
      <c r="J1382" s="124">
        <f t="shared" si="21"/>
        <v>76</v>
      </c>
      <c r="K1382" s="98" t="s">
        <v>5668</v>
      </c>
    </row>
    <row r="1383" spans="1:11" ht="15" customHeight="1" x14ac:dyDescent="0.2">
      <c r="A1383" s="120" t="s">
        <v>5669</v>
      </c>
      <c r="B1383" s="120" t="s">
        <v>5082</v>
      </c>
      <c r="C1383" s="98" t="s">
        <v>3533</v>
      </c>
      <c r="D1383" s="120" t="s">
        <v>3563</v>
      </c>
      <c r="E1383" s="98">
        <v>4.2000000000000003E-2</v>
      </c>
      <c r="F1383" s="120">
        <v>0</v>
      </c>
      <c r="G1383" s="121">
        <v>7870</v>
      </c>
      <c r="H1383" s="123">
        <v>4.2000000000000003E-2</v>
      </c>
      <c r="I1383" s="122">
        <v>330.54</v>
      </c>
      <c r="J1383" s="124">
        <f t="shared" si="21"/>
        <v>42</v>
      </c>
      <c r="K1383" s="98" t="s">
        <v>5670</v>
      </c>
    </row>
    <row r="1384" spans="1:11" ht="15" customHeight="1" x14ac:dyDescent="0.2">
      <c r="A1384" s="120" t="s">
        <v>5671</v>
      </c>
      <c r="B1384" s="120" t="s">
        <v>5283</v>
      </c>
      <c r="C1384" s="98" t="s">
        <v>3533</v>
      </c>
      <c r="D1384" s="120" t="s">
        <v>3563</v>
      </c>
      <c r="E1384" s="98">
        <v>0</v>
      </c>
      <c r="F1384" s="120">
        <v>0</v>
      </c>
      <c r="G1384" s="121">
        <v>0</v>
      </c>
      <c r="H1384" s="123">
        <v>0</v>
      </c>
      <c r="I1384" s="122">
        <v>0</v>
      </c>
      <c r="J1384" s="124">
        <f t="shared" si="21"/>
        <v>0</v>
      </c>
      <c r="K1384" s="98" t="s">
        <v>5672</v>
      </c>
    </row>
    <row r="1385" spans="1:11" ht="15" customHeight="1" x14ac:dyDescent="0.2">
      <c r="A1385" s="120" t="s">
        <v>5673</v>
      </c>
      <c r="B1385" s="120" t="s">
        <v>5674</v>
      </c>
      <c r="C1385" s="98" t="s">
        <v>3532</v>
      </c>
      <c r="D1385" s="120" t="s">
        <v>3563</v>
      </c>
      <c r="E1385" s="98">
        <v>6.6119999999999998E-3</v>
      </c>
      <c r="F1385" s="120">
        <v>0</v>
      </c>
      <c r="G1385" s="121">
        <v>0</v>
      </c>
      <c r="H1385" s="123">
        <v>6.6119999999999998E-3</v>
      </c>
      <c r="I1385" s="122">
        <v>0</v>
      </c>
      <c r="J1385" s="124">
        <f t="shared" si="21"/>
        <v>6.6120000000000001</v>
      </c>
    </row>
    <row r="1386" spans="1:11" ht="15" customHeight="1" x14ac:dyDescent="0.2">
      <c r="A1386" s="120" t="s">
        <v>5675</v>
      </c>
      <c r="B1386" s="120" t="s">
        <v>4685</v>
      </c>
      <c r="C1386" s="98" t="s">
        <v>3540</v>
      </c>
      <c r="D1386" s="120" t="s">
        <v>3563</v>
      </c>
      <c r="E1386" s="98">
        <v>7.3833999999999997E-2</v>
      </c>
      <c r="F1386" s="120">
        <v>0</v>
      </c>
      <c r="G1386" s="121">
        <v>0</v>
      </c>
      <c r="H1386" s="123">
        <v>7.3833999999999997E-2</v>
      </c>
      <c r="I1386" s="122">
        <v>0</v>
      </c>
      <c r="J1386" s="124">
        <f t="shared" si="21"/>
        <v>73.834000000000003</v>
      </c>
    </row>
    <row r="1387" spans="1:11" ht="15" customHeight="1" x14ac:dyDescent="0.2">
      <c r="A1387" s="120" t="s">
        <v>5676</v>
      </c>
      <c r="B1387" s="120" t="s">
        <v>4723</v>
      </c>
      <c r="C1387" s="98" t="s">
        <v>3532</v>
      </c>
      <c r="D1387" s="120" t="s">
        <v>3563</v>
      </c>
      <c r="E1387" s="98">
        <v>0.56499999999999995</v>
      </c>
      <c r="F1387" s="120">
        <v>0</v>
      </c>
      <c r="G1387" s="121">
        <v>0</v>
      </c>
      <c r="H1387" s="123">
        <v>0.56499999999999995</v>
      </c>
      <c r="I1387" s="122">
        <v>0</v>
      </c>
      <c r="J1387" s="124">
        <f t="shared" si="21"/>
        <v>565</v>
      </c>
    </row>
    <row r="1388" spans="1:11" ht="15" customHeight="1" x14ac:dyDescent="0.2">
      <c r="A1388" s="120" t="s">
        <v>5677</v>
      </c>
      <c r="B1388" s="120" t="s">
        <v>5678</v>
      </c>
      <c r="C1388" s="98" t="s">
        <v>3532</v>
      </c>
      <c r="D1388" s="120" t="s">
        <v>3563</v>
      </c>
      <c r="E1388" s="98">
        <v>2.3E-2</v>
      </c>
      <c r="F1388" s="120">
        <v>0</v>
      </c>
      <c r="G1388" s="121">
        <v>21700</v>
      </c>
      <c r="H1388" s="123">
        <v>2.3E-2</v>
      </c>
      <c r="I1388" s="122">
        <v>499.09999999999997</v>
      </c>
      <c r="J1388" s="124">
        <f t="shared" si="21"/>
        <v>23</v>
      </c>
    </row>
    <row r="1389" spans="1:11" ht="15" customHeight="1" x14ac:dyDescent="0.2">
      <c r="A1389" s="120" t="s">
        <v>5679</v>
      </c>
      <c r="B1389" s="120" t="s">
        <v>5082</v>
      </c>
      <c r="C1389" s="98" t="s">
        <v>3533</v>
      </c>
      <c r="D1389" s="120" t="s">
        <v>3563</v>
      </c>
      <c r="E1389" s="98">
        <v>7.5999999999999998E-2</v>
      </c>
      <c r="F1389" s="120">
        <v>0</v>
      </c>
      <c r="G1389" s="121">
        <v>0</v>
      </c>
      <c r="H1389" s="123">
        <v>7.5999999999999998E-2</v>
      </c>
      <c r="I1389" s="122">
        <v>0</v>
      </c>
      <c r="J1389" s="124">
        <f t="shared" si="21"/>
        <v>76</v>
      </c>
      <c r="K1389" s="98" t="s">
        <v>5680</v>
      </c>
    </row>
    <row r="1390" spans="1:11" ht="15" customHeight="1" x14ac:dyDescent="0.2">
      <c r="A1390" s="120" t="s">
        <v>5681</v>
      </c>
      <c r="B1390" s="120" t="s">
        <v>5682</v>
      </c>
      <c r="C1390" s="98" t="s">
        <v>3532</v>
      </c>
      <c r="D1390" s="120" t="s">
        <v>3563</v>
      </c>
      <c r="E1390" s="98">
        <v>8.3499999999999998E-3</v>
      </c>
      <c r="F1390" s="120">
        <v>0</v>
      </c>
      <c r="G1390" s="121">
        <v>0</v>
      </c>
      <c r="H1390" s="123">
        <v>8.3499999999999998E-3</v>
      </c>
      <c r="I1390" s="122">
        <v>0</v>
      </c>
      <c r="J1390" s="124">
        <f t="shared" si="21"/>
        <v>8.35</v>
      </c>
    </row>
    <row r="1391" spans="1:11" ht="15" customHeight="1" x14ac:dyDescent="0.2">
      <c r="A1391" s="120" t="s">
        <v>5683</v>
      </c>
      <c r="B1391" s="120" t="s">
        <v>5395</v>
      </c>
      <c r="C1391" s="98" t="s">
        <v>3532</v>
      </c>
      <c r="D1391" s="120" t="s">
        <v>3563</v>
      </c>
      <c r="E1391" s="98">
        <v>7.7099999999999998E-3</v>
      </c>
      <c r="F1391" s="120">
        <v>0</v>
      </c>
      <c r="G1391" s="121">
        <v>0</v>
      </c>
      <c r="H1391" s="123">
        <v>7.7099999999999998E-3</v>
      </c>
      <c r="I1391" s="122">
        <v>0</v>
      </c>
      <c r="J1391" s="124">
        <f t="shared" si="21"/>
        <v>7.71</v>
      </c>
    </row>
    <row r="1392" spans="1:11" ht="15" customHeight="1" x14ac:dyDescent="0.2">
      <c r="A1392" s="120" t="s">
        <v>5684</v>
      </c>
      <c r="B1392" s="120" t="s">
        <v>3532</v>
      </c>
      <c r="C1392" s="98" t="s">
        <v>3532</v>
      </c>
      <c r="D1392" s="120" t="s">
        <v>3563</v>
      </c>
      <c r="E1392" s="98">
        <v>0.5</v>
      </c>
      <c r="F1392" s="120">
        <v>0</v>
      </c>
      <c r="G1392" s="121">
        <v>0</v>
      </c>
      <c r="H1392" s="123">
        <v>0.5</v>
      </c>
      <c r="I1392" s="122">
        <v>0</v>
      </c>
      <c r="J1392" s="124">
        <f t="shared" si="21"/>
        <v>500</v>
      </c>
    </row>
    <row r="1393" spans="1:11" ht="15" customHeight="1" x14ac:dyDescent="0.2">
      <c r="A1393" s="120" t="s">
        <v>5685</v>
      </c>
      <c r="B1393" s="120" t="s">
        <v>5686</v>
      </c>
      <c r="C1393" s="98" t="s">
        <v>3540</v>
      </c>
      <c r="D1393" s="120" t="s">
        <v>3563</v>
      </c>
      <c r="E1393" s="98">
        <v>2.9000000000000001E-2</v>
      </c>
      <c r="F1393" s="120">
        <v>0</v>
      </c>
      <c r="G1393" s="121">
        <v>0</v>
      </c>
      <c r="H1393" s="123">
        <v>2.9000000000000001E-2</v>
      </c>
      <c r="I1393" s="122">
        <v>0</v>
      </c>
      <c r="J1393" s="124">
        <f t="shared" si="21"/>
        <v>29</v>
      </c>
    </row>
    <row r="1394" spans="1:11" ht="15" customHeight="1" x14ac:dyDescent="0.2">
      <c r="A1394" s="120" t="s">
        <v>5687</v>
      </c>
      <c r="B1394" s="120" t="s">
        <v>5686</v>
      </c>
      <c r="C1394" s="98" t="s">
        <v>3533</v>
      </c>
      <c r="D1394" s="120" t="s">
        <v>3563</v>
      </c>
      <c r="E1394" s="98">
        <v>1.6500000000000001E-2</v>
      </c>
      <c r="F1394" s="120">
        <v>0</v>
      </c>
      <c r="G1394" s="121">
        <v>16975</v>
      </c>
      <c r="H1394" s="123">
        <v>1.6500000000000001E-2</v>
      </c>
      <c r="I1394" s="122">
        <v>280.08750000000003</v>
      </c>
      <c r="J1394" s="124">
        <f t="shared" si="21"/>
        <v>16.5</v>
      </c>
      <c r="K1394" s="98" t="s">
        <v>2387</v>
      </c>
    </row>
    <row r="1395" spans="1:11" ht="15" customHeight="1" x14ac:dyDescent="0.2">
      <c r="A1395" s="120" t="s">
        <v>5688</v>
      </c>
      <c r="B1395" s="120" t="s">
        <v>2254</v>
      </c>
      <c r="C1395" s="98" t="s">
        <v>3533</v>
      </c>
      <c r="D1395" s="120" t="s">
        <v>3563</v>
      </c>
      <c r="E1395" s="98">
        <v>0</v>
      </c>
      <c r="F1395" s="120">
        <v>0</v>
      </c>
      <c r="G1395" s="121">
        <v>3324</v>
      </c>
      <c r="H1395" s="123">
        <v>0</v>
      </c>
      <c r="I1395" s="122">
        <v>0</v>
      </c>
      <c r="J1395" s="124">
        <f t="shared" si="21"/>
        <v>0</v>
      </c>
      <c r="K1395" s="98" t="s">
        <v>5519</v>
      </c>
    </row>
    <row r="1396" spans="1:11" ht="15" customHeight="1" x14ac:dyDescent="0.2">
      <c r="A1396" s="120" t="s">
        <v>5689</v>
      </c>
      <c r="B1396" s="120" t="s">
        <v>3532</v>
      </c>
      <c r="C1396" s="98" t="s">
        <v>3532</v>
      </c>
      <c r="D1396" s="120" t="s">
        <v>3563</v>
      </c>
      <c r="E1396" s="98">
        <v>4.1500000000000002E-2</v>
      </c>
      <c r="F1396" s="120">
        <v>0</v>
      </c>
      <c r="G1396" s="121">
        <v>0</v>
      </c>
      <c r="H1396" s="123">
        <v>4.1500000000000002E-2</v>
      </c>
      <c r="I1396" s="122">
        <v>0</v>
      </c>
      <c r="J1396" s="124">
        <f t="shared" si="21"/>
        <v>41.5</v>
      </c>
    </row>
    <row r="1397" spans="1:11" ht="15" customHeight="1" x14ac:dyDescent="0.2">
      <c r="A1397" s="120" t="s">
        <v>5690</v>
      </c>
      <c r="B1397" s="120" t="s">
        <v>5691</v>
      </c>
      <c r="C1397" s="98" t="s">
        <v>3540</v>
      </c>
      <c r="D1397" s="120" t="s">
        <v>3563</v>
      </c>
      <c r="E1397" s="98">
        <v>1.055E-2</v>
      </c>
      <c r="F1397" s="120">
        <v>0</v>
      </c>
      <c r="G1397" s="121">
        <v>0</v>
      </c>
      <c r="H1397" s="123">
        <v>1.055E-2</v>
      </c>
      <c r="I1397" s="122">
        <v>0</v>
      </c>
      <c r="J1397" s="124">
        <f t="shared" si="21"/>
        <v>10.55</v>
      </c>
    </row>
    <row r="1398" spans="1:11" ht="15" customHeight="1" x14ac:dyDescent="0.2">
      <c r="A1398" s="120" t="s">
        <v>5692</v>
      </c>
      <c r="B1398" s="120" t="s">
        <v>5076</v>
      </c>
      <c r="C1398" s="98" t="s">
        <v>3533</v>
      </c>
      <c r="D1398" s="120" t="s">
        <v>3563</v>
      </c>
      <c r="E1398" s="98">
        <v>1.091E-2</v>
      </c>
      <c r="F1398" s="120">
        <v>0</v>
      </c>
      <c r="G1398" s="121">
        <v>13150</v>
      </c>
      <c r="H1398" s="123">
        <v>1.091E-2</v>
      </c>
      <c r="I1398" s="122">
        <v>143.4665</v>
      </c>
      <c r="J1398" s="124">
        <f t="shared" si="21"/>
        <v>10.91</v>
      </c>
      <c r="K1398" s="98" t="s">
        <v>5693</v>
      </c>
    </row>
    <row r="1399" spans="1:11" ht="15" customHeight="1" x14ac:dyDescent="0.2">
      <c r="A1399" s="120" t="s">
        <v>5694</v>
      </c>
      <c r="B1399" s="120" t="s">
        <v>2254</v>
      </c>
      <c r="C1399" s="98" t="s">
        <v>3533</v>
      </c>
      <c r="D1399" s="120" t="s">
        <v>3563</v>
      </c>
      <c r="E1399" s="98">
        <v>4.4999999999999998E-2</v>
      </c>
      <c r="F1399" s="120">
        <v>0</v>
      </c>
      <c r="G1399" s="121">
        <v>14931</v>
      </c>
      <c r="H1399" s="123">
        <v>4.4999999999999998E-2</v>
      </c>
      <c r="I1399" s="122">
        <v>671.89499999999998</v>
      </c>
      <c r="J1399" s="124">
        <f t="shared" si="21"/>
        <v>45</v>
      </c>
      <c r="K1399" s="98" t="s">
        <v>5214</v>
      </c>
    </row>
    <row r="1400" spans="1:11" ht="15" customHeight="1" x14ac:dyDescent="0.2">
      <c r="A1400" s="120" t="s">
        <v>5695</v>
      </c>
      <c r="B1400" s="120" t="s">
        <v>5696</v>
      </c>
      <c r="C1400" s="98" t="s">
        <v>3533</v>
      </c>
      <c r="D1400" s="120" t="s">
        <v>3563</v>
      </c>
      <c r="E1400" s="98">
        <v>3.0499999999999999E-2</v>
      </c>
      <c r="F1400" s="120">
        <v>0</v>
      </c>
      <c r="G1400" s="121">
        <v>8556</v>
      </c>
      <c r="H1400" s="123">
        <v>3.0499999999999999E-2</v>
      </c>
      <c r="I1400" s="122">
        <v>260.95799999999997</v>
      </c>
      <c r="J1400" s="124">
        <f t="shared" si="21"/>
        <v>30.5</v>
      </c>
      <c r="K1400" s="98" t="s">
        <v>5697</v>
      </c>
    </row>
    <row r="1401" spans="1:11" ht="15" customHeight="1" x14ac:dyDescent="0.2">
      <c r="A1401" s="120" t="s">
        <v>5698</v>
      </c>
      <c r="B1401" s="120" t="s">
        <v>2198</v>
      </c>
      <c r="C1401" s="98" t="s">
        <v>3532</v>
      </c>
      <c r="D1401" s="120" t="s">
        <v>3563</v>
      </c>
      <c r="E1401" s="98">
        <v>7.2310405643739003E-3</v>
      </c>
      <c r="F1401" s="120">
        <v>0</v>
      </c>
      <c r="G1401" s="121">
        <v>25040</v>
      </c>
      <c r="H1401" s="123">
        <v>7.2309999999999996E-3</v>
      </c>
      <c r="I1401" s="122">
        <v>181.06423999999998</v>
      </c>
      <c r="J1401" s="124">
        <f t="shared" si="21"/>
        <v>7.2310405643739006</v>
      </c>
    </row>
    <row r="1402" spans="1:11" ht="15" customHeight="1" x14ac:dyDescent="0.2">
      <c r="A1402" s="120" t="s">
        <v>5699</v>
      </c>
      <c r="B1402" s="120" t="s">
        <v>2198</v>
      </c>
      <c r="C1402" s="98" t="s">
        <v>3533</v>
      </c>
      <c r="D1402" s="120" t="s">
        <v>3563</v>
      </c>
      <c r="E1402" s="98">
        <v>8.2015999999999999E-3</v>
      </c>
      <c r="F1402" s="120">
        <v>0</v>
      </c>
      <c r="G1402" s="121">
        <v>54730</v>
      </c>
      <c r="H1402" s="123">
        <v>8.2019999999999992E-3</v>
      </c>
      <c r="I1402" s="122">
        <v>448.89545999999996</v>
      </c>
      <c r="J1402" s="124">
        <f t="shared" si="21"/>
        <v>8.2015999999999991</v>
      </c>
      <c r="K1402" s="98" t="s">
        <v>5700</v>
      </c>
    </row>
    <row r="1403" spans="1:11" ht="15" customHeight="1" x14ac:dyDescent="0.2">
      <c r="A1403" s="120" t="s">
        <v>5701</v>
      </c>
      <c r="B1403" s="120" t="s">
        <v>2198</v>
      </c>
      <c r="C1403" s="98" t="s">
        <v>3532</v>
      </c>
      <c r="D1403" s="120" t="s">
        <v>3563</v>
      </c>
      <c r="E1403" s="98">
        <v>1.295E-2</v>
      </c>
      <c r="F1403" s="120">
        <v>0</v>
      </c>
      <c r="G1403" s="121">
        <v>0</v>
      </c>
      <c r="H1403" s="123">
        <v>1.295E-2</v>
      </c>
      <c r="I1403" s="122">
        <v>0</v>
      </c>
      <c r="J1403" s="124">
        <f t="shared" si="21"/>
        <v>12.95</v>
      </c>
    </row>
    <row r="1404" spans="1:11" ht="15" customHeight="1" x14ac:dyDescent="0.2">
      <c r="A1404" s="120" t="s">
        <v>5702</v>
      </c>
      <c r="B1404" s="120" t="s">
        <v>5703</v>
      </c>
      <c r="C1404" s="98" t="s">
        <v>3532</v>
      </c>
      <c r="D1404" s="120" t="s">
        <v>3563</v>
      </c>
      <c r="E1404" s="98">
        <v>5.5E-2</v>
      </c>
      <c r="F1404" s="120">
        <v>0</v>
      </c>
      <c r="G1404" s="121">
        <v>0</v>
      </c>
      <c r="H1404" s="123">
        <v>5.5E-2</v>
      </c>
      <c r="I1404" s="122">
        <v>0</v>
      </c>
      <c r="J1404" s="124">
        <f t="shared" si="21"/>
        <v>55</v>
      </c>
    </row>
    <row r="1405" spans="1:11" ht="15" customHeight="1" x14ac:dyDescent="0.2">
      <c r="A1405" s="120" t="s">
        <v>5704</v>
      </c>
      <c r="B1405" s="120" t="s">
        <v>5211</v>
      </c>
      <c r="C1405" s="98" t="s">
        <v>3533</v>
      </c>
      <c r="D1405" s="120" t="s">
        <v>3563</v>
      </c>
      <c r="E1405" s="98">
        <v>4.0899999999999999E-2</v>
      </c>
      <c r="F1405" s="120">
        <v>0</v>
      </c>
      <c r="G1405" s="121">
        <v>0</v>
      </c>
      <c r="H1405" s="123">
        <v>4.0899999999999999E-2</v>
      </c>
      <c r="I1405" s="122">
        <v>0</v>
      </c>
      <c r="J1405" s="124">
        <f t="shared" si="21"/>
        <v>40.9</v>
      </c>
    </row>
    <row r="1406" spans="1:11" ht="15" customHeight="1" x14ac:dyDescent="0.2">
      <c r="A1406" s="120" t="s">
        <v>5705</v>
      </c>
      <c r="B1406" s="120" t="s">
        <v>4783</v>
      </c>
      <c r="C1406" s="98" t="s">
        <v>3533</v>
      </c>
      <c r="D1406" s="120" t="s">
        <v>3563</v>
      </c>
      <c r="E1406" s="98">
        <v>4.8529999999999997E-2</v>
      </c>
      <c r="F1406" s="120">
        <v>0</v>
      </c>
      <c r="G1406" s="121">
        <v>0</v>
      </c>
      <c r="H1406" s="123">
        <v>3.0380000000000001E-2</v>
      </c>
      <c r="I1406" s="122">
        <v>0</v>
      </c>
      <c r="J1406" s="124">
        <f t="shared" si="21"/>
        <v>48.529999999999994</v>
      </c>
      <c r="K1406" s="98" t="s">
        <v>2387</v>
      </c>
    </row>
    <row r="1407" spans="1:11" ht="15" customHeight="1" x14ac:dyDescent="0.2">
      <c r="A1407" s="120" t="s">
        <v>5706</v>
      </c>
      <c r="B1407" s="120" t="s">
        <v>3532</v>
      </c>
      <c r="C1407" s="98" t="s">
        <v>3540</v>
      </c>
      <c r="D1407" s="120" t="s">
        <v>3563</v>
      </c>
      <c r="E1407" s="98">
        <v>9.9750000000000005E-2</v>
      </c>
      <c r="F1407" s="120">
        <v>0</v>
      </c>
      <c r="G1407" s="121">
        <v>0</v>
      </c>
      <c r="H1407" s="123">
        <v>9.9750000000000005E-2</v>
      </c>
      <c r="I1407" s="122">
        <v>0</v>
      </c>
      <c r="J1407" s="124">
        <f t="shared" si="21"/>
        <v>99.75</v>
      </c>
    </row>
    <row r="1408" spans="1:11" ht="15" customHeight="1" x14ac:dyDescent="0.2">
      <c r="A1408" s="120" t="s">
        <v>5707</v>
      </c>
      <c r="B1408" s="120" t="s">
        <v>2254</v>
      </c>
      <c r="C1408" s="98" t="s">
        <v>3532</v>
      </c>
      <c r="D1408" s="120" t="s">
        <v>3563</v>
      </c>
      <c r="E1408" s="98">
        <v>1.7000000000000001E-2</v>
      </c>
      <c r="F1408" s="120">
        <v>0</v>
      </c>
      <c r="G1408" s="121">
        <v>0</v>
      </c>
      <c r="H1408" s="123">
        <v>1.7000000000000001E-2</v>
      </c>
      <c r="I1408" s="122">
        <v>0</v>
      </c>
      <c r="J1408" s="124">
        <f t="shared" si="21"/>
        <v>17</v>
      </c>
    </row>
    <row r="1409" spans="1:11" ht="15" customHeight="1" x14ac:dyDescent="0.2">
      <c r="A1409" s="120" t="s">
        <v>5708</v>
      </c>
      <c r="B1409" s="120" t="s">
        <v>2254</v>
      </c>
      <c r="C1409" s="98" t="s">
        <v>3533</v>
      </c>
      <c r="D1409" s="120" t="s">
        <v>3563</v>
      </c>
      <c r="E1409" s="98">
        <v>1.7000000000000001E-2</v>
      </c>
      <c r="F1409" s="120">
        <v>0</v>
      </c>
      <c r="G1409" s="121">
        <v>16275</v>
      </c>
      <c r="H1409" s="123">
        <v>1.7000000000000001E-2</v>
      </c>
      <c r="I1409" s="122">
        <v>276.67500000000001</v>
      </c>
      <c r="J1409" s="124">
        <f t="shared" si="21"/>
        <v>17</v>
      </c>
      <c r="K1409" s="98" t="s">
        <v>5189</v>
      </c>
    </row>
    <row r="1410" spans="1:11" ht="15" customHeight="1" x14ac:dyDescent="0.2">
      <c r="A1410" s="120" t="s">
        <v>5709</v>
      </c>
      <c r="B1410" s="120" t="s">
        <v>4723</v>
      </c>
      <c r="C1410" s="98" t="s">
        <v>3533</v>
      </c>
      <c r="D1410" s="120" t="s">
        <v>3563</v>
      </c>
      <c r="E1410" s="98">
        <v>0.112</v>
      </c>
      <c r="F1410" s="120">
        <v>0</v>
      </c>
      <c r="G1410" s="121">
        <v>0</v>
      </c>
      <c r="H1410" s="123">
        <v>0.112</v>
      </c>
      <c r="I1410" s="122">
        <v>0</v>
      </c>
      <c r="J1410" s="124">
        <f t="shared" ref="J1410:J1473" si="22">IF(D1410="gm", E1410*1000,+E1410)</f>
        <v>112</v>
      </c>
      <c r="K1410" s="98" t="s">
        <v>5710</v>
      </c>
    </row>
    <row r="1411" spans="1:11" ht="15" customHeight="1" x14ac:dyDescent="0.2">
      <c r="A1411" s="120" t="s">
        <v>5711</v>
      </c>
      <c r="B1411" s="120" t="s">
        <v>4783</v>
      </c>
      <c r="C1411" s="98" t="s">
        <v>3533</v>
      </c>
      <c r="D1411" s="120" t="s">
        <v>3563</v>
      </c>
      <c r="E1411" s="98">
        <v>3.6380000000000002E-3</v>
      </c>
      <c r="F1411" s="120">
        <v>0</v>
      </c>
      <c r="G1411" s="121">
        <v>4652865</v>
      </c>
      <c r="H1411" s="123">
        <v>3.6380000000000002E-3</v>
      </c>
      <c r="I1411" s="122">
        <v>16927.122869999999</v>
      </c>
      <c r="J1411" s="124">
        <f t="shared" si="22"/>
        <v>3.6380000000000003</v>
      </c>
      <c r="K1411" s="98" t="s">
        <v>5712</v>
      </c>
    </row>
    <row r="1412" spans="1:11" ht="15" customHeight="1" x14ac:dyDescent="0.2">
      <c r="A1412" s="120" t="s">
        <v>5713</v>
      </c>
      <c r="B1412" s="120" t="s">
        <v>5714</v>
      </c>
      <c r="C1412" s="98" t="s">
        <v>3533</v>
      </c>
      <c r="D1412" s="120" t="s">
        <v>3563</v>
      </c>
      <c r="E1412" s="98">
        <v>4.509E-3</v>
      </c>
      <c r="F1412" s="120">
        <v>4000000</v>
      </c>
      <c r="G1412" s="121">
        <v>5257983</v>
      </c>
      <c r="H1412" s="123">
        <v>4.509E-3</v>
      </c>
      <c r="I1412" s="122">
        <v>23708.245347</v>
      </c>
      <c r="J1412" s="124">
        <f t="shared" si="22"/>
        <v>4.5090000000000003</v>
      </c>
    </row>
    <row r="1413" spans="1:11" ht="15" customHeight="1" x14ac:dyDescent="0.2">
      <c r="A1413" s="120" t="s">
        <v>5715</v>
      </c>
      <c r="B1413" s="120" t="s">
        <v>5716</v>
      </c>
      <c r="C1413" s="98" t="s">
        <v>3533</v>
      </c>
      <c r="D1413" s="120" t="s">
        <v>3563</v>
      </c>
      <c r="E1413" s="98">
        <v>5.6883999999999997E-3</v>
      </c>
      <c r="F1413" s="120">
        <v>0</v>
      </c>
      <c r="G1413" s="121">
        <v>1125630</v>
      </c>
      <c r="H1413" s="123">
        <v>6.5469999999999999E-3</v>
      </c>
      <c r="I1413" s="122">
        <v>7369.4996099999998</v>
      </c>
      <c r="J1413" s="124">
        <f t="shared" si="22"/>
        <v>5.6883999999999997</v>
      </c>
      <c r="K1413" s="98" t="s">
        <v>5717</v>
      </c>
    </row>
    <row r="1414" spans="1:11" ht="15" customHeight="1" x14ac:dyDescent="0.2">
      <c r="A1414" s="120" t="s">
        <v>5718</v>
      </c>
      <c r="B1414" s="120" t="s">
        <v>2254</v>
      </c>
      <c r="C1414" s="98" t="s">
        <v>3533</v>
      </c>
      <c r="D1414" s="120" t="s">
        <v>3563</v>
      </c>
      <c r="E1414" s="98">
        <v>1.4E-2</v>
      </c>
      <c r="F1414" s="120">
        <v>0</v>
      </c>
      <c r="G1414" s="121">
        <v>14318</v>
      </c>
      <c r="H1414" s="123">
        <v>1.4E-2</v>
      </c>
      <c r="I1414" s="122">
        <v>200.452</v>
      </c>
      <c r="J1414" s="124">
        <f t="shared" si="22"/>
        <v>14</v>
      </c>
      <c r="K1414" s="98" t="s">
        <v>5719</v>
      </c>
    </row>
    <row r="1415" spans="1:11" ht="15" customHeight="1" x14ac:dyDescent="0.2">
      <c r="A1415" s="120" t="s">
        <v>5720</v>
      </c>
      <c r="B1415" s="120" t="s">
        <v>5221</v>
      </c>
      <c r="C1415" s="98" t="s">
        <v>3533</v>
      </c>
      <c r="D1415" s="120" t="s">
        <v>3563</v>
      </c>
      <c r="E1415" s="98">
        <v>0.05</v>
      </c>
      <c r="F1415" s="120">
        <v>0</v>
      </c>
      <c r="G1415" s="121">
        <v>6680</v>
      </c>
      <c r="H1415" s="123">
        <v>0.05</v>
      </c>
      <c r="I1415" s="122">
        <v>334</v>
      </c>
      <c r="J1415" s="124">
        <f t="shared" si="22"/>
        <v>50</v>
      </c>
      <c r="K1415" s="98" t="s">
        <v>5721</v>
      </c>
    </row>
    <row r="1416" spans="1:11" ht="15" customHeight="1" x14ac:dyDescent="0.2">
      <c r="A1416" s="120" t="s">
        <v>5722</v>
      </c>
      <c r="B1416" s="120" t="s">
        <v>5082</v>
      </c>
      <c r="C1416" s="98" t="s">
        <v>3533</v>
      </c>
      <c r="D1416" s="120" t="s">
        <v>3563</v>
      </c>
      <c r="E1416" s="98">
        <v>0.39500000000000002</v>
      </c>
      <c r="F1416" s="120">
        <v>0</v>
      </c>
      <c r="G1416" s="121">
        <v>2615</v>
      </c>
      <c r="H1416" s="123">
        <v>0.39500000000000002</v>
      </c>
      <c r="I1416" s="122">
        <v>1032.925</v>
      </c>
      <c r="J1416" s="124">
        <f t="shared" si="22"/>
        <v>395</v>
      </c>
      <c r="K1416" s="98" t="s">
        <v>5723</v>
      </c>
    </row>
    <row r="1417" spans="1:11" ht="15" customHeight="1" x14ac:dyDescent="0.2">
      <c r="A1417" s="120" t="s">
        <v>5724</v>
      </c>
      <c r="B1417" s="120" t="s">
        <v>5120</v>
      </c>
      <c r="C1417" s="98" t="s">
        <v>3532</v>
      </c>
      <c r="D1417" s="120" t="s">
        <v>3563</v>
      </c>
      <c r="E1417" s="98">
        <v>5.2999999999999999E-2</v>
      </c>
      <c r="F1417" s="120">
        <v>0</v>
      </c>
      <c r="G1417" s="121">
        <v>0</v>
      </c>
      <c r="H1417" s="123">
        <v>5.2999999999999999E-2</v>
      </c>
      <c r="I1417" s="122">
        <v>0</v>
      </c>
      <c r="J1417" s="124">
        <f t="shared" si="22"/>
        <v>53</v>
      </c>
    </row>
    <row r="1418" spans="1:11" ht="15" customHeight="1" x14ac:dyDescent="0.2">
      <c r="A1418" s="120" t="s">
        <v>5725</v>
      </c>
      <c r="B1418" s="120" t="s">
        <v>5120</v>
      </c>
      <c r="C1418" s="98" t="s">
        <v>3532</v>
      </c>
      <c r="D1418" s="120" t="s">
        <v>3563</v>
      </c>
      <c r="E1418" s="98">
        <v>5.1999999999999998E-2</v>
      </c>
      <c r="F1418" s="120">
        <v>0</v>
      </c>
      <c r="G1418" s="121">
        <v>0</v>
      </c>
      <c r="H1418" s="123">
        <v>5.1999999999999998E-2</v>
      </c>
      <c r="I1418" s="122">
        <v>0</v>
      </c>
      <c r="J1418" s="124">
        <f t="shared" si="22"/>
        <v>52</v>
      </c>
    </row>
    <row r="1419" spans="1:11" ht="15" customHeight="1" x14ac:dyDescent="0.2">
      <c r="A1419" s="120" t="s">
        <v>5726</v>
      </c>
      <c r="B1419" s="120" t="s">
        <v>5727</v>
      </c>
      <c r="C1419" s="98" t="s">
        <v>3532</v>
      </c>
      <c r="D1419" s="120" t="s">
        <v>3563</v>
      </c>
      <c r="E1419" s="98">
        <v>1.6500000000000001E-2</v>
      </c>
      <c r="F1419" s="120">
        <v>0</v>
      </c>
      <c r="G1419" s="121">
        <v>0</v>
      </c>
      <c r="H1419" s="123">
        <v>1.6500000000000001E-2</v>
      </c>
      <c r="I1419" s="122">
        <v>0</v>
      </c>
      <c r="J1419" s="124">
        <f t="shared" si="22"/>
        <v>16.5</v>
      </c>
    </row>
    <row r="1420" spans="1:11" ht="15" customHeight="1" x14ac:dyDescent="0.2">
      <c r="A1420" s="120" t="s">
        <v>5728</v>
      </c>
      <c r="B1420" s="120" t="s">
        <v>5686</v>
      </c>
      <c r="C1420" s="98" t="s">
        <v>3532</v>
      </c>
      <c r="D1420" s="120" t="s">
        <v>3563</v>
      </c>
      <c r="E1420" s="98">
        <v>5</v>
      </c>
      <c r="F1420" s="120">
        <v>0</v>
      </c>
      <c r="G1420" s="121">
        <v>0</v>
      </c>
      <c r="H1420" s="123">
        <v>5</v>
      </c>
      <c r="I1420" s="122">
        <v>0</v>
      </c>
      <c r="J1420" s="124">
        <f t="shared" si="22"/>
        <v>5000</v>
      </c>
    </row>
    <row r="1421" spans="1:11" ht="15" customHeight="1" x14ac:dyDescent="0.2">
      <c r="A1421" s="120" t="s">
        <v>5729</v>
      </c>
      <c r="B1421" s="120" t="s">
        <v>5221</v>
      </c>
      <c r="C1421" s="98" t="s">
        <v>3533</v>
      </c>
      <c r="D1421" s="120" t="s">
        <v>3563</v>
      </c>
      <c r="E1421" s="98">
        <v>4.1000000000000002E-2</v>
      </c>
      <c r="F1421" s="120">
        <v>0</v>
      </c>
      <c r="G1421" s="121">
        <v>575</v>
      </c>
      <c r="H1421" s="123">
        <v>4.1000000000000002E-2</v>
      </c>
      <c r="I1421" s="122">
        <v>23.574999999999999</v>
      </c>
      <c r="J1421" s="124">
        <f t="shared" si="22"/>
        <v>41</v>
      </c>
      <c r="K1421" s="98" t="s">
        <v>5730</v>
      </c>
    </row>
    <row r="1422" spans="1:11" ht="15" customHeight="1" x14ac:dyDescent="0.2">
      <c r="A1422" s="120" t="s">
        <v>5731</v>
      </c>
      <c r="B1422" s="120" t="s">
        <v>5732</v>
      </c>
      <c r="C1422" s="98" t="s">
        <v>3533</v>
      </c>
      <c r="D1422" s="120" t="s">
        <v>3563</v>
      </c>
      <c r="E1422" s="98">
        <v>0.30099999999999999</v>
      </c>
      <c r="F1422" s="120">
        <v>0</v>
      </c>
      <c r="G1422" s="121">
        <v>545</v>
      </c>
      <c r="H1422" s="123">
        <v>0.30099999999999999</v>
      </c>
      <c r="I1422" s="122">
        <v>164.04499999999999</v>
      </c>
      <c r="J1422" s="124">
        <f t="shared" si="22"/>
        <v>301</v>
      </c>
      <c r="K1422" s="98" t="s">
        <v>2567</v>
      </c>
    </row>
    <row r="1423" spans="1:11" ht="15" customHeight="1" x14ac:dyDescent="0.2">
      <c r="A1423" s="120" t="s">
        <v>5733</v>
      </c>
      <c r="B1423" s="120" t="s">
        <v>2254</v>
      </c>
      <c r="C1423" s="98" t="s">
        <v>3533</v>
      </c>
      <c r="D1423" s="120" t="s">
        <v>3563</v>
      </c>
      <c r="E1423" s="98">
        <v>0.02</v>
      </c>
      <c r="F1423" s="120">
        <v>0</v>
      </c>
      <c r="G1423" s="121">
        <v>3000</v>
      </c>
      <c r="H1423" s="123">
        <v>0.02</v>
      </c>
      <c r="I1423" s="122">
        <v>60</v>
      </c>
      <c r="J1423" s="124">
        <f t="shared" si="22"/>
        <v>20</v>
      </c>
      <c r="K1423" s="98" t="s">
        <v>5734</v>
      </c>
    </row>
    <row r="1424" spans="1:11" ht="15" customHeight="1" x14ac:dyDescent="0.2">
      <c r="A1424" s="120" t="s">
        <v>5735</v>
      </c>
      <c r="B1424" s="120" t="s">
        <v>5736</v>
      </c>
      <c r="C1424" s="98" t="s">
        <v>3533</v>
      </c>
      <c r="D1424" s="120" t="s">
        <v>3563</v>
      </c>
      <c r="E1424" s="98">
        <v>2.7775999999999999E-2</v>
      </c>
      <c r="F1424" s="120">
        <v>0</v>
      </c>
      <c r="G1424" s="121">
        <v>0</v>
      </c>
      <c r="H1424" s="123">
        <v>2.7775999999999999E-2</v>
      </c>
      <c r="I1424" s="122">
        <v>0</v>
      </c>
      <c r="J1424" s="124">
        <f t="shared" si="22"/>
        <v>27.776</v>
      </c>
    </row>
    <row r="1425" spans="1:11" ht="15" customHeight="1" x14ac:dyDescent="0.2">
      <c r="A1425" s="120" t="s">
        <v>5737</v>
      </c>
      <c r="B1425" s="120" t="s">
        <v>5738</v>
      </c>
      <c r="C1425" s="98" t="s">
        <v>3533</v>
      </c>
      <c r="D1425" s="120" t="s">
        <v>3563</v>
      </c>
      <c r="E1425" s="98">
        <v>2.6914214285714302E-2</v>
      </c>
      <c r="F1425" s="120">
        <v>0</v>
      </c>
      <c r="G1425" s="121">
        <v>20270</v>
      </c>
      <c r="H1425" s="123">
        <v>2.6914E-2</v>
      </c>
      <c r="I1425" s="122">
        <v>545.54678000000001</v>
      </c>
      <c r="J1425" s="124">
        <f t="shared" si="22"/>
        <v>26.914214285714301</v>
      </c>
      <c r="K1425" s="98" t="s">
        <v>5739</v>
      </c>
    </row>
    <row r="1426" spans="1:11" ht="15" customHeight="1" x14ac:dyDescent="0.2">
      <c r="A1426" s="120" t="s">
        <v>5740</v>
      </c>
      <c r="B1426" s="120" t="s">
        <v>5182</v>
      </c>
      <c r="C1426" s="98" t="s">
        <v>3532</v>
      </c>
      <c r="D1426" s="120" t="s">
        <v>3563</v>
      </c>
      <c r="E1426" s="98">
        <v>2.2499999999999999E-2</v>
      </c>
      <c r="F1426" s="120">
        <v>0</v>
      </c>
      <c r="G1426" s="121">
        <v>0</v>
      </c>
      <c r="H1426" s="123">
        <v>2.2499999999999999E-2</v>
      </c>
      <c r="I1426" s="122">
        <v>0</v>
      </c>
      <c r="J1426" s="124">
        <f t="shared" si="22"/>
        <v>22.5</v>
      </c>
    </row>
    <row r="1427" spans="1:11" ht="15" customHeight="1" x14ac:dyDescent="0.2">
      <c r="A1427" s="120" t="s">
        <v>5741</v>
      </c>
      <c r="B1427" s="120" t="s">
        <v>3532</v>
      </c>
      <c r="C1427" s="98" t="s">
        <v>3532</v>
      </c>
      <c r="D1427" s="120" t="s">
        <v>3563</v>
      </c>
      <c r="E1427" s="98">
        <v>1.421E-2</v>
      </c>
      <c r="F1427" s="120">
        <v>0</v>
      </c>
      <c r="G1427" s="121">
        <v>0</v>
      </c>
      <c r="H1427" s="123">
        <v>1.421E-2</v>
      </c>
      <c r="I1427" s="122">
        <v>0</v>
      </c>
      <c r="J1427" s="124">
        <f t="shared" si="22"/>
        <v>14.21</v>
      </c>
    </row>
    <row r="1428" spans="1:11" ht="15" customHeight="1" x14ac:dyDescent="0.2">
      <c r="A1428" s="120" t="s">
        <v>5742</v>
      </c>
      <c r="B1428" s="120" t="s">
        <v>3532</v>
      </c>
      <c r="C1428" s="98" t="s">
        <v>3532</v>
      </c>
      <c r="D1428" s="120" t="s">
        <v>3563</v>
      </c>
      <c r="E1428" s="98">
        <v>1.7469999999999999E-2</v>
      </c>
      <c r="F1428" s="120">
        <v>0</v>
      </c>
      <c r="G1428" s="121">
        <v>0</v>
      </c>
      <c r="H1428" s="123">
        <v>1.7469999999999999E-2</v>
      </c>
      <c r="I1428" s="122">
        <v>0</v>
      </c>
      <c r="J1428" s="124">
        <f t="shared" si="22"/>
        <v>17.47</v>
      </c>
    </row>
    <row r="1429" spans="1:11" ht="15" customHeight="1" x14ac:dyDescent="0.2">
      <c r="A1429" s="120" t="s">
        <v>5743</v>
      </c>
      <c r="B1429" s="120" t="s">
        <v>2184</v>
      </c>
      <c r="C1429" s="98" t="s">
        <v>3540</v>
      </c>
      <c r="D1429" s="120" t="s">
        <v>3563</v>
      </c>
      <c r="E1429" s="98">
        <v>2.3E-2</v>
      </c>
      <c r="F1429" s="120">
        <v>0</v>
      </c>
      <c r="G1429" s="121">
        <v>13216</v>
      </c>
      <c r="H1429" s="123">
        <v>2.3E-2</v>
      </c>
      <c r="I1429" s="122">
        <v>303.96800000000002</v>
      </c>
      <c r="J1429" s="124">
        <f t="shared" si="22"/>
        <v>23</v>
      </c>
    </row>
    <row r="1430" spans="1:11" ht="15" customHeight="1" x14ac:dyDescent="0.2">
      <c r="A1430" s="120" t="s">
        <v>5744</v>
      </c>
      <c r="B1430" s="120" t="s">
        <v>2254</v>
      </c>
      <c r="C1430" s="98" t="s">
        <v>3533</v>
      </c>
      <c r="D1430" s="120" t="s">
        <v>3563</v>
      </c>
      <c r="E1430" s="98">
        <v>9.1999999999999998E-2</v>
      </c>
      <c r="F1430" s="120">
        <v>0</v>
      </c>
      <c r="G1430" s="121">
        <v>19435</v>
      </c>
      <c r="H1430" s="123">
        <v>9.1999999999999998E-2</v>
      </c>
      <c r="I1430" s="122">
        <v>1788.02</v>
      </c>
      <c r="J1430" s="124">
        <f t="shared" si="22"/>
        <v>92</v>
      </c>
      <c r="K1430" s="98" t="s">
        <v>5745</v>
      </c>
    </row>
    <row r="1431" spans="1:11" ht="15" customHeight="1" x14ac:dyDescent="0.2">
      <c r="A1431" s="120" t="s">
        <v>2547</v>
      </c>
      <c r="B1431" s="120" t="s">
        <v>2254</v>
      </c>
      <c r="C1431" s="98" t="s">
        <v>3533</v>
      </c>
      <c r="D1431" s="120" t="s">
        <v>3563</v>
      </c>
      <c r="E1431" s="98">
        <v>0.22500000000000001</v>
      </c>
      <c r="F1431" s="120">
        <v>0</v>
      </c>
      <c r="G1431" s="121">
        <v>1665</v>
      </c>
      <c r="H1431" s="123">
        <v>0.22500000000000001</v>
      </c>
      <c r="I1431" s="122">
        <v>374.625</v>
      </c>
      <c r="J1431" s="124">
        <f t="shared" si="22"/>
        <v>225</v>
      </c>
      <c r="K1431" s="98" t="s">
        <v>5746</v>
      </c>
    </row>
    <row r="1432" spans="1:11" ht="15" customHeight="1" x14ac:dyDescent="0.2">
      <c r="A1432" s="120" t="s">
        <v>5747</v>
      </c>
      <c r="B1432" s="120" t="s">
        <v>2263</v>
      </c>
      <c r="C1432" s="98" t="s">
        <v>3540</v>
      </c>
      <c r="D1432" s="120" t="s">
        <v>3563</v>
      </c>
      <c r="E1432" s="98">
        <v>1.4749999999999999E-2</v>
      </c>
      <c r="F1432" s="120">
        <v>0</v>
      </c>
      <c r="G1432" s="121">
        <v>0</v>
      </c>
      <c r="H1432" s="123">
        <v>1.4749999999999999E-2</v>
      </c>
      <c r="I1432" s="122">
        <v>0</v>
      </c>
      <c r="J1432" s="124">
        <f t="shared" si="22"/>
        <v>14.75</v>
      </c>
    </row>
    <row r="1433" spans="1:11" ht="15" customHeight="1" x14ac:dyDescent="0.2">
      <c r="A1433" s="120" t="s">
        <v>5748</v>
      </c>
      <c r="B1433" s="120" t="s">
        <v>5749</v>
      </c>
      <c r="C1433" s="98" t="s">
        <v>3533</v>
      </c>
      <c r="D1433" s="120" t="s">
        <v>3563</v>
      </c>
      <c r="E1433" s="98">
        <v>8.8999999999999999E-3</v>
      </c>
      <c r="F1433" s="120">
        <v>0</v>
      </c>
      <c r="G1433" s="121">
        <v>18225</v>
      </c>
      <c r="H1433" s="123">
        <v>8.8999999999999999E-3</v>
      </c>
      <c r="I1433" s="122">
        <v>162.20249999999999</v>
      </c>
      <c r="J1433" s="124">
        <f t="shared" si="22"/>
        <v>8.9</v>
      </c>
    </row>
    <row r="1434" spans="1:11" ht="15" customHeight="1" x14ac:dyDescent="0.2">
      <c r="A1434" s="120" t="s">
        <v>5750</v>
      </c>
      <c r="B1434" s="120" t="s">
        <v>4688</v>
      </c>
      <c r="C1434" s="98" t="s">
        <v>3532</v>
      </c>
      <c r="D1434" s="120" t="s">
        <v>3563</v>
      </c>
      <c r="E1434" s="98">
        <v>0</v>
      </c>
      <c r="F1434" s="120">
        <v>0</v>
      </c>
      <c r="G1434" s="121">
        <v>0</v>
      </c>
      <c r="H1434" s="123">
        <v>0</v>
      </c>
      <c r="I1434" s="122">
        <v>0</v>
      </c>
      <c r="J1434" s="124">
        <f t="shared" si="22"/>
        <v>0</v>
      </c>
    </row>
    <row r="1435" spans="1:11" ht="15" customHeight="1" x14ac:dyDescent="0.2">
      <c r="A1435" s="120" t="s">
        <v>5751</v>
      </c>
      <c r="B1435" s="120" t="s">
        <v>3532</v>
      </c>
      <c r="C1435" s="98" t="s">
        <v>3533</v>
      </c>
      <c r="D1435" s="120" t="s">
        <v>3563</v>
      </c>
      <c r="E1435" s="98">
        <v>2.1499999999999998E-2</v>
      </c>
      <c r="F1435" s="120">
        <v>0</v>
      </c>
      <c r="G1435" s="121">
        <v>0</v>
      </c>
      <c r="H1435" s="123">
        <v>2.1499999999999998E-2</v>
      </c>
      <c r="I1435" s="122">
        <v>0</v>
      </c>
      <c r="J1435" s="124">
        <f t="shared" si="22"/>
        <v>21.5</v>
      </c>
    </row>
    <row r="1436" spans="1:11" ht="15" customHeight="1" x14ac:dyDescent="0.2">
      <c r="A1436" s="120" t="s">
        <v>5752</v>
      </c>
      <c r="B1436" s="120" t="s">
        <v>5120</v>
      </c>
      <c r="C1436" s="98" t="s">
        <v>3532</v>
      </c>
      <c r="D1436" s="120" t="s">
        <v>3563</v>
      </c>
      <c r="E1436" s="98">
        <v>1.55E-2</v>
      </c>
      <c r="F1436" s="120">
        <v>0</v>
      </c>
      <c r="G1436" s="121">
        <v>27665</v>
      </c>
      <c r="H1436" s="123">
        <v>1.4855E-2</v>
      </c>
      <c r="I1436" s="122">
        <v>410.96357499999999</v>
      </c>
      <c r="J1436" s="124">
        <f t="shared" si="22"/>
        <v>15.5</v>
      </c>
    </row>
    <row r="1437" spans="1:11" ht="15" customHeight="1" x14ac:dyDescent="0.2">
      <c r="A1437" s="120" t="s">
        <v>5753</v>
      </c>
      <c r="B1437" s="120" t="s">
        <v>5120</v>
      </c>
      <c r="C1437" s="98" t="s">
        <v>3540</v>
      </c>
      <c r="D1437" s="120" t="s">
        <v>3563</v>
      </c>
      <c r="E1437" s="98">
        <v>1.6899999999999998E-2</v>
      </c>
      <c r="F1437" s="120">
        <v>0</v>
      </c>
      <c r="G1437" s="121">
        <v>40729</v>
      </c>
      <c r="H1437" s="123">
        <v>1.2567999999999999E-2</v>
      </c>
      <c r="I1437" s="122">
        <v>511.88207199999999</v>
      </c>
      <c r="J1437" s="124">
        <f t="shared" si="22"/>
        <v>16.899999999999999</v>
      </c>
    </row>
    <row r="1438" spans="1:11" ht="15" customHeight="1" x14ac:dyDescent="0.2">
      <c r="A1438" s="120" t="s">
        <v>5754</v>
      </c>
      <c r="B1438" s="120" t="s">
        <v>5755</v>
      </c>
      <c r="C1438" s="98" t="s">
        <v>3533</v>
      </c>
      <c r="D1438" s="120" t="s">
        <v>3563</v>
      </c>
      <c r="E1438" s="98">
        <v>4.7699999999999999E-3</v>
      </c>
      <c r="F1438" s="120">
        <v>0</v>
      </c>
      <c r="G1438" s="121">
        <v>155695</v>
      </c>
      <c r="H1438" s="123">
        <v>4.7699999999999999E-3</v>
      </c>
      <c r="I1438" s="122">
        <v>742.66515000000004</v>
      </c>
      <c r="J1438" s="124">
        <f t="shared" si="22"/>
        <v>4.7699999999999996</v>
      </c>
      <c r="K1438" s="98" t="s">
        <v>5756</v>
      </c>
    </row>
    <row r="1439" spans="1:11" ht="15" customHeight="1" x14ac:dyDescent="0.2">
      <c r="A1439" s="120" t="s">
        <v>5757</v>
      </c>
      <c r="B1439" s="120" t="s">
        <v>2100</v>
      </c>
      <c r="C1439" s="98" t="s">
        <v>3533</v>
      </c>
      <c r="D1439" s="120" t="s">
        <v>3563</v>
      </c>
      <c r="E1439" s="98">
        <v>0.31628000000000001</v>
      </c>
      <c r="F1439" s="120">
        <v>0</v>
      </c>
      <c r="G1439" s="121">
        <v>947</v>
      </c>
      <c r="H1439" s="123">
        <v>0.31628000000000001</v>
      </c>
      <c r="I1439" s="122">
        <v>299.51715999999999</v>
      </c>
      <c r="J1439" s="124">
        <f t="shared" si="22"/>
        <v>316.28000000000003</v>
      </c>
    </row>
    <row r="1440" spans="1:11" ht="15" customHeight="1" x14ac:dyDescent="0.2">
      <c r="A1440" s="120" t="s">
        <v>5758</v>
      </c>
      <c r="B1440" s="120" t="s">
        <v>5120</v>
      </c>
      <c r="C1440" s="98" t="s">
        <v>3532</v>
      </c>
      <c r="D1440" s="120" t="s">
        <v>3563</v>
      </c>
      <c r="E1440" s="98">
        <v>8.5000000000000006E-3</v>
      </c>
      <c r="F1440" s="120">
        <v>0</v>
      </c>
      <c r="G1440" s="121">
        <v>0</v>
      </c>
      <c r="H1440" s="123">
        <v>8.5000000000000006E-3</v>
      </c>
      <c r="I1440" s="122">
        <v>0</v>
      </c>
      <c r="J1440" s="124">
        <f t="shared" si="22"/>
        <v>8.5</v>
      </c>
    </row>
    <row r="1441" spans="1:11" ht="15" customHeight="1" x14ac:dyDescent="0.2">
      <c r="A1441" s="120" t="s">
        <v>5759</v>
      </c>
      <c r="B1441" s="120" t="s">
        <v>5120</v>
      </c>
      <c r="C1441" s="98" t="s">
        <v>3533</v>
      </c>
      <c r="D1441" s="120" t="s">
        <v>3563</v>
      </c>
      <c r="E1441" s="98">
        <v>9.2999999999999992E-3</v>
      </c>
      <c r="F1441" s="120">
        <v>0</v>
      </c>
      <c r="G1441" s="121">
        <v>12920</v>
      </c>
      <c r="H1441" s="123">
        <v>9.2999999999999992E-3</v>
      </c>
      <c r="I1441" s="122">
        <v>120.15599999999999</v>
      </c>
      <c r="J1441" s="124">
        <f t="shared" si="22"/>
        <v>9.2999999999999989</v>
      </c>
      <c r="K1441" s="98" t="s">
        <v>5760</v>
      </c>
    </row>
    <row r="1442" spans="1:11" ht="15" customHeight="1" x14ac:dyDescent="0.2">
      <c r="A1442" s="120" t="s">
        <v>5761</v>
      </c>
      <c r="B1442" s="120" t="s">
        <v>2146</v>
      </c>
      <c r="C1442" s="98" t="s">
        <v>3533</v>
      </c>
      <c r="D1442" s="120" t="s">
        <v>3563</v>
      </c>
      <c r="E1442" s="98">
        <v>2.2499999999999999E-2</v>
      </c>
      <c r="F1442" s="120">
        <v>0</v>
      </c>
      <c r="G1442" s="121">
        <v>23301</v>
      </c>
      <c r="H1442" s="123">
        <v>2.2499999999999999E-2</v>
      </c>
      <c r="I1442" s="122">
        <v>524.27250000000004</v>
      </c>
      <c r="J1442" s="124">
        <f t="shared" si="22"/>
        <v>22.5</v>
      </c>
      <c r="K1442" s="98" t="s">
        <v>2387</v>
      </c>
    </row>
    <row r="1443" spans="1:11" ht="15" customHeight="1" x14ac:dyDescent="0.2">
      <c r="A1443" s="120" t="s">
        <v>5762</v>
      </c>
      <c r="B1443" s="120" t="s">
        <v>2215</v>
      </c>
      <c r="C1443" s="98" t="s">
        <v>3533</v>
      </c>
      <c r="D1443" s="120" t="s">
        <v>3563</v>
      </c>
      <c r="E1443" s="98">
        <v>0.06</v>
      </c>
      <c r="F1443" s="120">
        <v>0</v>
      </c>
      <c r="G1443" s="121">
        <v>0</v>
      </c>
      <c r="H1443" s="123">
        <v>0.06</v>
      </c>
      <c r="I1443" s="122">
        <v>0</v>
      </c>
      <c r="J1443" s="124">
        <f t="shared" si="22"/>
        <v>60</v>
      </c>
      <c r="K1443" s="98" t="s">
        <v>2466</v>
      </c>
    </row>
    <row r="1444" spans="1:11" ht="15" customHeight="1" x14ac:dyDescent="0.2">
      <c r="A1444" s="120" t="s">
        <v>5763</v>
      </c>
      <c r="B1444" s="120" t="s">
        <v>5764</v>
      </c>
      <c r="C1444" s="98" t="s">
        <v>3533</v>
      </c>
      <c r="D1444" s="120" t="s">
        <v>3563</v>
      </c>
      <c r="E1444" s="98">
        <v>1.15E-2</v>
      </c>
      <c r="F1444" s="120">
        <v>0</v>
      </c>
      <c r="G1444" s="121">
        <v>31710</v>
      </c>
      <c r="H1444" s="123">
        <v>1.15E-2</v>
      </c>
      <c r="I1444" s="122">
        <v>364.66500000000002</v>
      </c>
      <c r="J1444" s="124">
        <f t="shared" si="22"/>
        <v>11.5</v>
      </c>
      <c r="K1444" s="98" t="s">
        <v>5189</v>
      </c>
    </row>
    <row r="1445" spans="1:11" ht="15" customHeight="1" x14ac:dyDescent="0.2">
      <c r="A1445" s="120" t="s">
        <v>5765</v>
      </c>
      <c r="B1445" s="120" t="s">
        <v>4802</v>
      </c>
      <c r="C1445" s="98" t="s">
        <v>3533</v>
      </c>
      <c r="D1445" s="120" t="s">
        <v>3563</v>
      </c>
      <c r="E1445" s="98">
        <v>2.1935E-2</v>
      </c>
      <c r="F1445" s="120">
        <v>0</v>
      </c>
      <c r="G1445" s="121">
        <v>0</v>
      </c>
      <c r="H1445" s="123">
        <v>2.1935E-2</v>
      </c>
      <c r="I1445" s="122">
        <v>0</v>
      </c>
      <c r="J1445" s="124">
        <f t="shared" si="22"/>
        <v>21.934999999999999</v>
      </c>
      <c r="K1445" s="98" t="s">
        <v>5766</v>
      </c>
    </row>
    <row r="1446" spans="1:11" ht="15" customHeight="1" x14ac:dyDescent="0.2">
      <c r="A1446" s="120" t="s">
        <v>5767</v>
      </c>
      <c r="B1446" s="120" t="s">
        <v>5768</v>
      </c>
      <c r="C1446" s="98" t="s">
        <v>3533</v>
      </c>
      <c r="D1446" s="120" t="s">
        <v>3563</v>
      </c>
      <c r="E1446" s="98">
        <v>1.9E-2</v>
      </c>
      <c r="F1446" s="120">
        <v>0</v>
      </c>
      <c r="G1446" s="121">
        <v>15635</v>
      </c>
      <c r="H1446" s="123">
        <v>1.9E-2</v>
      </c>
      <c r="I1446" s="122">
        <v>297.065</v>
      </c>
      <c r="J1446" s="124">
        <f t="shared" si="22"/>
        <v>19</v>
      </c>
    </row>
    <row r="1447" spans="1:11" ht="15" customHeight="1" x14ac:dyDescent="0.2">
      <c r="A1447" s="120" t="s">
        <v>5769</v>
      </c>
      <c r="B1447" s="120" t="s">
        <v>2254</v>
      </c>
      <c r="C1447" s="98" t="s">
        <v>3532</v>
      </c>
      <c r="D1447" s="120" t="s">
        <v>3563</v>
      </c>
      <c r="E1447" s="98">
        <v>0.01</v>
      </c>
      <c r="F1447" s="120">
        <v>0</v>
      </c>
      <c r="G1447" s="121">
        <v>0</v>
      </c>
      <c r="H1447" s="123">
        <v>0.01</v>
      </c>
      <c r="I1447" s="122">
        <v>0</v>
      </c>
      <c r="J1447" s="124">
        <f t="shared" si="22"/>
        <v>10</v>
      </c>
    </row>
    <row r="1448" spans="1:11" ht="15" customHeight="1" x14ac:dyDescent="0.2">
      <c r="A1448" s="120" t="s">
        <v>5770</v>
      </c>
      <c r="B1448" s="120" t="s">
        <v>2254</v>
      </c>
      <c r="C1448" s="98" t="s">
        <v>3533</v>
      </c>
      <c r="D1448" s="120" t="s">
        <v>3563</v>
      </c>
      <c r="E1448" s="98">
        <v>1.2999999999999999E-2</v>
      </c>
      <c r="F1448" s="120">
        <v>0</v>
      </c>
      <c r="G1448" s="121">
        <v>0</v>
      </c>
      <c r="H1448" s="123">
        <v>1.2999999999999999E-2</v>
      </c>
      <c r="I1448" s="122">
        <v>0</v>
      </c>
      <c r="J1448" s="124">
        <f t="shared" si="22"/>
        <v>13</v>
      </c>
      <c r="K1448" s="98" t="s">
        <v>5771</v>
      </c>
    </row>
    <row r="1449" spans="1:11" ht="15" customHeight="1" x14ac:dyDescent="0.2">
      <c r="A1449" s="120" t="s">
        <v>5772</v>
      </c>
      <c r="B1449" s="120" t="s">
        <v>2254</v>
      </c>
      <c r="C1449" s="98" t="s">
        <v>3540</v>
      </c>
      <c r="D1449" s="120" t="s">
        <v>3563</v>
      </c>
      <c r="E1449" s="98">
        <v>1.4999999999999999E-2</v>
      </c>
      <c r="F1449" s="120">
        <v>0</v>
      </c>
      <c r="G1449" s="121">
        <v>0</v>
      </c>
      <c r="H1449" s="123">
        <v>1.4999999999999999E-2</v>
      </c>
      <c r="I1449" s="122">
        <v>0</v>
      </c>
      <c r="J1449" s="124">
        <f t="shared" si="22"/>
        <v>15</v>
      </c>
    </row>
    <row r="1450" spans="1:11" ht="15" customHeight="1" x14ac:dyDescent="0.2">
      <c r="A1450" s="120" t="s">
        <v>5773</v>
      </c>
      <c r="B1450" s="120" t="s">
        <v>5774</v>
      </c>
      <c r="C1450" s="98" t="s">
        <v>3533</v>
      </c>
      <c r="D1450" s="120" t="s">
        <v>3563</v>
      </c>
      <c r="E1450" s="98">
        <v>2.0701000000000001E-2</v>
      </c>
      <c r="F1450" s="120">
        <v>0</v>
      </c>
      <c r="G1450" s="121">
        <v>1235</v>
      </c>
      <c r="H1450" s="123">
        <v>2.0701000000000001E-2</v>
      </c>
      <c r="I1450" s="122">
        <v>25.565735</v>
      </c>
      <c r="J1450" s="124">
        <f t="shared" si="22"/>
        <v>20.701000000000001</v>
      </c>
      <c r="K1450" s="98" t="s">
        <v>5775</v>
      </c>
    </row>
    <row r="1451" spans="1:11" ht="15" customHeight="1" x14ac:dyDescent="0.2">
      <c r="A1451" s="120" t="s">
        <v>5776</v>
      </c>
      <c r="B1451" s="120" t="s">
        <v>2184</v>
      </c>
      <c r="C1451" s="98" t="s">
        <v>3533</v>
      </c>
      <c r="D1451" s="120" t="s">
        <v>3563</v>
      </c>
      <c r="E1451" s="98">
        <v>5.5E-2</v>
      </c>
      <c r="F1451" s="120">
        <v>0</v>
      </c>
      <c r="G1451" s="121">
        <v>15470</v>
      </c>
      <c r="H1451" s="123">
        <v>5.5E-2</v>
      </c>
      <c r="I1451" s="122">
        <v>850.85</v>
      </c>
      <c r="J1451" s="124">
        <f t="shared" si="22"/>
        <v>55</v>
      </c>
      <c r="K1451" s="98" t="s">
        <v>2379</v>
      </c>
    </row>
    <row r="1452" spans="1:11" ht="15" customHeight="1" x14ac:dyDescent="0.2">
      <c r="A1452" s="120" t="s">
        <v>5777</v>
      </c>
      <c r="B1452" s="120" t="s">
        <v>2184</v>
      </c>
      <c r="C1452" s="98" t="s">
        <v>3533</v>
      </c>
      <c r="D1452" s="120" t="s">
        <v>3563</v>
      </c>
      <c r="E1452" s="98">
        <v>6.1500000000000001E-3</v>
      </c>
      <c r="F1452" s="120">
        <v>0</v>
      </c>
      <c r="G1452" s="121">
        <v>173057</v>
      </c>
      <c r="H1452" s="123">
        <v>6.1500000000000001E-3</v>
      </c>
      <c r="I1452" s="122">
        <v>1064.3005499999999</v>
      </c>
      <c r="J1452" s="124">
        <f t="shared" si="22"/>
        <v>6.15</v>
      </c>
      <c r="K1452" s="98" t="s">
        <v>2387</v>
      </c>
    </row>
    <row r="1453" spans="1:11" ht="15" customHeight="1" x14ac:dyDescent="0.2">
      <c r="A1453" s="120" t="s">
        <v>5778</v>
      </c>
      <c r="B1453" s="120" t="s">
        <v>5779</v>
      </c>
      <c r="C1453" s="98" t="s">
        <v>3533</v>
      </c>
      <c r="D1453" s="120" t="s">
        <v>3563</v>
      </c>
      <c r="E1453" s="98">
        <v>0.15984000000000001</v>
      </c>
      <c r="F1453" s="120">
        <v>0</v>
      </c>
      <c r="G1453" s="121">
        <v>135</v>
      </c>
      <c r="H1453" s="123">
        <v>0.15984000000000001</v>
      </c>
      <c r="I1453" s="122">
        <v>21.578400000000002</v>
      </c>
      <c r="J1453" s="124">
        <f t="shared" si="22"/>
        <v>159.84</v>
      </c>
    </row>
    <row r="1454" spans="1:11" ht="15" customHeight="1" x14ac:dyDescent="0.2">
      <c r="A1454" s="120" t="s">
        <v>5780</v>
      </c>
      <c r="B1454" s="120" t="s">
        <v>5781</v>
      </c>
      <c r="C1454" s="98" t="s">
        <v>3532</v>
      </c>
      <c r="D1454" s="120" t="s">
        <v>3563</v>
      </c>
      <c r="E1454" s="98">
        <v>3.15E-2</v>
      </c>
      <c r="F1454" s="120">
        <v>0</v>
      </c>
      <c r="G1454" s="121">
        <v>10175</v>
      </c>
      <c r="H1454" s="123">
        <v>3.15E-2</v>
      </c>
      <c r="I1454" s="122">
        <v>320.51249999999999</v>
      </c>
      <c r="J1454" s="124">
        <f t="shared" si="22"/>
        <v>31.5</v>
      </c>
    </row>
    <row r="1455" spans="1:11" ht="15" customHeight="1" x14ac:dyDescent="0.2">
      <c r="A1455" s="120" t="s">
        <v>5782</v>
      </c>
      <c r="B1455" s="120" t="s">
        <v>5783</v>
      </c>
      <c r="C1455" s="98" t="s">
        <v>3533</v>
      </c>
      <c r="D1455" s="120" t="s">
        <v>3563</v>
      </c>
      <c r="E1455" s="98">
        <v>2.4500000000000001E-2</v>
      </c>
      <c r="F1455" s="120">
        <v>0</v>
      </c>
      <c r="G1455" s="121">
        <v>18245</v>
      </c>
      <c r="H1455" s="123">
        <v>2.4500000000000001E-2</v>
      </c>
      <c r="I1455" s="122">
        <v>447.0025</v>
      </c>
      <c r="J1455" s="124">
        <f t="shared" si="22"/>
        <v>24.5</v>
      </c>
      <c r="K1455" s="98" t="s">
        <v>2387</v>
      </c>
    </row>
    <row r="1456" spans="1:11" ht="15" customHeight="1" x14ac:dyDescent="0.2">
      <c r="A1456" s="120" t="s">
        <v>5784</v>
      </c>
      <c r="B1456" s="120" t="s">
        <v>2254</v>
      </c>
      <c r="C1456" s="98" t="s">
        <v>3533</v>
      </c>
      <c r="D1456" s="120" t="s">
        <v>3563</v>
      </c>
      <c r="E1456" s="98">
        <v>8.6999999999999994E-2</v>
      </c>
      <c r="F1456" s="120">
        <v>0</v>
      </c>
      <c r="G1456" s="121">
        <v>112116</v>
      </c>
      <c r="H1456" s="123">
        <v>8.6999999999999994E-2</v>
      </c>
      <c r="I1456" s="122">
        <v>9754.0919999999987</v>
      </c>
      <c r="J1456" s="124">
        <f t="shared" si="22"/>
        <v>87</v>
      </c>
      <c r="K1456" s="98" t="s">
        <v>2387</v>
      </c>
    </row>
    <row r="1457" spans="1:11" ht="15" customHeight="1" x14ac:dyDescent="0.2">
      <c r="A1457" s="120" t="s">
        <v>5785</v>
      </c>
      <c r="B1457" s="120" t="s">
        <v>5211</v>
      </c>
      <c r="C1457" s="98" t="s">
        <v>3533</v>
      </c>
      <c r="D1457" s="120" t="s">
        <v>3563</v>
      </c>
      <c r="E1457" s="98">
        <v>1.9900000000000001E-2</v>
      </c>
      <c r="F1457" s="120">
        <v>0</v>
      </c>
      <c r="G1457" s="121">
        <v>0</v>
      </c>
      <c r="H1457" s="123">
        <v>1.9900000000000001E-2</v>
      </c>
      <c r="I1457" s="122">
        <v>0</v>
      </c>
      <c r="J1457" s="124">
        <f t="shared" si="22"/>
        <v>19.900000000000002</v>
      </c>
    </row>
    <row r="1458" spans="1:11" ht="15" customHeight="1" x14ac:dyDescent="0.2">
      <c r="A1458" s="120" t="s">
        <v>5786</v>
      </c>
      <c r="B1458" s="120" t="s">
        <v>5211</v>
      </c>
      <c r="C1458" s="98" t="s">
        <v>3532</v>
      </c>
      <c r="D1458" s="120" t="s">
        <v>3563</v>
      </c>
      <c r="E1458" s="98">
        <v>2.495E-2</v>
      </c>
      <c r="F1458" s="120">
        <v>0</v>
      </c>
      <c r="G1458" s="121">
        <v>0</v>
      </c>
      <c r="H1458" s="123">
        <v>2.495E-2</v>
      </c>
      <c r="I1458" s="122">
        <v>0</v>
      </c>
      <c r="J1458" s="124">
        <f t="shared" si="22"/>
        <v>24.95</v>
      </c>
    </row>
    <row r="1459" spans="1:11" ht="15" customHeight="1" x14ac:dyDescent="0.2">
      <c r="A1459" s="120" t="s">
        <v>5787</v>
      </c>
      <c r="B1459" s="120" t="s">
        <v>4783</v>
      </c>
      <c r="C1459" s="98" t="s">
        <v>3533</v>
      </c>
      <c r="D1459" s="120" t="s">
        <v>3563</v>
      </c>
      <c r="E1459" s="98">
        <v>4.1840000000000002E-2</v>
      </c>
      <c r="F1459" s="120">
        <v>0</v>
      </c>
      <c r="G1459" s="121">
        <v>245</v>
      </c>
      <c r="H1459" s="123">
        <v>4.1840000000000002E-2</v>
      </c>
      <c r="I1459" s="122">
        <v>10.2508</v>
      </c>
      <c r="J1459" s="124">
        <f t="shared" si="22"/>
        <v>41.84</v>
      </c>
      <c r="K1459" s="98" t="s">
        <v>5788</v>
      </c>
    </row>
    <row r="1460" spans="1:11" ht="15" customHeight="1" x14ac:dyDescent="0.2">
      <c r="A1460" s="120" t="s">
        <v>5789</v>
      </c>
      <c r="B1460" s="120" t="s">
        <v>2263</v>
      </c>
      <c r="C1460" s="98" t="s">
        <v>3532</v>
      </c>
      <c r="D1460" s="120" t="s">
        <v>3563</v>
      </c>
      <c r="E1460" s="98">
        <v>1.575E-2</v>
      </c>
      <c r="F1460" s="120">
        <v>0</v>
      </c>
      <c r="G1460" s="121">
        <v>0</v>
      </c>
      <c r="H1460" s="123">
        <v>1.575E-2</v>
      </c>
      <c r="I1460" s="122">
        <v>0</v>
      </c>
      <c r="J1460" s="124">
        <f t="shared" si="22"/>
        <v>15.75</v>
      </c>
    </row>
    <row r="1461" spans="1:11" ht="15" customHeight="1" x14ac:dyDescent="0.2">
      <c r="A1461" s="120" t="s">
        <v>5790</v>
      </c>
      <c r="B1461" s="120" t="s">
        <v>5072</v>
      </c>
      <c r="C1461" s="98" t="s">
        <v>3532</v>
      </c>
      <c r="D1461" s="120" t="s">
        <v>3563</v>
      </c>
      <c r="E1461" s="98">
        <v>2.6849999999999999E-2</v>
      </c>
      <c r="F1461" s="120">
        <v>0</v>
      </c>
      <c r="G1461" s="121">
        <v>0</v>
      </c>
      <c r="H1461" s="123">
        <v>2.6849999999999999E-2</v>
      </c>
      <c r="I1461" s="122">
        <v>0</v>
      </c>
      <c r="J1461" s="124">
        <f t="shared" si="22"/>
        <v>26.849999999999998</v>
      </c>
    </row>
    <row r="1462" spans="1:11" ht="15" customHeight="1" x14ac:dyDescent="0.2">
      <c r="A1462" s="120" t="s">
        <v>5791</v>
      </c>
      <c r="B1462" s="120" t="s">
        <v>4783</v>
      </c>
      <c r="C1462" s="98" t="s">
        <v>3533</v>
      </c>
      <c r="D1462" s="120" t="s">
        <v>3563</v>
      </c>
      <c r="E1462" s="98">
        <v>1.4E-2</v>
      </c>
      <c r="F1462" s="120">
        <v>0</v>
      </c>
      <c r="G1462" s="121">
        <v>729810</v>
      </c>
      <c r="H1462" s="123">
        <v>1.4E-2</v>
      </c>
      <c r="I1462" s="122">
        <v>10217.34</v>
      </c>
      <c r="J1462" s="124">
        <f t="shared" si="22"/>
        <v>14</v>
      </c>
      <c r="K1462" s="98" t="s">
        <v>5792</v>
      </c>
    </row>
    <row r="1463" spans="1:11" ht="15" customHeight="1" x14ac:dyDescent="0.2">
      <c r="A1463" s="120" t="s">
        <v>5793</v>
      </c>
      <c r="B1463" s="120" t="s">
        <v>5794</v>
      </c>
      <c r="C1463" s="98" t="s">
        <v>3533</v>
      </c>
      <c r="D1463" s="120" t="s">
        <v>3563</v>
      </c>
      <c r="E1463" s="98">
        <v>1.4449999999999999E-2</v>
      </c>
      <c r="F1463" s="120">
        <v>0</v>
      </c>
      <c r="G1463" s="121">
        <v>0</v>
      </c>
      <c r="H1463" s="123">
        <v>1.4449999999999999E-2</v>
      </c>
      <c r="I1463" s="122">
        <v>0</v>
      </c>
      <c r="J1463" s="124">
        <f t="shared" si="22"/>
        <v>14.45</v>
      </c>
      <c r="K1463" s="98" t="s">
        <v>5795</v>
      </c>
    </row>
    <row r="1464" spans="1:11" ht="15" customHeight="1" x14ac:dyDescent="0.2">
      <c r="A1464" s="120" t="s">
        <v>5796</v>
      </c>
      <c r="B1464" s="120" t="s">
        <v>2198</v>
      </c>
      <c r="C1464" s="98" t="s">
        <v>3533</v>
      </c>
      <c r="D1464" s="120" t="s">
        <v>3563</v>
      </c>
      <c r="E1464" s="98">
        <v>8.9499999999999996E-3</v>
      </c>
      <c r="F1464" s="120">
        <v>0</v>
      </c>
      <c r="G1464" s="121">
        <v>24593</v>
      </c>
      <c r="H1464" s="123">
        <v>8.9499999999999996E-3</v>
      </c>
      <c r="I1464" s="122">
        <v>220.10735</v>
      </c>
      <c r="J1464" s="124">
        <f t="shared" si="22"/>
        <v>8.9499999999999993</v>
      </c>
    </row>
    <row r="1465" spans="1:11" ht="15" customHeight="1" x14ac:dyDescent="0.2">
      <c r="A1465" s="120" t="s">
        <v>5797</v>
      </c>
      <c r="B1465" s="120" t="s">
        <v>2254</v>
      </c>
      <c r="C1465" s="98" t="s">
        <v>3533</v>
      </c>
      <c r="D1465" s="120" t="s">
        <v>3563</v>
      </c>
      <c r="E1465" s="98">
        <v>3.5999999999999997E-2</v>
      </c>
      <c r="F1465" s="120">
        <v>0</v>
      </c>
      <c r="G1465" s="121">
        <v>12870</v>
      </c>
      <c r="H1465" s="123">
        <v>3.5999999999999997E-2</v>
      </c>
      <c r="I1465" s="122">
        <v>463.32</v>
      </c>
      <c r="J1465" s="124">
        <f t="shared" si="22"/>
        <v>36</v>
      </c>
      <c r="K1465" s="98" t="s">
        <v>2375</v>
      </c>
    </row>
    <row r="1466" spans="1:11" ht="15" customHeight="1" x14ac:dyDescent="0.2">
      <c r="A1466" s="120" t="s">
        <v>5798</v>
      </c>
      <c r="B1466" s="120" t="s">
        <v>5794</v>
      </c>
      <c r="C1466" s="98" t="s">
        <v>3533</v>
      </c>
      <c r="D1466" s="120" t="s">
        <v>3563</v>
      </c>
      <c r="E1466" s="98">
        <v>0.03</v>
      </c>
      <c r="F1466" s="120">
        <v>0</v>
      </c>
      <c r="G1466" s="121">
        <v>318370</v>
      </c>
      <c r="H1466" s="123">
        <v>0.03</v>
      </c>
      <c r="I1466" s="122">
        <v>9551.1</v>
      </c>
      <c r="J1466" s="124">
        <f t="shared" si="22"/>
        <v>30</v>
      </c>
      <c r="K1466" s="98" t="s">
        <v>2387</v>
      </c>
    </row>
    <row r="1467" spans="1:11" ht="15" customHeight="1" x14ac:dyDescent="0.2">
      <c r="A1467" s="120" t="s">
        <v>5799</v>
      </c>
      <c r="B1467" s="120" t="s">
        <v>5147</v>
      </c>
      <c r="C1467" s="98" t="s">
        <v>3533</v>
      </c>
      <c r="D1467" s="120" t="s">
        <v>3563</v>
      </c>
      <c r="E1467" s="98">
        <v>8.5000000000000006E-2</v>
      </c>
      <c r="F1467" s="120">
        <v>0</v>
      </c>
      <c r="G1467" s="121">
        <v>15100</v>
      </c>
      <c r="H1467" s="123">
        <v>8.5000000000000006E-2</v>
      </c>
      <c r="I1467" s="122">
        <v>1283.5</v>
      </c>
      <c r="J1467" s="124">
        <f t="shared" si="22"/>
        <v>85</v>
      </c>
      <c r="K1467" s="98" t="s">
        <v>5189</v>
      </c>
    </row>
    <row r="1468" spans="1:11" ht="15" customHeight="1" x14ac:dyDescent="0.2">
      <c r="A1468" s="120" t="s">
        <v>5800</v>
      </c>
      <c r="B1468" s="120" t="s">
        <v>5221</v>
      </c>
      <c r="C1468" s="98" t="s">
        <v>3533</v>
      </c>
      <c r="D1468" s="120" t="s">
        <v>3563</v>
      </c>
      <c r="E1468" s="98">
        <v>8.5999999999999993E-2</v>
      </c>
      <c r="F1468" s="120">
        <v>0</v>
      </c>
      <c r="G1468" s="121">
        <v>36345</v>
      </c>
      <c r="H1468" s="123">
        <v>8.5999999999999993E-2</v>
      </c>
      <c r="I1468" s="122">
        <v>3125.6699999999996</v>
      </c>
      <c r="J1468" s="124">
        <f t="shared" si="22"/>
        <v>86</v>
      </c>
      <c r="K1468" s="98" t="s">
        <v>5801</v>
      </c>
    </row>
    <row r="1469" spans="1:11" ht="15" customHeight="1" x14ac:dyDescent="0.2">
      <c r="A1469" s="120" t="s">
        <v>5802</v>
      </c>
      <c r="B1469" s="120" t="s">
        <v>5794</v>
      </c>
      <c r="C1469" s="98" t="s">
        <v>3533</v>
      </c>
      <c r="D1469" s="120" t="s">
        <v>3563</v>
      </c>
      <c r="E1469" s="98">
        <v>4.0000000000000001E-3</v>
      </c>
      <c r="F1469" s="120">
        <v>0</v>
      </c>
      <c r="G1469" s="121">
        <v>0</v>
      </c>
      <c r="H1469" s="123">
        <v>4.0000000000000001E-3</v>
      </c>
      <c r="I1469" s="122">
        <v>0</v>
      </c>
      <c r="J1469" s="124">
        <f t="shared" si="22"/>
        <v>4</v>
      </c>
    </row>
    <row r="1470" spans="1:11" ht="15" customHeight="1" x14ac:dyDescent="0.2">
      <c r="A1470" s="120" t="s">
        <v>5803</v>
      </c>
      <c r="B1470" s="120" t="s">
        <v>5216</v>
      </c>
      <c r="C1470" s="98" t="s">
        <v>3533</v>
      </c>
      <c r="D1470" s="120" t="s">
        <v>3563</v>
      </c>
      <c r="E1470" s="98">
        <v>2.2499999999999999E-2</v>
      </c>
      <c r="F1470" s="120">
        <v>0</v>
      </c>
      <c r="G1470" s="121">
        <v>3620</v>
      </c>
      <c r="H1470" s="123">
        <v>2.2499999999999999E-2</v>
      </c>
      <c r="I1470" s="122">
        <v>81.45</v>
      </c>
      <c r="J1470" s="124">
        <f t="shared" si="22"/>
        <v>22.5</v>
      </c>
      <c r="K1470" s="98" t="s">
        <v>2387</v>
      </c>
    </row>
    <row r="1471" spans="1:11" ht="15" customHeight="1" x14ac:dyDescent="0.2">
      <c r="A1471" s="120" t="s">
        <v>5804</v>
      </c>
      <c r="B1471" s="120" t="s">
        <v>5221</v>
      </c>
      <c r="C1471" s="98" t="s">
        <v>3532</v>
      </c>
      <c r="D1471" s="120" t="s">
        <v>3563</v>
      </c>
      <c r="E1471" s="98">
        <v>0.1794</v>
      </c>
      <c r="F1471" s="120">
        <v>0</v>
      </c>
      <c r="G1471" s="121">
        <v>0</v>
      </c>
      <c r="H1471" s="123">
        <v>0.1794</v>
      </c>
      <c r="I1471" s="122">
        <v>0</v>
      </c>
      <c r="J1471" s="124">
        <f t="shared" si="22"/>
        <v>179.4</v>
      </c>
    </row>
    <row r="1472" spans="1:11" ht="15" customHeight="1" x14ac:dyDescent="0.2">
      <c r="A1472" s="120" t="s">
        <v>5805</v>
      </c>
      <c r="B1472" s="120" t="s">
        <v>5221</v>
      </c>
      <c r="C1472" s="98" t="s">
        <v>3533</v>
      </c>
      <c r="D1472" s="120" t="s">
        <v>3563</v>
      </c>
      <c r="E1472" s="98">
        <v>2.3400000000000001E-2</v>
      </c>
      <c r="F1472" s="120">
        <v>0</v>
      </c>
      <c r="G1472" s="121">
        <v>0</v>
      </c>
      <c r="H1472" s="123">
        <v>2.3400000000000001E-2</v>
      </c>
      <c r="I1472" s="122">
        <v>0</v>
      </c>
      <c r="J1472" s="124">
        <f t="shared" si="22"/>
        <v>23.400000000000002</v>
      </c>
    </row>
    <row r="1473" spans="1:11" ht="15" customHeight="1" x14ac:dyDescent="0.2">
      <c r="A1473" s="120" t="s">
        <v>5806</v>
      </c>
      <c r="B1473" s="120" t="s">
        <v>5221</v>
      </c>
      <c r="C1473" s="98" t="s">
        <v>3532</v>
      </c>
      <c r="D1473" s="120" t="s">
        <v>3563</v>
      </c>
      <c r="E1473" s="98">
        <v>6.7499999999999999E-3</v>
      </c>
      <c r="F1473" s="120">
        <v>0</v>
      </c>
      <c r="G1473" s="121">
        <v>0</v>
      </c>
      <c r="H1473" s="123">
        <v>6.7499999999999999E-3</v>
      </c>
      <c r="I1473" s="122">
        <v>0</v>
      </c>
      <c r="J1473" s="124">
        <f t="shared" si="22"/>
        <v>6.75</v>
      </c>
    </row>
    <row r="1474" spans="1:11" ht="15" customHeight="1" x14ac:dyDescent="0.2">
      <c r="A1474" s="120" t="s">
        <v>5807</v>
      </c>
      <c r="B1474" s="120" t="s">
        <v>5768</v>
      </c>
      <c r="C1474" s="98" t="s">
        <v>3532</v>
      </c>
      <c r="D1474" s="120" t="s">
        <v>3563</v>
      </c>
      <c r="E1474" s="98">
        <v>0.161</v>
      </c>
      <c r="F1474" s="120">
        <v>0</v>
      </c>
      <c r="G1474" s="121">
        <v>0</v>
      </c>
      <c r="H1474" s="123">
        <v>0.161</v>
      </c>
      <c r="I1474" s="122">
        <v>0</v>
      </c>
      <c r="J1474" s="124">
        <f t="shared" ref="J1474:J1537" si="23">IF(D1474="gm", E1474*1000,+E1474)</f>
        <v>161</v>
      </c>
    </row>
    <row r="1475" spans="1:11" ht="15" customHeight="1" x14ac:dyDescent="0.2">
      <c r="A1475" s="120" t="s">
        <v>5808</v>
      </c>
      <c r="B1475" s="120" t="s">
        <v>4723</v>
      </c>
      <c r="C1475" s="98" t="s">
        <v>3532</v>
      </c>
      <c r="D1475" s="120" t="s">
        <v>3563</v>
      </c>
      <c r="E1475" s="98">
        <v>3.2000000000000001E-2</v>
      </c>
      <c r="F1475" s="120">
        <v>0</v>
      </c>
      <c r="G1475" s="121">
        <v>0</v>
      </c>
      <c r="H1475" s="123">
        <v>3.2000000000000001E-2</v>
      </c>
      <c r="I1475" s="122">
        <v>0</v>
      </c>
      <c r="J1475" s="124">
        <f t="shared" si="23"/>
        <v>32</v>
      </c>
    </row>
    <row r="1476" spans="1:11" ht="15" customHeight="1" x14ac:dyDescent="0.2">
      <c r="A1476" s="120" t="s">
        <v>5809</v>
      </c>
      <c r="B1476" s="120" t="s">
        <v>5082</v>
      </c>
      <c r="C1476" s="98" t="s">
        <v>3532</v>
      </c>
      <c r="D1476" s="120" t="s">
        <v>3563</v>
      </c>
      <c r="E1476" s="98">
        <v>0.15</v>
      </c>
      <c r="F1476" s="120">
        <v>0</v>
      </c>
      <c r="G1476" s="121">
        <v>0</v>
      </c>
      <c r="H1476" s="123">
        <v>0.15</v>
      </c>
      <c r="I1476" s="122">
        <v>0</v>
      </c>
      <c r="J1476" s="124">
        <f t="shared" si="23"/>
        <v>150</v>
      </c>
    </row>
    <row r="1477" spans="1:11" ht="15" customHeight="1" x14ac:dyDescent="0.2">
      <c r="A1477" s="120" t="s">
        <v>5810</v>
      </c>
      <c r="B1477" s="120" t="s">
        <v>4723</v>
      </c>
      <c r="C1477" s="98" t="s">
        <v>3532</v>
      </c>
      <c r="D1477" s="120" t="s">
        <v>3563</v>
      </c>
      <c r="E1477" s="98">
        <v>1.35E-2</v>
      </c>
      <c r="F1477" s="120">
        <v>0</v>
      </c>
      <c r="G1477" s="121">
        <v>0</v>
      </c>
      <c r="H1477" s="123">
        <v>1.35E-2</v>
      </c>
      <c r="I1477" s="122">
        <v>0</v>
      </c>
      <c r="J1477" s="124">
        <f t="shared" si="23"/>
        <v>13.5</v>
      </c>
    </row>
    <row r="1478" spans="1:11" ht="15" customHeight="1" x14ac:dyDescent="0.2">
      <c r="A1478" s="120" t="s">
        <v>5811</v>
      </c>
      <c r="B1478" s="120" t="s">
        <v>5812</v>
      </c>
      <c r="C1478" s="98" t="s">
        <v>3532</v>
      </c>
      <c r="D1478" s="120" t="s">
        <v>3563</v>
      </c>
      <c r="E1478" s="98">
        <v>0.17269999999999999</v>
      </c>
      <c r="F1478" s="120">
        <v>0</v>
      </c>
      <c r="G1478" s="121">
        <v>0</v>
      </c>
      <c r="H1478" s="123">
        <v>0.17269999999999999</v>
      </c>
      <c r="I1478" s="122">
        <v>0</v>
      </c>
      <c r="J1478" s="124">
        <f t="shared" si="23"/>
        <v>172.7</v>
      </c>
    </row>
    <row r="1479" spans="1:11" ht="15" customHeight="1" x14ac:dyDescent="0.2">
      <c r="A1479" s="120" t="s">
        <v>5813</v>
      </c>
      <c r="B1479" s="120" t="s">
        <v>5814</v>
      </c>
      <c r="C1479" s="98" t="s">
        <v>3533</v>
      </c>
      <c r="D1479" s="120" t="s">
        <v>3563</v>
      </c>
      <c r="E1479" s="98">
        <v>4.1889999999999997E-2</v>
      </c>
      <c r="F1479" s="120">
        <v>0</v>
      </c>
      <c r="G1479" s="121">
        <v>23455</v>
      </c>
      <c r="H1479" s="123">
        <v>4.1889999999999997E-2</v>
      </c>
      <c r="I1479" s="122">
        <v>982.52994999999987</v>
      </c>
      <c r="J1479" s="124">
        <f t="shared" si="23"/>
        <v>41.889999999999993</v>
      </c>
      <c r="K1479" s="98" t="s">
        <v>5815</v>
      </c>
    </row>
    <row r="1480" spans="1:11" ht="15" customHeight="1" x14ac:dyDescent="0.2">
      <c r="A1480" s="120" t="s">
        <v>5816</v>
      </c>
      <c r="B1480" s="120" t="s">
        <v>5216</v>
      </c>
      <c r="C1480" s="98" t="s">
        <v>3532</v>
      </c>
      <c r="D1480" s="120" t="s">
        <v>3563</v>
      </c>
      <c r="E1480" s="98">
        <v>0</v>
      </c>
      <c r="F1480" s="120">
        <v>0</v>
      </c>
      <c r="G1480" s="121">
        <v>25000</v>
      </c>
      <c r="H1480" s="123">
        <v>0</v>
      </c>
      <c r="I1480" s="122">
        <v>0</v>
      </c>
      <c r="J1480" s="124">
        <f t="shared" si="23"/>
        <v>0</v>
      </c>
    </row>
    <row r="1481" spans="1:11" ht="15" customHeight="1" x14ac:dyDescent="0.2">
      <c r="A1481" s="120" t="s">
        <v>5817</v>
      </c>
      <c r="B1481" s="120" t="s">
        <v>5076</v>
      </c>
      <c r="C1481" s="98" t="s">
        <v>3533</v>
      </c>
      <c r="D1481" s="120" t="s">
        <v>3563</v>
      </c>
      <c r="E1481" s="98">
        <v>2.4043499999999999E-2</v>
      </c>
      <c r="F1481" s="120">
        <v>0</v>
      </c>
      <c r="G1481" s="121">
        <v>15370</v>
      </c>
      <c r="H1481" s="123">
        <v>2.4043999999999999E-2</v>
      </c>
      <c r="I1481" s="122">
        <v>369.55628000000002</v>
      </c>
      <c r="J1481" s="124">
        <f t="shared" si="23"/>
        <v>24.043499999999998</v>
      </c>
      <c r="K1481" s="98" t="s">
        <v>5818</v>
      </c>
    </row>
    <row r="1482" spans="1:11" ht="15" customHeight="1" x14ac:dyDescent="0.2">
      <c r="A1482" s="120" t="s">
        <v>5819</v>
      </c>
      <c r="B1482" s="120" t="s">
        <v>4783</v>
      </c>
      <c r="C1482" s="98" t="s">
        <v>3532</v>
      </c>
      <c r="D1482" s="120" t="s">
        <v>3563</v>
      </c>
      <c r="E1482" s="98">
        <v>0</v>
      </c>
      <c r="F1482" s="120">
        <v>0</v>
      </c>
      <c r="G1482" s="121">
        <v>0</v>
      </c>
      <c r="H1482" s="123">
        <v>0</v>
      </c>
      <c r="I1482" s="122">
        <v>0</v>
      </c>
      <c r="J1482" s="124">
        <f t="shared" si="23"/>
        <v>0</v>
      </c>
    </row>
    <row r="1483" spans="1:11" ht="15" customHeight="1" x14ac:dyDescent="0.2">
      <c r="A1483" s="120" t="s">
        <v>5820</v>
      </c>
      <c r="B1483" s="120" t="s">
        <v>5202</v>
      </c>
      <c r="C1483" s="98" t="s">
        <v>3533</v>
      </c>
      <c r="D1483" s="120" t="s">
        <v>3563</v>
      </c>
      <c r="E1483" s="98">
        <v>1.976E-2</v>
      </c>
      <c r="F1483" s="120">
        <v>0</v>
      </c>
      <c r="G1483" s="121">
        <v>21685</v>
      </c>
      <c r="H1483" s="123">
        <v>1.976E-2</v>
      </c>
      <c r="I1483" s="122">
        <v>428.49559999999997</v>
      </c>
      <c r="J1483" s="124">
        <f t="shared" si="23"/>
        <v>19.759999999999998</v>
      </c>
      <c r="K1483" s="98" t="s">
        <v>5821</v>
      </c>
    </row>
    <row r="1484" spans="1:11" ht="15" customHeight="1" x14ac:dyDescent="0.2">
      <c r="A1484" s="120" t="s">
        <v>5822</v>
      </c>
      <c r="B1484" s="120" t="s">
        <v>4802</v>
      </c>
      <c r="C1484" s="98" t="s">
        <v>3533</v>
      </c>
      <c r="D1484" s="120" t="s">
        <v>3563</v>
      </c>
      <c r="E1484" s="98">
        <v>2.56985294117647E-2</v>
      </c>
      <c r="F1484" s="120">
        <v>0</v>
      </c>
      <c r="G1484" s="121">
        <v>41140</v>
      </c>
      <c r="H1484" s="123">
        <v>2.5699E-2</v>
      </c>
      <c r="I1484" s="122">
        <v>1057.25686</v>
      </c>
      <c r="J1484" s="124">
        <f t="shared" si="23"/>
        <v>25.698529411764699</v>
      </c>
      <c r="K1484" s="98" t="s">
        <v>5823</v>
      </c>
    </row>
    <row r="1485" spans="1:11" ht="15" customHeight="1" x14ac:dyDescent="0.2">
      <c r="A1485" s="120" t="s">
        <v>5824</v>
      </c>
      <c r="B1485" s="120" t="s">
        <v>2254</v>
      </c>
      <c r="C1485" s="98" t="s">
        <v>3532</v>
      </c>
      <c r="D1485" s="120" t="s">
        <v>3563</v>
      </c>
      <c r="E1485" s="98">
        <v>8.5000000000000006E-2</v>
      </c>
      <c r="F1485" s="120">
        <v>0</v>
      </c>
      <c r="G1485" s="121">
        <v>0</v>
      </c>
      <c r="H1485" s="123">
        <v>8.5000000000000006E-2</v>
      </c>
      <c r="I1485" s="122">
        <v>0</v>
      </c>
      <c r="J1485" s="124">
        <f t="shared" si="23"/>
        <v>85</v>
      </c>
    </row>
    <row r="1486" spans="1:11" ht="15" customHeight="1" x14ac:dyDescent="0.2">
      <c r="A1486" s="120" t="s">
        <v>5825</v>
      </c>
      <c r="B1486" s="120" t="s">
        <v>3532</v>
      </c>
      <c r="C1486" s="98" t="s">
        <v>3532</v>
      </c>
      <c r="D1486" s="120" t="s">
        <v>3563</v>
      </c>
      <c r="E1486" s="98">
        <v>0</v>
      </c>
      <c r="F1486" s="120">
        <v>0</v>
      </c>
      <c r="G1486" s="121">
        <v>0</v>
      </c>
      <c r="H1486" s="123">
        <v>0</v>
      </c>
      <c r="I1486" s="122">
        <v>0</v>
      </c>
      <c r="J1486" s="124">
        <f t="shared" si="23"/>
        <v>0</v>
      </c>
    </row>
    <row r="1487" spans="1:11" ht="15" customHeight="1" x14ac:dyDescent="0.2">
      <c r="A1487" s="120" t="s">
        <v>5826</v>
      </c>
      <c r="B1487" s="120" t="s">
        <v>5147</v>
      </c>
      <c r="C1487" s="98" t="s">
        <v>3540</v>
      </c>
      <c r="D1487" s="120" t="s">
        <v>3563</v>
      </c>
      <c r="E1487" s="98">
        <v>0.33</v>
      </c>
      <c r="F1487" s="120">
        <v>0</v>
      </c>
      <c r="G1487" s="121">
        <v>0</v>
      </c>
      <c r="H1487" s="123">
        <v>0.33</v>
      </c>
      <c r="I1487" s="122">
        <v>0</v>
      </c>
      <c r="J1487" s="124">
        <f t="shared" si="23"/>
        <v>330</v>
      </c>
    </row>
    <row r="1488" spans="1:11" ht="15" customHeight="1" x14ac:dyDescent="0.2">
      <c r="A1488" s="120" t="s">
        <v>5827</v>
      </c>
      <c r="B1488" s="120" t="s">
        <v>5221</v>
      </c>
      <c r="C1488" s="98" t="s">
        <v>3533</v>
      </c>
      <c r="D1488" s="120" t="s">
        <v>3563</v>
      </c>
      <c r="E1488" s="98">
        <v>2.4750000000000001E-2</v>
      </c>
      <c r="F1488" s="120">
        <v>0</v>
      </c>
      <c r="G1488" s="121">
        <v>3795</v>
      </c>
      <c r="H1488" s="123">
        <v>2.4750000000000001E-2</v>
      </c>
      <c r="I1488" s="122">
        <v>93.92625000000001</v>
      </c>
      <c r="J1488" s="124">
        <f t="shared" si="23"/>
        <v>24.75</v>
      </c>
      <c r="K1488" s="98" t="s">
        <v>5828</v>
      </c>
    </row>
    <row r="1489" spans="1:11" ht="15" customHeight="1" x14ac:dyDescent="0.2">
      <c r="A1489" s="120" t="s">
        <v>5829</v>
      </c>
      <c r="B1489" s="120" t="s">
        <v>5216</v>
      </c>
      <c r="C1489" s="98" t="s">
        <v>3533</v>
      </c>
      <c r="D1489" s="120" t="s">
        <v>3563</v>
      </c>
      <c r="E1489" s="98">
        <v>5.8000000000000003E-2</v>
      </c>
      <c r="F1489" s="120">
        <v>0</v>
      </c>
      <c r="G1489" s="121">
        <v>18055</v>
      </c>
      <c r="H1489" s="123">
        <v>5.8000000000000003E-2</v>
      </c>
      <c r="I1489" s="122">
        <v>1047.19</v>
      </c>
      <c r="J1489" s="124">
        <f t="shared" si="23"/>
        <v>58</v>
      </c>
      <c r="K1489" s="98" t="s">
        <v>2387</v>
      </c>
    </row>
    <row r="1490" spans="1:11" ht="15" customHeight="1" x14ac:dyDescent="0.2">
      <c r="A1490" s="120" t="s">
        <v>5830</v>
      </c>
      <c r="B1490" s="120" t="s">
        <v>3532</v>
      </c>
      <c r="C1490" s="98" t="s">
        <v>3533</v>
      </c>
      <c r="D1490" s="120" t="s">
        <v>3563</v>
      </c>
      <c r="E1490" s="98">
        <v>1.55E-2</v>
      </c>
      <c r="F1490" s="120">
        <v>0</v>
      </c>
      <c r="G1490" s="121">
        <v>0</v>
      </c>
      <c r="H1490" s="123">
        <v>1.55E-2</v>
      </c>
      <c r="I1490" s="122">
        <v>0</v>
      </c>
      <c r="J1490" s="124">
        <f t="shared" si="23"/>
        <v>15.5</v>
      </c>
    </row>
    <row r="1491" spans="1:11" ht="15" customHeight="1" x14ac:dyDescent="0.2">
      <c r="A1491" s="120" t="s">
        <v>5831</v>
      </c>
      <c r="B1491" s="120" t="s">
        <v>2254</v>
      </c>
      <c r="C1491" s="98" t="s">
        <v>3533</v>
      </c>
      <c r="D1491" s="120" t="s">
        <v>3563</v>
      </c>
      <c r="E1491" s="98">
        <v>0.14499999999999999</v>
      </c>
      <c r="F1491" s="120">
        <v>0</v>
      </c>
      <c r="G1491" s="121">
        <v>36345</v>
      </c>
      <c r="H1491" s="123">
        <v>0.14499999999999999</v>
      </c>
      <c r="I1491" s="122">
        <v>5270.0249999999996</v>
      </c>
      <c r="J1491" s="124">
        <f t="shared" si="23"/>
        <v>145</v>
      </c>
      <c r="K1491" s="98" t="s">
        <v>2379</v>
      </c>
    </row>
    <row r="1492" spans="1:11" ht="15" customHeight="1" x14ac:dyDescent="0.2">
      <c r="A1492" s="120" t="s">
        <v>5832</v>
      </c>
      <c r="B1492" s="120" t="s">
        <v>3532</v>
      </c>
      <c r="C1492" s="98" t="s">
        <v>3532</v>
      </c>
      <c r="D1492" s="120" t="s">
        <v>3563</v>
      </c>
      <c r="E1492" s="98">
        <v>7.0499999999999993E-2</v>
      </c>
      <c r="F1492" s="120">
        <v>0</v>
      </c>
      <c r="G1492" s="121">
        <v>0</v>
      </c>
      <c r="H1492" s="123">
        <v>7.0499999999999993E-2</v>
      </c>
      <c r="I1492" s="122">
        <v>0</v>
      </c>
      <c r="J1492" s="124">
        <f t="shared" si="23"/>
        <v>70.5</v>
      </c>
    </row>
    <row r="1493" spans="1:11" ht="15" customHeight="1" x14ac:dyDescent="0.2">
      <c r="A1493" s="120" t="s">
        <v>5833</v>
      </c>
      <c r="B1493" s="120" t="s">
        <v>5430</v>
      </c>
      <c r="C1493" s="98" t="s">
        <v>3533</v>
      </c>
      <c r="D1493" s="120" t="s">
        <v>3563</v>
      </c>
      <c r="E1493" s="98">
        <v>3.7999999999999999E-2</v>
      </c>
      <c r="F1493" s="120">
        <v>0</v>
      </c>
      <c r="G1493" s="121">
        <v>19915</v>
      </c>
      <c r="H1493" s="123">
        <v>3.7999999999999999E-2</v>
      </c>
      <c r="I1493" s="122">
        <v>756.77</v>
      </c>
      <c r="J1493" s="124">
        <f t="shared" si="23"/>
        <v>38</v>
      </c>
    </row>
    <row r="1494" spans="1:11" ht="15" customHeight="1" x14ac:dyDescent="0.2">
      <c r="A1494" s="120" t="s">
        <v>5834</v>
      </c>
      <c r="B1494" s="120" t="s">
        <v>5768</v>
      </c>
      <c r="C1494" s="98" t="s">
        <v>3533</v>
      </c>
      <c r="D1494" s="120" t="s">
        <v>3563</v>
      </c>
      <c r="E1494" s="98">
        <v>1.7999999999999999E-2</v>
      </c>
      <c r="F1494" s="120">
        <v>0</v>
      </c>
      <c r="G1494" s="121">
        <v>36700</v>
      </c>
      <c r="H1494" s="123">
        <v>1.7999999999999999E-2</v>
      </c>
      <c r="I1494" s="122">
        <v>660.59999999999991</v>
      </c>
      <c r="J1494" s="124">
        <f t="shared" si="23"/>
        <v>18</v>
      </c>
      <c r="K1494" s="98" t="s">
        <v>5835</v>
      </c>
    </row>
    <row r="1495" spans="1:11" ht="15" customHeight="1" x14ac:dyDescent="0.2">
      <c r="A1495" s="120" t="s">
        <v>5836</v>
      </c>
      <c r="B1495" s="120" t="s">
        <v>3532</v>
      </c>
      <c r="C1495" s="98" t="s">
        <v>3532</v>
      </c>
      <c r="D1495" s="120" t="s">
        <v>3563</v>
      </c>
      <c r="E1495" s="98">
        <v>1.95E-2</v>
      </c>
      <c r="F1495" s="120">
        <v>0</v>
      </c>
      <c r="G1495" s="121">
        <v>0</v>
      </c>
      <c r="H1495" s="123">
        <v>1.95E-2</v>
      </c>
      <c r="I1495" s="122">
        <v>0</v>
      </c>
      <c r="J1495" s="124">
        <f t="shared" si="23"/>
        <v>19.5</v>
      </c>
    </row>
    <row r="1496" spans="1:11" ht="15" customHeight="1" x14ac:dyDescent="0.2">
      <c r="A1496" s="120" t="s">
        <v>5837</v>
      </c>
      <c r="B1496" s="120" t="s">
        <v>3532</v>
      </c>
      <c r="C1496" s="98" t="s">
        <v>3532</v>
      </c>
      <c r="D1496" s="120" t="s">
        <v>3563</v>
      </c>
      <c r="E1496" s="98">
        <v>0</v>
      </c>
      <c r="F1496" s="120">
        <v>0</v>
      </c>
      <c r="G1496" s="121">
        <v>0</v>
      </c>
      <c r="H1496" s="123">
        <v>0</v>
      </c>
      <c r="I1496" s="122">
        <v>0</v>
      </c>
      <c r="J1496" s="124">
        <f t="shared" si="23"/>
        <v>0</v>
      </c>
    </row>
    <row r="1497" spans="1:11" ht="15" customHeight="1" x14ac:dyDescent="0.2">
      <c r="A1497" s="120" t="s">
        <v>5838</v>
      </c>
      <c r="B1497" s="120" t="s">
        <v>5142</v>
      </c>
      <c r="C1497" s="98" t="s">
        <v>3532</v>
      </c>
      <c r="D1497" s="120" t="s">
        <v>3563</v>
      </c>
      <c r="E1497" s="98">
        <v>0.06</v>
      </c>
      <c r="F1497" s="120">
        <v>0</v>
      </c>
      <c r="G1497" s="121">
        <v>0</v>
      </c>
      <c r="H1497" s="123">
        <v>0.06</v>
      </c>
      <c r="I1497" s="122">
        <v>0</v>
      </c>
      <c r="J1497" s="124">
        <f t="shared" si="23"/>
        <v>60</v>
      </c>
    </row>
    <row r="1498" spans="1:11" ht="15" customHeight="1" x14ac:dyDescent="0.2">
      <c r="A1498" s="120" t="s">
        <v>5839</v>
      </c>
      <c r="B1498" s="120" t="s">
        <v>5080</v>
      </c>
      <c r="C1498" s="98" t="s">
        <v>3533</v>
      </c>
      <c r="D1498" s="120" t="s">
        <v>3563</v>
      </c>
      <c r="E1498" s="98">
        <v>6.25E-2</v>
      </c>
      <c r="F1498" s="120">
        <v>0</v>
      </c>
      <c r="G1498" s="121">
        <v>30730</v>
      </c>
      <c r="H1498" s="123">
        <v>6.9483000000000003E-2</v>
      </c>
      <c r="I1498" s="122">
        <v>2135.2125900000001</v>
      </c>
      <c r="J1498" s="124">
        <f t="shared" si="23"/>
        <v>62.5</v>
      </c>
      <c r="K1498" s="98" t="s">
        <v>2405</v>
      </c>
    </row>
    <row r="1499" spans="1:11" ht="15" customHeight="1" x14ac:dyDescent="0.2">
      <c r="A1499" s="120" t="s">
        <v>5840</v>
      </c>
      <c r="B1499" s="120" t="s">
        <v>2184</v>
      </c>
      <c r="C1499" s="98" t="s">
        <v>3533</v>
      </c>
      <c r="D1499" s="120" t="s">
        <v>3563</v>
      </c>
      <c r="E1499" s="98">
        <v>1.0149999999999999E-2</v>
      </c>
      <c r="F1499" s="120">
        <v>0</v>
      </c>
      <c r="G1499" s="121">
        <v>75000</v>
      </c>
      <c r="H1499" s="123">
        <v>1.0149999999999999E-2</v>
      </c>
      <c r="I1499" s="122">
        <v>761.25</v>
      </c>
      <c r="J1499" s="124">
        <f t="shared" si="23"/>
        <v>10.149999999999999</v>
      </c>
      <c r="K1499" s="98" t="s">
        <v>2387</v>
      </c>
    </row>
    <row r="1500" spans="1:11" ht="15" customHeight="1" x14ac:dyDescent="0.2">
      <c r="A1500" s="120" t="s">
        <v>5841</v>
      </c>
      <c r="B1500" s="120" t="s">
        <v>3532</v>
      </c>
      <c r="C1500" s="98" t="s">
        <v>3532</v>
      </c>
      <c r="D1500" s="120" t="s">
        <v>3563</v>
      </c>
      <c r="E1500" s="98">
        <v>0</v>
      </c>
      <c r="F1500" s="120">
        <v>0</v>
      </c>
      <c r="G1500" s="121">
        <v>0</v>
      </c>
      <c r="H1500" s="123">
        <v>0</v>
      </c>
      <c r="I1500" s="122">
        <v>0</v>
      </c>
      <c r="J1500" s="124">
        <f t="shared" si="23"/>
        <v>0</v>
      </c>
    </row>
    <row r="1501" spans="1:11" ht="15" customHeight="1" x14ac:dyDescent="0.2">
      <c r="A1501" s="120" t="s">
        <v>5842</v>
      </c>
      <c r="B1501" s="120" t="s">
        <v>2254</v>
      </c>
      <c r="C1501" s="98" t="s">
        <v>3533</v>
      </c>
      <c r="D1501" s="120" t="s">
        <v>3563</v>
      </c>
      <c r="E1501" s="98">
        <v>0.05</v>
      </c>
      <c r="F1501" s="120">
        <v>0</v>
      </c>
      <c r="G1501" s="121">
        <v>23245</v>
      </c>
      <c r="H1501" s="123">
        <v>0.05</v>
      </c>
      <c r="I1501" s="122">
        <v>1162.25</v>
      </c>
      <c r="J1501" s="124">
        <f t="shared" si="23"/>
        <v>50</v>
      </c>
      <c r="K1501" s="98" t="s">
        <v>2379</v>
      </c>
    </row>
    <row r="1502" spans="1:11" ht="15" customHeight="1" x14ac:dyDescent="0.2">
      <c r="A1502" s="120" t="s">
        <v>5843</v>
      </c>
      <c r="B1502" s="120" t="s">
        <v>5844</v>
      </c>
      <c r="C1502" s="98" t="s">
        <v>3533</v>
      </c>
      <c r="D1502" s="120" t="s">
        <v>3563</v>
      </c>
      <c r="E1502" s="98">
        <v>8.5000000000000006E-3</v>
      </c>
      <c r="F1502" s="120">
        <v>0</v>
      </c>
      <c r="G1502" s="121">
        <v>0</v>
      </c>
      <c r="H1502" s="123">
        <v>8.5000000000000006E-3</v>
      </c>
      <c r="I1502" s="122">
        <v>0</v>
      </c>
      <c r="J1502" s="124">
        <f t="shared" si="23"/>
        <v>8.5</v>
      </c>
    </row>
    <row r="1503" spans="1:11" ht="15" customHeight="1" x14ac:dyDescent="0.2">
      <c r="A1503" s="120" t="s">
        <v>5845</v>
      </c>
      <c r="B1503" s="120" t="s">
        <v>5432</v>
      </c>
      <c r="C1503" s="98" t="s">
        <v>3533</v>
      </c>
      <c r="D1503" s="120" t="s">
        <v>3563</v>
      </c>
      <c r="E1503" s="98">
        <v>7.6699999999999997E-3</v>
      </c>
      <c r="F1503" s="120">
        <v>0</v>
      </c>
      <c r="G1503" s="121">
        <v>0</v>
      </c>
      <c r="H1503" s="123">
        <v>7.6699999999999997E-3</v>
      </c>
      <c r="I1503" s="122">
        <v>0</v>
      </c>
      <c r="J1503" s="124">
        <f t="shared" si="23"/>
        <v>7.67</v>
      </c>
      <c r="K1503" s="98" t="s">
        <v>5846</v>
      </c>
    </row>
    <row r="1504" spans="1:11" ht="15" customHeight="1" x14ac:dyDescent="0.2">
      <c r="A1504" s="120" t="s">
        <v>2334</v>
      </c>
      <c r="B1504" s="120" t="s">
        <v>2184</v>
      </c>
      <c r="C1504" s="98" t="s">
        <v>3533</v>
      </c>
      <c r="D1504" s="120" t="s">
        <v>3563</v>
      </c>
      <c r="E1504" s="98">
        <v>2.5000000000000001E-2</v>
      </c>
      <c r="F1504" s="120">
        <v>0</v>
      </c>
      <c r="G1504" s="121">
        <v>25000</v>
      </c>
      <c r="H1504" s="123">
        <v>2.5000000000000001E-2</v>
      </c>
      <c r="I1504" s="122">
        <v>625</v>
      </c>
      <c r="J1504" s="124">
        <f t="shared" si="23"/>
        <v>25</v>
      </c>
      <c r="K1504" s="98" t="s">
        <v>2387</v>
      </c>
    </row>
    <row r="1505" spans="1:11" ht="15" customHeight="1" x14ac:dyDescent="0.2">
      <c r="A1505" s="120" t="s">
        <v>5847</v>
      </c>
      <c r="B1505" s="120" t="s">
        <v>2198</v>
      </c>
      <c r="C1505" s="98" t="s">
        <v>3532</v>
      </c>
      <c r="D1505" s="120" t="s">
        <v>3563</v>
      </c>
      <c r="E1505" s="98">
        <v>5.185E-2</v>
      </c>
      <c r="F1505" s="120">
        <v>0</v>
      </c>
      <c r="G1505" s="121">
        <v>0</v>
      </c>
      <c r="H1505" s="123">
        <v>5.185E-2</v>
      </c>
      <c r="I1505" s="122">
        <v>0</v>
      </c>
      <c r="J1505" s="124">
        <f t="shared" si="23"/>
        <v>51.85</v>
      </c>
    </row>
    <row r="1506" spans="1:11" ht="15" customHeight="1" x14ac:dyDescent="0.2">
      <c r="A1506" s="120" t="s">
        <v>5848</v>
      </c>
      <c r="B1506" s="120" t="s">
        <v>5306</v>
      </c>
      <c r="C1506" s="98" t="s">
        <v>3532</v>
      </c>
      <c r="D1506" s="120" t="s">
        <v>3563</v>
      </c>
      <c r="E1506" s="98">
        <v>2.5700000000000001E-2</v>
      </c>
      <c r="F1506" s="120">
        <v>0</v>
      </c>
      <c r="G1506" s="121">
        <v>0</v>
      </c>
      <c r="H1506" s="123">
        <v>2.5700000000000001E-2</v>
      </c>
      <c r="I1506" s="122">
        <v>0</v>
      </c>
      <c r="J1506" s="124">
        <f t="shared" si="23"/>
        <v>25.7</v>
      </c>
    </row>
    <row r="1507" spans="1:11" ht="15" customHeight="1" x14ac:dyDescent="0.2">
      <c r="A1507" s="120" t="s">
        <v>5849</v>
      </c>
      <c r="B1507" s="120" t="s">
        <v>5428</v>
      </c>
      <c r="C1507" s="98" t="s">
        <v>3532</v>
      </c>
      <c r="D1507" s="120" t="s">
        <v>3563</v>
      </c>
      <c r="E1507" s="98">
        <v>2.5239999999999999E-2</v>
      </c>
      <c r="F1507" s="120">
        <v>0</v>
      </c>
      <c r="G1507" s="121">
        <v>0</v>
      </c>
      <c r="H1507" s="123">
        <v>2.5239999999999999E-2</v>
      </c>
      <c r="I1507" s="122">
        <v>0</v>
      </c>
      <c r="J1507" s="124">
        <f t="shared" si="23"/>
        <v>25.24</v>
      </c>
    </row>
    <row r="1508" spans="1:11" ht="15" customHeight="1" x14ac:dyDescent="0.2">
      <c r="A1508" s="120" t="s">
        <v>5850</v>
      </c>
      <c r="B1508" s="120" t="s">
        <v>3532</v>
      </c>
      <c r="C1508" s="98" t="s">
        <v>3533</v>
      </c>
      <c r="D1508" s="120" t="s">
        <v>3563</v>
      </c>
      <c r="E1508" s="98">
        <v>0.1915</v>
      </c>
      <c r="F1508" s="120">
        <v>0</v>
      </c>
      <c r="G1508" s="121">
        <v>0</v>
      </c>
      <c r="H1508" s="123">
        <v>0.1915</v>
      </c>
      <c r="I1508" s="122">
        <v>0</v>
      </c>
      <c r="J1508" s="124">
        <f t="shared" si="23"/>
        <v>191.5</v>
      </c>
    </row>
    <row r="1509" spans="1:11" ht="15" customHeight="1" x14ac:dyDescent="0.2">
      <c r="A1509" s="120" t="s">
        <v>5851</v>
      </c>
      <c r="B1509" s="120" t="s">
        <v>2198</v>
      </c>
      <c r="C1509" s="98" t="s">
        <v>3532</v>
      </c>
      <c r="D1509" s="120" t="s">
        <v>3563</v>
      </c>
      <c r="E1509" s="98">
        <v>1.7749999999999998E-2</v>
      </c>
      <c r="F1509" s="120">
        <v>0</v>
      </c>
      <c r="G1509" s="121">
        <v>0</v>
      </c>
      <c r="H1509" s="123">
        <v>1.7749999999999998E-2</v>
      </c>
      <c r="I1509" s="122">
        <v>0</v>
      </c>
      <c r="J1509" s="124">
        <f t="shared" si="23"/>
        <v>17.75</v>
      </c>
    </row>
    <row r="1510" spans="1:11" ht="15" customHeight="1" x14ac:dyDescent="0.2">
      <c r="A1510" s="120" t="s">
        <v>5852</v>
      </c>
      <c r="B1510" s="120" t="s">
        <v>3532</v>
      </c>
      <c r="C1510" s="98" t="s">
        <v>3532</v>
      </c>
      <c r="D1510" s="120" t="s">
        <v>3563</v>
      </c>
      <c r="E1510" s="98">
        <v>0</v>
      </c>
      <c r="F1510" s="120">
        <v>0</v>
      </c>
      <c r="G1510" s="121">
        <v>0</v>
      </c>
      <c r="H1510" s="123">
        <v>0</v>
      </c>
      <c r="I1510" s="122">
        <v>0</v>
      </c>
      <c r="J1510" s="124">
        <f t="shared" si="23"/>
        <v>0</v>
      </c>
    </row>
    <row r="1511" spans="1:11" ht="15" customHeight="1" x14ac:dyDescent="0.2">
      <c r="A1511" s="120" t="s">
        <v>5853</v>
      </c>
      <c r="B1511" s="120" t="s">
        <v>4685</v>
      </c>
      <c r="C1511" s="98" t="s">
        <v>3532</v>
      </c>
      <c r="D1511" s="120" t="s">
        <v>3563</v>
      </c>
      <c r="E1511" s="98">
        <v>2.8490000000000001E-2</v>
      </c>
      <c r="F1511" s="120">
        <v>0</v>
      </c>
      <c r="G1511" s="121">
        <v>0</v>
      </c>
      <c r="H1511" s="123">
        <v>2.8490000000000001E-2</v>
      </c>
      <c r="I1511" s="122">
        <v>0</v>
      </c>
      <c r="J1511" s="124">
        <f t="shared" si="23"/>
        <v>28.490000000000002</v>
      </c>
    </row>
    <row r="1512" spans="1:11" ht="15" customHeight="1" x14ac:dyDescent="0.2">
      <c r="A1512" s="120" t="s">
        <v>5854</v>
      </c>
      <c r="B1512" s="120" t="s">
        <v>3532</v>
      </c>
      <c r="C1512" s="98" t="s">
        <v>3532</v>
      </c>
      <c r="D1512" s="120" t="s">
        <v>3563</v>
      </c>
      <c r="E1512" s="98">
        <v>0</v>
      </c>
      <c r="F1512" s="120">
        <v>0</v>
      </c>
      <c r="G1512" s="121">
        <v>0</v>
      </c>
      <c r="H1512" s="123">
        <v>0</v>
      </c>
      <c r="I1512" s="122">
        <v>0</v>
      </c>
      <c r="J1512" s="124">
        <f t="shared" si="23"/>
        <v>0</v>
      </c>
    </row>
    <row r="1513" spans="1:11" ht="15" customHeight="1" x14ac:dyDescent="0.2">
      <c r="A1513" s="120" t="s">
        <v>5855</v>
      </c>
      <c r="B1513" s="120" t="s">
        <v>4833</v>
      </c>
      <c r="C1513" s="98" t="s">
        <v>3533</v>
      </c>
      <c r="D1513" s="120" t="s">
        <v>3563</v>
      </c>
      <c r="E1513" s="98">
        <v>4.1250000000000002E-2</v>
      </c>
      <c r="F1513" s="120">
        <v>0</v>
      </c>
      <c r="G1513" s="121">
        <v>71445</v>
      </c>
      <c r="H1513" s="123">
        <v>4.1250000000000002E-2</v>
      </c>
      <c r="I1513" s="122">
        <v>2947.1062500000003</v>
      </c>
      <c r="J1513" s="124">
        <f t="shared" si="23"/>
        <v>41.25</v>
      </c>
      <c r="K1513" s="98" t="s">
        <v>5856</v>
      </c>
    </row>
    <row r="1514" spans="1:11" ht="15" customHeight="1" x14ac:dyDescent="0.2">
      <c r="A1514" s="120" t="s">
        <v>5857</v>
      </c>
      <c r="B1514" s="120" t="s">
        <v>3532</v>
      </c>
      <c r="C1514" s="98" t="s">
        <v>3533</v>
      </c>
      <c r="D1514" s="120" t="s">
        <v>3563</v>
      </c>
      <c r="E1514" s="98">
        <v>1.15E-2</v>
      </c>
      <c r="F1514" s="120">
        <v>0</v>
      </c>
      <c r="G1514" s="121">
        <v>0</v>
      </c>
      <c r="H1514" s="123">
        <v>1.15E-2</v>
      </c>
      <c r="I1514" s="122">
        <v>0</v>
      </c>
      <c r="J1514" s="124">
        <f t="shared" si="23"/>
        <v>11.5</v>
      </c>
    </row>
    <row r="1515" spans="1:11" ht="15" customHeight="1" x14ac:dyDescent="0.2">
      <c r="A1515" s="120" t="s">
        <v>5858</v>
      </c>
      <c r="B1515" s="120" t="s">
        <v>5859</v>
      </c>
      <c r="C1515" s="98" t="s">
        <v>3540</v>
      </c>
      <c r="D1515" s="120" t="s">
        <v>3563</v>
      </c>
      <c r="E1515" s="98">
        <v>0</v>
      </c>
      <c r="F1515" s="120">
        <v>0</v>
      </c>
      <c r="G1515" s="121">
        <v>0</v>
      </c>
      <c r="H1515" s="123">
        <v>0</v>
      </c>
      <c r="I1515" s="122">
        <v>0</v>
      </c>
      <c r="J1515" s="124">
        <f t="shared" si="23"/>
        <v>0</v>
      </c>
    </row>
    <row r="1516" spans="1:11" ht="15" customHeight="1" x14ac:dyDescent="0.2">
      <c r="A1516" s="120" t="s">
        <v>5860</v>
      </c>
      <c r="B1516" s="120" t="s">
        <v>5861</v>
      </c>
      <c r="C1516" s="98" t="s">
        <v>3532</v>
      </c>
      <c r="D1516" s="120" t="s">
        <v>3563</v>
      </c>
      <c r="E1516" s="98">
        <v>0</v>
      </c>
      <c r="F1516" s="120">
        <v>0</v>
      </c>
      <c r="G1516" s="121">
        <v>0</v>
      </c>
      <c r="H1516" s="123">
        <v>0</v>
      </c>
      <c r="I1516" s="122">
        <v>0</v>
      </c>
      <c r="J1516" s="124">
        <f t="shared" si="23"/>
        <v>0</v>
      </c>
    </row>
    <row r="1517" spans="1:11" ht="15" customHeight="1" x14ac:dyDescent="0.2">
      <c r="A1517" s="120" t="s">
        <v>5862</v>
      </c>
      <c r="B1517" s="120" t="s">
        <v>3532</v>
      </c>
      <c r="C1517" s="98" t="s">
        <v>3533</v>
      </c>
      <c r="D1517" s="120" t="s">
        <v>3563</v>
      </c>
      <c r="E1517" s="98">
        <v>3.4000000000000002E-2</v>
      </c>
      <c r="F1517" s="120">
        <v>0</v>
      </c>
      <c r="G1517" s="121">
        <v>15535</v>
      </c>
      <c r="H1517" s="123">
        <v>3.4000000000000002E-2</v>
      </c>
      <c r="I1517" s="122">
        <v>528.19000000000005</v>
      </c>
      <c r="J1517" s="124">
        <f t="shared" si="23"/>
        <v>34</v>
      </c>
    </row>
    <row r="1518" spans="1:11" ht="15" customHeight="1" x14ac:dyDescent="0.2">
      <c r="A1518" s="120" t="s">
        <v>5863</v>
      </c>
      <c r="B1518" s="120" t="s">
        <v>5273</v>
      </c>
      <c r="C1518" s="98" t="s">
        <v>3533</v>
      </c>
      <c r="D1518" s="120" t="s">
        <v>3563</v>
      </c>
      <c r="E1518" s="98">
        <v>0.42</v>
      </c>
      <c r="F1518" s="120">
        <v>0</v>
      </c>
      <c r="G1518" s="121">
        <v>0</v>
      </c>
      <c r="H1518" s="123">
        <v>0.42</v>
      </c>
      <c r="I1518" s="122">
        <v>0</v>
      </c>
      <c r="J1518" s="124">
        <f t="shared" si="23"/>
        <v>420</v>
      </c>
      <c r="K1518" s="98" t="s">
        <v>5730</v>
      </c>
    </row>
    <row r="1519" spans="1:11" ht="15" customHeight="1" x14ac:dyDescent="0.2">
      <c r="A1519" s="120" t="s">
        <v>5864</v>
      </c>
      <c r="B1519" s="120" t="s">
        <v>3532</v>
      </c>
      <c r="C1519" s="98" t="s">
        <v>3532</v>
      </c>
      <c r="D1519" s="120" t="s">
        <v>3563</v>
      </c>
      <c r="E1519" s="98">
        <v>4.3651000000000002E-2</v>
      </c>
      <c r="F1519" s="120">
        <v>0</v>
      </c>
      <c r="G1519" s="121">
        <v>0</v>
      </c>
      <c r="H1519" s="123">
        <v>4.3651000000000002E-2</v>
      </c>
      <c r="I1519" s="122">
        <v>0</v>
      </c>
      <c r="J1519" s="124">
        <f t="shared" si="23"/>
        <v>43.651000000000003</v>
      </c>
    </row>
    <row r="1520" spans="1:11" ht="15" customHeight="1" x14ac:dyDescent="0.2">
      <c r="A1520" s="120" t="s">
        <v>5865</v>
      </c>
      <c r="B1520" s="120" t="s">
        <v>3532</v>
      </c>
      <c r="C1520" s="98" t="s">
        <v>3532</v>
      </c>
      <c r="D1520" s="120" t="s">
        <v>3563</v>
      </c>
      <c r="E1520" s="98">
        <v>1.15E-2</v>
      </c>
      <c r="F1520" s="120">
        <v>0</v>
      </c>
      <c r="G1520" s="121">
        <v>0</v>
      </c>
      <c r="H1520" s="123">
        <v>1.15E-2</v>
      </c>
      <c r="I1520" s="122">
        <v>0</v>
      </c>
      <c r="J1520" s="124">
        <f t="shared" si="23"/>
        <v>11.5</v>
      </c>
    </row>
    <row r="1521" spans="1:11" ht="15" customHeight="1" x14ac:dyDescent="0.2">
      <c r="A1521" s="120" t="s">
        <v>5866</v>
      </c>
      <c r="B1521" s="120" t="s">
        <v>2215</v>
      </c>
      <c r="C1521" s="98" t="s">
        <v>3532</v>
      </c>
      <c r="D1521" s="120" t="s">
        <v>3563</v>
      </c>
      <c r="E1521" s="98">
        <v>2.5999999999999999E-2</v>
      </c>
      <c r="F1521" s="120">
        <v>0</v>
      </c>
      <c r="G1521" s="121">
        <v>0</v>
      </c>
      <c r="H1521" s="123">
        <v>2.5999999999999999E-2</v>
      </c>
      <c r="I1521" s="122">
        <v>0</v>
      </c>
      <c r="J1521" s="124">
        <f t="shared" si="23"/>
        <v>26</v>
      </c>
    </row>
    <row r="1522" spans="1:11" ht="15" customHeight="1" x14ac:dyDescent="0.2">
      <c r="A1522" s="120" t="s">
        <v>5867</v>
      </c>
      <c r="B1522" s="120" t="s">
        <v>3532</v>
      </c>
      <c r="C1522" s="98" t="s">
        <v>3532</v>
      </c>
      <c r="D1522" s="120" t="s">
        <v>3563</v>
      </c>
      <c r="E1522" s="98">
        <v>2.6339999999999999E-2</v>
      </c>
      <c r="F1522" s="120">
        <v>0</v>
      </c>
      <c r="G1522" s="121">
        <v>0</v>
      </c>
      <c r="H1522" s="123">
        <v>2.6339999999999999E-2</v>
      </c>
      <c r="I1522" s="122">
        <v>0</v>
      </c>
      <c r="J1522" s="124">
        <f t="shared" si="23"/>
        <v>26.34</v>
      </c>
    </row>
    <row r="1523" spans="1:11" ht="15" customHeight="1" x14ac:dyDescent="0.2">
      <c r="A1523" s="120" t="s">
        <v>5868</v>
      </c>
      <c r="B1523" s="120" t="s">
        <v>3532</v>
      </c>
      <c r="C1523" s="98" t="s">
        <v>3532</v>
      </c>
      <c r="D1523" s="120" t="s">
        <v>3563</v>
      </c>
      <c r="E1523" s="98">
        <v>2.6009999999999998E-2</v>
      </c>
      <c r="F1523" s="120">
        <v>0</v>
      </c>
      <c r="G1523" s="121">
        <v>0</v>
      </c>
      <c r="H1523" s="123">
        <v>2.6009999999999998E-2</v>
      </c>
      <c r="I1523" s="122">
        <v>0</v>
      </c>
      <c r="J1523" s="124">
        <f t="shared" si="23"/>
        <v>26.009999999999998</v>
      </c>
    </row>
    <row r="1524" spans="1:11" ht="15" customHeight="1" x14ac:dyDescent="0.2">
      <c r="A1524" s="120" t="s">
        <v>5869</v>
      </c>
      <c r="B1524" s="120" t="s">
        <v>3532</v>
      </c>
      <c r="C1524" s="98" t="s">
        <v>3532</v>
      </c>
      <c r="D1524" s="120" t="s">
        <v>3563</v>
      </c>
      <c r="E1524" s="98">
        <v>3.307E-3</v>
      </c>
      <c r="F1524" s="120">
        <v>0</v>
      </c>
      <c r="G1524" s="121">
        <v>0</v>
      </c>
      <c r="H1524" s="123">
        <v>3.307E-3</v>
      </c>
      <c r="I1524" s="122">
        <v>0</v>
      </c>
      <c r="J1524" s="124">
        <f t="shared" si="23"/>
        <v>3.3069999999999999</v>
      </c>
    </row>
    <row r="1525" spans="1:11" ht="15" customHeight="1" x14ac:dyDescent="0.2">
      <c r="A1525" s="120" t="s">
        <v>5870</v>
      </c>
      <c r="B1525" s="120" t="s">
        <v>3532</v>
      </c>
      <c r="C1525" s="98" t="s">
        <v>3532</v>
      </c>
      <c r="D1525" s="120" t="s">
        <v>3563</v>
      </c>
      <c r="E1525" s="98">
        <v>1.2999999999999999E-3</v>
      </c>
      <c r="F1525" s="120">
        <v>0</v>
      </c>
      <c r="G1525" s="121">
        <v>0</v>
      </c>
      <c r="H1525" s="123">
        <v>1.2999999999999999E-3</v>
      </c>
      <c r="I1525" s="122">
        <v>0</v>
      </c>
      <c r="J1525" s="124">
        <f t="shared" si="23"/>
        <v>1.3</v>
      </c>
    </row>
    <row r="1526" spans="1:11" ht="15" customHeight="1" x14ac:dyDescent="0.2">
      <c r="A1526" s="120" t="s">
        <v>5871</v>
      </c>
      <c r="B1526" s="120" t="s">
        <v>5076</v>
      </c>
      <c r="C1526" s="98" t="s">
        <v>3533</v>
      </c>
      <c r="D1526" s="120" t="s">
        <v>3563</v>
      </c>
      <c r="E1526" s="98">
        <v>1.091E-2</v>
      </c>
      <c r="F1526" s="120">
        <v>0</v>
      </c>
      <c r="G1526" s="121">
        <v>0</v>
      </c>
      <c r="H1526" s="123">
        <v>1.091E-2</v>
      </c>
      <c r="I1526" s="122">
        <v>0</v>
      </c>
      <c r="J1526" s="124">
        <f t="shared" si="23"/>
        <v>10.91</v>
      </c>
    </row>
    <row r="1527" spans="1:11" ht="15" customHeight="1" x14ac:dyDescent="0.2">
      <c r="A1527" s="120" t="s">
        <v>5872</v>
      </c>
      <c r="B1527" s="120" t="s">
        <v>5076</v>
      </c>
      <c r="C1527" s="98" t="s">
        <v>3533</v>
      </c>
      <c r="D1527" s="120" t="s">
        <v>3563</v>
      </c>
      <c r="E1527" s="98">
        <v>6.5035273368606698E-3</v>
      </c>
      <c r="F1527" s="120">
        <v>0</v>
      </c>
      <c r="G1527" s="121">
        <v>46320</v>
      </c>
      <c r="H1527" s="123">
        <v>6.5040000000000002E-3</v>
      </c>
      <c r="I1527" s="122">
        <v>301.26528000000002</v>
      </c>
      <c r="J1527" s="124">
        <f t="shared" si="23"/>
        <v>6.5035273368606701</v>
      </c>
      <c r="K1527" s="98" t="s">
        <v>5873</v>
      </c>
    </row>
    <row r="1528" spans="1:11" ht="15" customHeight="1" x14ac:dyDescent="0.2">
      <c r="A1528" s="120" t="s">
        <v>5874</v>
      </c>
      <c r="B1528" s="120" t="s">
        <v>5211</v>
      </c>
      <c r="C1528" s="98" t="s">
        <v>3533</v>
      </c>
      <c r="D1528" s="120" t="s">
        <v>3563</v>
      </c>
      <c r="E1528" s="98">
        <v>1.8849999999999999E-2</v>
      </c>
      <c r="F1528" s="120">
        <v>0</v>
      </c>
      <c r="G1528" s="121">
        <v>5994</v>
      </c>
      <c r="H1528" s="123">
        <v>1.8849999999999999E-2</v>
      </c>
      <c r="I1528" s="122">
        <v>112.98689999999999</v>
      </c>
      <c r="J1528" s="124">
        <f t="shared" si="23"/>
        <v>18.849999999999998</v>
      </c>
      <c r="K1528" s="98" t="s">
        <v>5189</v>
      </c>
    </row>
    <row r="1529" spans="1:11" ht="15" customHeight="1" x14ac:dyDescent="0.2">
      <c r="A1529" s="120" t="s">
        <v>5875</v>
      </c>
      <c r="B1529" s="120" t="s">
        <v>5876</v>
      </c>
      <c r="C1529" s="98" t="s">
        <v>3532</v>
      </c>
      <c r="D1529" s="120" t="s">
        <v>3563</v>
      </c>
      <c r="E1529" s="98">
        <v>0</v>
      </c>
      <c r="F1529" s="120">
        <v>0</v>
      </c>
      <c r="G1529" s="121">
        <v>0</v>
      </c>
      <c r="H1529" s="123">
        <v>0</v>
      </c>
      <c r="I1529" s="122">
        <v>0</v>
      </c>
      <c r="J1529" s="124">
        <f t="shared" si="23"/>
        <v>0</v>
      </c>
    </row>
    <row r="1530" spans="1:11" ht="15" customHeight="1" x14ac:dyDescent="0.2">
      <c r="A1530" s="120" t="s">
        <v>5877</v>
      </c>
      <c r="B1530" s="120" t="s">
        <v>5878</v>
      </c>
      <c r="C1530" s="98" t="s">
        <v>3532</v>
      </c>
      <c r="D1530" s="120" t="s">
        <v>3563</v>
      </c>
      <c r="E1530" s="98">
        <v>0</v>
      </c>
      <c r="F1530" s="120">
        <v>0</v>
      </c>
      <c r="G1530" s="121">
        <v>0</v>
      </c>
      <c r="H1530" s="123">
        <v>0</v>
      </c>
      <c r="I1530" s="122">
        <v>0</v>
      </c>
      <c r="J1530" s="124">
        <f t="shared" si="23"/>
        <v>0</v>
      </c>
    </row>
    <row r="1531" spans="1:11" ht="15" customHeight="1" x14ac:dyDescent="0.2">
      <c r="A1531" s="120" t="s">
        <v>5879</v>
      </c>
      <c r="B1531" s="120" t="s">
        <v>2184</v>
      </c>
      <c r="C1531" s="98" t="s">
        <v>3533</v>
      </c>
      <c r="D1531" s="120" t="s">
        <v>3563</v>
      </c>
      <c r="E1531" s="98">
        <v>12.5</v>
      </c>
      <c r="F1531" s="120">
        <v>0</v>
      </c>
      <c r="G1531" s="121">
        <v>673</v>
      </c>
      <c r="H1531" s="123">
        <v>12.5</v>
      </c>
      <c r="I1531" s="122">
        <v>8412.5</v>
      </c>
      <c r="J1531" s="124">
        <f t="shared" si="23"/>
        <v>12500</v>
      </c>
      <c r="K1531" s="98" t="s">
        <v>5880</v>
      </c>
    </row>
    <row r="1532" spans="1:11" ht="15" customHeight="1" x14ac:dyDescent="0.2">
      <c r="A1532" s="120" t="s">
        <v>5881</v>
      </c>
      <c r="B1532" s="120" t="s">
        <v>5306</v>
      </c>
      <c r="C1532" s="98" t="s">
        <v>3532</v>
      </c>
      <c r="D1532" s="120" t="s">
        <v>3563</v>
      </c>
      <c r="E1532" s="98">
        <v>2.1950000000000001E-2</v>
      </c>
      <c r="F1532" s="120">
        <v>0</v>
      </c>
      <c r="G1532" s="121">
        <v>0</v>
      </c>
      <c r="H1532" s="123">
        <v>2.1950000000000001E-2</v>
      </c>
      <c r="I1532" s="122">
        <v>0</v>
      </c>
      <c r="J1532" s="124">
        <f t="shared" si="23"/>
        <v>21.95</v>
      </c>
    </row>
    <row r="1533" spans="1:11" ht="15" customHeight="1" x14ac:dyDescent="0.2">
      <c r="A1533" s="120" t="s">
        <v>5882</v>
      </c>
      <c r="B1533" s="120" t="s">
        <v>3532</v>
      </c>
      <c r="C1533" s="98" t="s">
        <v>3532</v>
      </c>
      <c r="D1533" s="120" t="s">
        <v>3563</v>
      </c>
      <c r="E1533" s="98">
        <v>2.6749999999999999E-2</v>
      </c>
      <c r="F1533" s="120">
        <v>0</v>
      </c>
      <c r="G1533" s="121">
        <v>0</v>
      </c>
      <c r="H1533" s="123">
        <v>2.6749999999999999E-2</v>
      </c>
      <c r="I1533" s="122">
        <v>0</v>
      </c>
      <c r="J1533" s="124">
        <f t="shared" si="23"/>
        <v>26.75</v>
      </c>
    </row>
    <row r="1534" spans="1:11" ht="15" customHeight="1" x14ac:dyDescent="0.2">
      <c r="A1534" s="120" t="s">
        <v>5883</v>
      </c>
      <c r="B1534" s="120" t="s">
        <v>5147</v>
      </c>
      <c r="C1534" s="98" t="s">
        <v>3533</v>
      </c>
      <c r="D1534" s="120" t="s">
        <v>3563</v>
      </c>
      <c r="E1534" s="98">
        <v>0.14949999999999999</v>
      </c>
      <c r="F1534" s="120">
        <v>0</v>
      </c>
      <c r="G1534" s="121">
        <v>440</v>
      </c>
      <c r="H1534" s="123">
        <v>0.14949999999999999</v>
      </c>
      <c r="I1534" s="122">
        <v>65.78</v>
      </c>
      <c r="J1534" s="124">
        <f t="shared" si="23"/>
        <v>149.5</v>
      </c>
      <c r="K1534" s="98" t="s">
        <v>5884</v>
      </c>
    </row>
    <row r="1535" spans="1:11" ht="15" customHeight="1" x14ac:dyDescent="0.2">
      <c r="A1535" s="120" t="s">
        <v>5885</v>
      </c>
      <c r="B1535" s="120" t="s">
        <v>5876</v>
      </c>
      <c r="C1535" s="98" t="s">
        <v>3532</v>
      </c>
      <c r="D1535" s="120" t="s">
        <v>3563</v>
      </c>
      <c r="E1535" s="98">
        <v>1.3769999999999999E-2</v>
      </c>
      <c r="F1535" s="120">
        <v>0</v>
      </c>
      <c r="G1535" s="121">
        <v>0</v>
      </c>
      <c r="H1535" s="123">
        <v>1.3769999999999999E-2</v>
      </c>
      <c r="I1535" s="122">
        <v>0</v>
      </c>
      <c r="J1535" s="124">
        <f t="shared" si="23"/>
        <v>13.77</v>
      </c>
    </row>
    <row r="1536" spans="1:11" ht="15" customHeight="1" x14ac:dyDescent="0.2">
      <c r="A1536" s="120" t="s">
        <v>2259</v>
      </c>
      <c r="B1536" s="120" t="s">
        <v>3532</v>
      </c>
      <c r="C1536" s="98" t="s">
        <v>3532</v>
      </c>
      <c r="D1536" s="120" t="s">
        <v>3563</v>
      </c>
      <c r="E1536" s="98">
        <v>1.2500000000000001E-2</v>
      </c>
      <c r="F1536" s="120">
        <v>0</v>
      </c>
      <c r="G1536" s="121">
        <v>0</v>
      </c>
      <c r="H1536" s="123">
        <v>1.2500000000000001E-2</v>
      </c>
      <c r="I1536" s="122">
        <v>0</v>
      </c>
      <c r="J1536" s="124">
        <f t="shared" si="23"/>
        <v>12.5</v>
      </c>
    </row>
    <row r="1537" spans="1:11" ht="15" customHeight="1" x14ac:dyDescent="0.2">
      <c r="A1537" s="120" t="s">
        <v>5886</v>
      </c>
      <c r="B1537" s="120" t="s">
        <v>3532</v>
      </c>
      <c r="C1537" s="98" t="s">
        <v>3532</v>
      </c>
      <c r="D1537" s="120" t="s">
        <v>3563</v>
      </c>
      <c r="E1537" s="98">
        <v>1.4800000000000001E-2</v>
      </c>
      <c r="F1537" s="120">
        <v>0</v>
      </c>
      <c r="G1537" s="121">
        <v>0</v>
      </c>
      <c r="H1537" s="123">
        <v>1.4800000000000001E-2</v>
      </c>
      <c r="I1537" s="122">
        <v>0</v>
      </c>
      <c r="J1537" s="124">
        <f t="shared" si="23"/>
        <v>14.8</v>
      </c>
    </row>
    <row r="1538" spans="1:11" ht="15" customHeight="1" x14ac:dyDescent="0.2">
      <c r="A1538" s="120" t="s">
        <v>2325</v>
      </c>
      <c r="B1538" s="120" t="s">
        <v>2263</v>
      </c>
      <c r="C1538" s="98" t="s">
        <v>3532</v>
      </c>
      <c r="D1538" s="120" t="s">
        <v>3563</v>
      </c>
      <c r="E1538" s="98">
        <v>8.1000000000000003E-2</v>
      </c>
      <c r="F1538" s="120">
        <v>0</v>
      </c>
      <c r="G1538" s="121">
        <v>0</v>
      </c>
      <c r="H1538" s="123">
        <v>8.1000000000000003E-2</v>
      </c>
      <c r="I1538" s="122">
        <v>0</v>
      </c>
      <c r="J1538" s="124">
        <f t="shared" ref="J1538:J1601" si="24">IF(D1538="gm", E1538*1000,+E1538)</f>
        <v>81</v>
      </c>
    </row>
    <row r="1539" spans="1:11" ht="15" customHeight="1" x14ac:dyDescent="0.2">
      <c r="A1539" s="120" t="s">
        <v>5887</v>
      </c>
      <c r="B1539" s="120" t="s">
        <v>5888</v>
      </c>
      <c r="C1539" s="98" t="s">
        <v>3540</v>
      </c>
      <c r="D1539" s="120" t="s">
        <v>3563</v>
      </c>
      <c r="E1539" s="98">
        <v>2.5219999999999999E-2</v>
      </c>
      <c r="F1539" s="120">
        <v>0</v>
      </c>
      <c r="G1539" s="121">
        <v>0</v>
      </c>
      <c r="H1539" s="123">
        <v>2.5219999999999999E-2</v>
      </c>
      <c r="I1539" s="122">
        <v>0</v>
      </c>
      <c r="J1539" s="124">
        <f t="shared" si="24"/>
        <v>25.22</v>
      </c>
    </row>
    <row r="1540" spans="1:11" ht="15" customHeight="1" x14ac:dyDescent="0.2">
      <c r="A1540" s="120" t="s">
        <v>5889</v>
      </c>
      <c r="B1540" s="120" t="s">
        <v>2184</v>
      </c>
      <c r="C1540" s="98" t="s">
        <v>3533</v>
      </c>
      <c r="D1540" s="120" t="s">
        <v>3563</v>
      </c>
      <c r="E1540" s="98">
        <v>4.9500000000000002E-2</v>
      </c>
      <c r="F1540" s="120">
        <v>0</v>
      </c>
      <c r="G1540" s="121">
        <v>13355</v>
      </c>
      <c r="H1540" s="123">
        <v>4.9500000000000002E-2</v>
      </c>
      <c r="I1540" s="122">
        <v>661.07249999999999</v>
      </c>
      <c r="J1540" s="124">
        <f t="shared" si="24"/>
        <v>49.5</v>
      </c>
      <c r="K1540" s="98" t="s">
        <v>2387</v>
      </c>
    </row>
    <row r="1541" spans="1:11" ht="15" customHeight="1" x14ac:dyDescent="0.2">
      <c r="A1541" s="120" t="s">
        <v>5890</v>
      </c>
      <c r="B1541" s="120" t="s">
        <v>3532</v>
      </c>
      <c r="C1541" s="98" t="s">
        <v>3532</v>
      </c>
      <c r="D1541" s="120" t="s">
        <v>3563</v>
      </c>
      <c r="E1541" s="98">
        <v>0.31</v>
      </c>
      <c r="F1541" s="120">
        <v>0</v>
      </c>
      <c r="G1541" s="121">
        <v>0</v>
      </c>
      <c r="H1541" s="123">
        <v>0.31</v>
      </c>
      <c r="I1541" s="122">
        <v>0</v>
      </c>
      <c r="J1541" s="124">
        <f t="shared" si="24"/>
        <v>310</v>
      </c>
    </row>
    <row r="1542" spans="1:11" ht="15" customHeight="1" x14ac:dyDescent="0.2">
      <c r="A1542" s="120" t="s">
        <v>5891</v>
      </c>
      <c r="B1542" s="120" t="s">
        <v>3532</v>
      </c>
      <c r="C1542" s="98" t="s">
        <v>3540</v>
      </c>
      <c r="D1542" s="120" t="s">
        <v>3563</v>
      </c>
      <c r="E1542" s="98">
        <v>1.278E-2</v>
      </c>
      <c r="F1542" s="120">
        <v>0</v>
      </c>
      <c r="G1542" s="121">
        <v>0</v>
      </c>
      <c r="H1542" s="123">
        <v>1.278E-2</v>
      </c>
      <c r="I1542" s="122">
        <v>0</v>
      </c>
      <c r="J1542" s="124">
        <f t="shared" si="24"/>
        <v>12.78</v>
      </c>
    </row>
    <row r="1543" spans="1:11" ht="15" customHeight="1" x14ac:dyDescent="0.2">
      <c r="A1543" s="120" t="s">
        <v>5892</v>
      </c>
      <c r="B1543" s="120" t="s">
        <v>3532</v>
      </c>
      <c r="C1543" s="98" t="s">
        <v>3532</v>
      </c>
      <c r="D1543" s="120" t="s">
        <v>3563</v>
      </c>
      <c r="E1543" s="98">
        <v>0</v>
      </c>
      <c r="F1543" s="120">
        <v>0</v>
      </c>
      <c r="G1543" s="121">
        <v>0</v>
      </c>
      <c r="H1543" s="123">
        <v>0</v>
      </c>
      <c r="I1543" s="122">
        <v>0</v>
      </c>
      <c r="J1543" s="124">
        <f t="shared" si="24"/>
        <v>0</v>
      </c>
    </row>
    <row r="1544" spans="1:11" ht="15" customHeight="1" x14ac:dyDescent="0.2">
      <c r="A1544" s="120" t="s">
        <v>5893</v>
      </c>
      <c r="B1544" s="120" t="s">
        <v>3532</v>
      </c>
      <c r="C1544" s="98" t="s">
        <v>3532</v>
      </c>
      <c r="D1544" s="120" t="s">
        <v>3563</v>
      </c>
      <c r="E1544" s="98">
        <v>0.125</v>
      </c>
      <c r="F1544" s="120">
        <v>0</v>
      </c>
      <c r="G1544" s="121">
        <v>0</v>
      </c>
      <c r="H1544" s="123">
        <v>0.125</v>
      </c>
      <c r="I1544" s="122">
        <v>0</v>
      </c>
      <c r="J1544" s="124">
        <f t="shared" si="24"/>
        <v>125</v>
      </c>
    </row>
    <row r="1545" spans="1:11" ht="15" customHeight="1" x14ac:dyDescent="0.2">
      <c r="A1545" s="120" t="s">
        <v>5894</v>
      </c>
      <c r="B1545" s="120" t="s">
        <v>4783</v>
      </c>
      <c r="C1545" s="98" t="s">
        <v>3540</v>
      </c>
      <c r="D1545" s="120" t="s">
        <v>3563</v>
      </c>
      <c r="E1545" s="98">
        <v>7.8050000000000003E-3</v>
      </c>
      <c r="F1545" s="120">
        <v>0</v>
      </c>
      <c r="G1545" s="121">
        <v>0</v>
      </c>
      <c r="H1545" s="123">
        <v>7.8050000000000003E-3</v>
      </c>
      <c r="I1545" s="122">
        <v>0</v>
      </c>
      <c r="J1545" s="124">
        <f t="shared" si="24"/>
        <v>7.8050000000000006</v>
      </c>
    </row>
    <row r="1546" spans="1:11" ht="15" customHeight="1" x14ac:dyDescent="0.2">
      <c r="A1546" s="120" t="s">
        <v>5895</v>
      </c>
      <c r="B1546" s="120" t="s">
        <v>5691</v>
      </c>
      <c r="C1546" s="98" t="s">
        <v>3533</v>
      </c>
      <c r="D1546" s="120" t="s">
        <v>3563</v>
      </c>
      <c r="E1546" s="98">
        <v>3.5499999999999997E-2</v>
      </c>
      <c r="F1546" s="120">
        <v>0</v>
      </c>
      <c r="G1546" s="121">
        <v>0</v>
      </c>
      <c r="H1546" s="123">
        <v>3.5499999999999997E-2</v>
      </c>
      <c r="I1546" s="122">
        <v>0</v>
      </c>
      <c r="J1546" s="124">
        <f t="shared" si="24"/>
        <v>35.5</v>
      </c>
      <c r="K1546" s="98" t="s">
        <v>5896</v>
      </c>
    </row>
    <row r="1547" spans="1:11" ht="15" customHeight="1" x14ac:dyDescent="0.2">
      <c r="A1547" s="120" t="s">
        <v>5897</v>
      </c>
      <c r="B1547" s="120" t="s">
        <v>2254</v>
      </c>
      <c r="C1547" s="98" t="s">
        <v>3533</v>
      </c>
      <c r="D1547" s="120" t="s">
        <v>3563</v>
      </c>
      <c r="E1547" s="98">
        <v>2.3E-2</v>
      </c>
      <c r="F1547" s="120">
        <v>0</v>
      </c>
      <c r="G1547" s="121">
        <v>7110</v>
      </c>
      <c r="H1547" s="123">
        <v>2.3E-2</v>
      </c>
      <c r="I1547" s="122">
        <v>163.53</v>
      </c>
      <c r="J1547" s="124">
        <f t="shared" si="24"/>
        <v>23</v>
      </c>
      <c r="K1547" s="98" t="s">
        <v>5898</v>
      </c>
    </row>
    <row r="1548" spans="1:11" ht="15" customHeight="1" x14ac:dyDescent="0.2">
      <c r="A1548" s="120" t="s">
        <v>5899</v>
      </c>
      <c r="B1548" s="120" t="s">
        <v>5452</v>
      </c>
      <c r="C1548" s="98" t="s">
        <v>3532</v>
      </c>
      <c r="D1548" s="120" t="s">
        <v>3563</v>
      </c>
      <c r="E1548" s="98">
        <v>0.35</v>
      </c>
      <c r="F1548" s="120">
        <v>0</v>
      </c>
      <c r="G1548" s="121">
        <v>0</v>
      </c>
      <c r="H1548" s="123">
        <v>0.35</v>
      </c>
      <c r="I1548" s="122">
        <v>0</v>
      </c>
      <c r="J1548" s="124">
        <f t="shared" si="24"/>
        <v>350</v>
      </c>
    </row>
    <row r="1549" spans="1:11" ht="15" customHeight="1" x14ac:dyDescent="0.2">
      <c r="A1549" s="120" t="s">
        <v>5900</v>
      </c>
      <c r="B1549" s="120" t="s">
        <v>5526</v>
      </c>
      <c r="C1549" s="98" t="s">
        <v>3540</v>
      </c>
      <c r="D1549" s="120" t="s">
        <v>3563</v>
      </c>
      <c r="E1549" s="98">
        <v>0.28266999999999998</v>
      </c>
      <c r="F1549" s="120">
        <v>0</v>
      </c>
      <c r="G1549" s="121">
        <v>0</v>
      </c>
      <c r="H1549" s="123">
        <v>0.28266999999999998</v>
      </c>
      <c r="I1549" s="122">
        <v>0</v>
      </c>
      <c r="J1549" s="124">
        <f t="shared" si="24"/>
        <v>282.66999999999996</v>
      </c>
    </row>
    <row r="1550" spans="1:11" ht="15" customHeight="1" x14ac:dyDescent="0.2">
      <c r="A1550" s="120" t="s">
        <v>5901</v>
      </c>
      <c r="B1550" s="120" t="s">
        <v>5902</v>
      </c>
      <c r="C1550" s="98" t="s">
        <v>3533</v>
      </c>
      <c r="D1550" s="120" t="s">
        <v>3563</v>
      </c>
      <c r="E1550" s="98">
        <v>0.375</v>
      </c>
      <c r="F1550" s="120">
        <v>0</v>
      </c>
      <c r="G1550" s="121">
        <v>12135</v>
      </c>
      <c r="H1550" s="123">
        <v>0.375</v>
      </c>
      <c r="I1550" s="122">
        <v>4550.625</v>
      </c>
      <c r="J1550" s="124">
        <f t="shared" si="24"/>
        <v>375</v>
      </c>
      <c r="K1550" s="98" t="s">
        <v>5903</v>
      </c>
    </row>
    <row r="1551" spans="1:11" ht="15" customHeight="1" x14ac:dyDescent="0.2">
      <c r="A1551" s="120" t="s">
        <v>5904</v>
      </c>
      <c r="B1551" s="120" t="s">
        <v>4783</v>
      </c>
      <c r="C1551" s="98" t="s">
        <v>3540</v>
      </c>
      <c r="D1551" s="120" t="s">
        <v>3563</v>
      </c>
      <c r="E1551" s="98">
        <v>5.4999999999999997E-3</v>
      </c>
      <c r="F1551" s="120">
        <v>0</v>
      </c>
      <c r="G1551" s="121">
        <v>4600</v>
      </c>
      <c r="H1551" s="123">
        <v>5.4999999999999997E-3</v>
      </c>
      <c r="I1551" s="122">
        <v>25.299999999999997</v>
      </c>
      <c r="J1551" s="124">
        <f t="shared" si="24"/>
        <v>5.5</v>
      </c>
    </row>
    <row r="1552" spans="1:11" ht="15" customHeight="1" x14ac:dyDescent="0.2">
      <c r="A1552" s="120" t="s">
        <v>5905</v>
      </c>
      <c r="B1552" s="120" t="s">
        <v>5906</v>
      </c>
      <c r="C1552" s="98" t="s">
        <v>3540</v>
      </c>
      <c r="D1552" s="120" t="s">
        <v>3563</v>
      </c>
      <c r="E1552" s="98">
        <v>3.49E-3</v>
      </c>
      <c r="F1552" s="120">
        <v>0</v>
      </c>
      <c r="G1552" s="121">
        <v>0</v>
      </c>
      <c r="H1552" s="123">
        <v>3.49E-3</v>
      </c>
      <c r="I1552" s="122">
        <v>0</v>
      </c>
      <c r="J1552" s="124">
        <f t="shared" si="24"/>
        <v>3.49</v>
      </c>
    </row>
    <row r="1553" spans="1:11" ht="15" customHeight="1" x14ac:dyDescent="0.2">
      <c r="A1553" s="120" t="s">
        <v>5907</v>
      </c>
      <c r="B1553" s="120" t="s">
        <v>5211</v>
      </c>
      <c r="C1553" s="98" t="s">
        <v>3533</v>
      </c>
      <c r="D1553" s="120" t="s">
        <v>3563</v>
      </c>
      <c r="E1553" s="98">
        <v>4.3233333333333297E-2</v>
      </c>
      <c r="F1553" s="120">
        <v>0</v>
      </c>
      <c r="G1553" s="121">
        <v>19785</v>
      </c>
      <c r="H1553" s="123">
        <v>4.3233000000000001E-2</v>
      </c>
      <c r="I1553" s="122">
        <v>855.36490500000002</v>
      </c>
      <c r="J1553" s="124">
        <f t="shared" si="24"/>
        <v>43.233333333333299</v>
      </c>
      <c r="K1553" s="98" t="s">
        <v>5908</v>
      </c>
    </row>
    <row r="1554" spans="1:11" ht="15" customHeight="1" x14ac:dyDescent="0.2">
      <c r="A1554" s="120" t="s">
        <v>5909</v>
      </c>
      <c r="B1554" s="120" t="s">
        <v>4879</v>
      </c>
      <c r="C1554" s="98" t="s">
        <v>3533</v>
      </c>
      <c r="D1554" s="120" t="s">
        <v>3563</v>
      </c>
      <c r="E1554" s="98">
        <v>1.95E-2</v>
      </c>
      <c r="F1554" s="120">
        <v>0</v>
      </c>
      <c r="G1554" s="121">
        <v>0</v>
      </c>
      <c r="H1554" s="123">
        <v>1.95E-2</v>
      </c>
      <c r="I1554" s="122">
        <v>0</v>
      </c>
      <c r="J1554" s="124">
        <f t="shared" si="24"/>
        <v>19.5</v>
      </c>
    </row>
    <row r="1555" spans="1:11" ht="15" customHeight="1" x14ac:dyDescent="0.2">
      <c r="A1555" s="120" t="s">
        <v>5910</v>
      </c>
      <c r="B1555" s="120" t="s">
        <v>5639</v>
      </c>
      <c r="C1555" s="98" t="s">
        <v>3533</v>
      </c>
      <c r="D1555" s="120" t="s">
        <v>3563</v>
      </c>
      <c r="E1555" s="98">
        <v>0.13900000000000001</v>
      </c>
      <c r="F1555" s="120">
        <v>0</v>
      </c>
      <c r="G1555" s="121">
        <v>0</v>
      </c>
      <c r="H1555" s="123">
        <v>0.13900000000000001</v>
      </c>
      <c r="I1555" s="122">
        <v>0</v>
      </c>
      <c r="J1555" s="124">
        <f t="shared" si="24"/>
        <v>139</v>
      </c>
    </row>
    <row r="1556" spans="1:11" ht="15" customHeight="1" x14ac:dyDescent="0.2">
      <c r="A1556" s="120" t="s">
        <v>5911</v>
      </c>
      <c r="B1556" s="120" t="s">
        <v>5211</v>
      </c>
      <c r="C1556" s="98" t="s">
        <v>3533</v>
      </c>
      <c r="D1556" s="120" t="s">
        <v>3563</v>
      </c>
      <c r="E1556" s="98">
        <v>4.2349999999999999E-2</v>
      </c>
      <c r="F1556" s="120">
        <v>0</v>
      </c>
      <c r="G1556" s="121">
        <v>0</v>
      </c>
      <c r="H1556" s="123">
        <v>4.2349999999999999E-2</v>
      </c>
      <c r="I1556" s="122">
        <v>0</v>
      </c>
      <c r="J1556" s="124">
        <f t="shared" si="24"/>
        <v>42.35</v>
      </c>
    </row>
    <row r="1557" spans="1:11" ht="15" customHeight="1" x14ac:dyDescent="0.2">
      <c r="A1557" s="120" t="s">
        <v>5912</v>
      </c>
      <c r="B1557" s="120" t="s">
        <v>5913</v>
      </c>
      <c r="C1557" s="98" t="s">
        <v>3533</v>
      </c>
      <c r="D1557" s="120" t="s">
        <v>3563</v>
      </c>
      <c r="E1557" s="98">
        <v>3.175E-2</v>
      </c>
      <c r="F1557" s="120">
        <v>0</v>
      </c>
      <c r="G1557" s="121">
        <v>0</v>
      </c>
      <c r="H1557" s="123">
        <v>3.175E-2</v>
      </c>
      <c r="I1557" s="122">
        <v>0</v>
      </c>
      <c r="J1557" s="124">
        <f t="shared" si="24"/>
        <v>31.75</v>
      </c>
    </row>
    <row r="1558" spans="1:11" ht="15" customHeight="1" x14ac:dyDescent="0.2">
      <c r="A1558" s="120" t="s">
        <v>5914</v>
      </c>
      <c r="B1558" s="120" t="s">
        <v>5913</v>
      </c>
      <c r="C1558" s="98" t="s">
        <v>3533</v>
      </c>
      <c r="D1558" s="120" t="s">
        <v>3563</v>
      </c>
      <c r="E1558" s="98">
        <v>3.175E-2</v>
      </c>
      <c r="F1558" s="120">
        <v>0</v>
      </c>
      <c r="G1558" s="121">
        <v>0</v>
      </c>
      <c r="H1558" s="123">
        <v>3.175E-2</v>
      </c>
      <c r="I1558" s="122">
        <v>0</v>
      </c>
      <c r="J1558" s="124">
        <f t="shared" si="24"/>
        <v>31.75</v>
      </c>
    </row>
    <row r="1559" spans="1:11" ht="15" customHeight="1" x14ac:dyDescent="0.2">
      <c r="A1559" s="120" t="s">
        <v>5915</v>
      </c>
      <c r="B1559" s="120" t="s">
        <v>5913</v>
      </c>
      <c r="C1559" s="98" t="s">
        <v>3533</v>
      </c>
      <c r="D1559" s="120" t="s">
        <v>3563</v>
      </c>
      <c r="E1559" s="98">
        <v>0</v>
      </c>
      <c r="F1559" s="120">
        <v>0</v>
      </c>
      <c r="G1559" s="121">
        <v>0</v>
      </c>
      <c r="H1559" s="123">
        <v>0</v>
      </c>
      <c r="I1559" s="122">
        <v>0</v>
      </c>
      <c r="J1559" s="124">
        <f t="shared" si="24"/>
        <v>0</v>
      </c>
    </row>
    <row r="1560" spans="1:11" ht="15" customHeight="1" x14ac:dyDescent="0.2">
      <c r="A1560" s="120" t="s">
        <v>5916</v>
      </c>
      <c r="B1560" s="120" t="s">
        <v>5917</v>
      </c>
      <c r="C1560" s="98" t="s">
        <v>3533</v>
      </c>
      <c r="D1560" s="120" t="s">
        <v>3563</v>
      </c>
      <c r="E1560" s="98">
        <v>5.398E-2</v>
      </c>
      <c r="F1560" s="120">
        <v>0</v>
      </c>
      <c r="G1560" s="121">
        <v>0</v>
      </c>
      <c r="H1560" s="123">
        <v>5.398E-2</v>
      </c>
      <c r="I1560" s="122">
        <v>0</v>
      </c>
      <c r="J1560" s="124">
        <f t="shared" si="24"/>
        <v>53.98</v>
      </c>
    </row>
    <row r="1561" spans="1:11" ht="15" customHeight="1" x14ac:dyDescent="0.2">
      <c r="A1561" s="120" t="s">
        <v>5918</v>
      </c>
      <c r="B1561" s="120" t="s">
        <v>5768</v>
      </c>
      <c r="C1561" s="98" t="s">
        <v>3540</v>
      </c>
      <c r="D1561" s="120" t="s">
        <v>3563</v>
      </c>
      <c r="E1561" s="98">
        <v>3.2000000000000001E-2</v>
      </c>
      <c r="F1561" s="120">
        <v>0</v>
      </c>
      <c r="G1561" s="121">
        <v>0</v>
      </c>
      <c r="H1561" s="123">
        <v>3.2000000000000001E-2</v>
      </c>
      <c r="I1561" s="122">
        <v>0</v>
      </c>
      <c r="J1561" s="124">
        <f t="shared" si="24"/>
        <v>32</v>
      </c>
    </row>
    <row r="1562" spans="1:11" ht="15" customHeight="1" x14ac:dyDescent="0.2">
      <c r="A1562" s="120" t="s">
        <v>5919</v>
      </c>
      <c r="B1562" s="120" t="s">
        <v>5920</v>
      </c>
      <c r="C1562" s="98" t="s">
        <v>3532</v>
      </c>
      <c r="D1562" s="120" t="s">
        <v>3563</v>
      </c>
      <c r="E1562" s="98">
        <v>1.8499999999999999E-2</v>
      </c>
      <c r="F1562" s="120">
        <v>0</v>
      </c>
      <c r="G1562" s="121">
        <v>0</v>
      </c>
      <c r="H1562" s="123">
        <v>1.8499999999999999E-2</v>
      </c>
      <c r="I1562" s="122">
        <v>0</v>
      </c>
      <c r="J1562" s="124">
        <f t="shared" si="24"/>
        <v>18.5</v>
      </c>
    </row>
    <row r="1563" spans="1:11" ht="15" customHeight="1" x14ac:dyDescent="0.2">
      <c r="A1563" s="120" t="s">
        <v>5921</v>
      </c>
      <c r="B1563" s="120" t="s">
        <v>5922</v>
      </c>
      <c r="C1563" s="98" t="s">
        <v>3532</v>
      </c>
      <c r="D1563" s="120" t="s">
        <v>3563</v>
      </c>
      <c r="E1563" s="98">
        <v>2.6499999999999999E-2</v>
      </c>
      <c r="F1563" s="120">
        <v>0</v>
      </c>
      <c r="G1563" s="121">
        <v>0</v>
      </c>
      <c r="H1563" s="123">
        <v>2.6499999999999999E-2</v>
      </c>
      <c r="I1563" s="122">
        <v>0</v>
      </c>
      <c r="J1563" s="124">
        <f t="shared" si="24"/>
        <v>26.5</v>
      </c>
    </row>
    <row r="1564" spans="1:11" ht="15" customHeight="1" x14ac:dyDescent="0.2">
      <c r="A1564" s="120" t="s">
        <v>5923</v>
      </c>
      <c r="B1564" s="120" t="s">
        <v>5924</v>
      </c>
      <c r="C1564" s="98" t="s">
        <v>3533</v>
      </c>
      <c r="D1564" s="120" t="s">
        <v>3563</v>
      </c>
      <c r="E1564" s="98">
        <v>7.7549999999999994E-2</v>
      </c>
      <c r="F1564" s="120">
        <v>0</v>
      </c>
      <c r="G1564" s="121">
        <v>0</v>
      </c>
      <c r="H1564" s="123">
        <v>7.7549999999999994E-2</v>
      </c>
      <c r="I1564" s="122">
        <v>0</v>
      </c>
      <c r="J1564" s="124">
        <f t="shared" si="24"/>
        <v>77.55</v>
      </c>
      <c r="K1564" s="98" t="s">
        <v>5925</v>
      </c>
    </row>
    <row r="1565" spans="1:11" ht="15" customHeight="1" x14ac:dyDescent="0.2">
      <c r="A1565" s="120" t="s">
        <v>5926</v>
      </c>
      <c r="B1565" s="120" t="s">
        <v>2198</v>
      </c>
      <c r="C1565" s="98" t="s">
        <v>3533</v>
      </c>
      <c r="D1565" s="120" t="s">
        <v>3563</v>
      </c>
      <c r="E1565" s="98">
        <v>6.6798941798941799E-3</v>
      </c>
      <c r="F1565" s="120">
        <v>0</v>
      </c>
      <c r="G1565" s="121">
        <v>20720</v>
      </c>
      <c r="H1565" s="123">
        <v>6.6800000000000002E-3</v>
      </c>
      <c r="I1565" s="122">
        <v>138.40960000000001</v>
      </c>
      <c r="J1565" s="124">
        <f t="shared" si="24"/>
        <v>6.6798941798941796</v>
      </c>
      <c r="K1565" s="98" t="s">
        <v>5927</v>
      </c>
    </row>
    <row r="1566" spans="1:11" ht="15" customHeight="1" x14ac:dyDescent="0.2">
      <c r="A1566" s="120" t="s">
        <v>5928</v>
      </c>
      <c r="B1566" s="120" t="s">
        <v>4802</v>
      </c>
      <c r="C1566" s="98" t="s">
        <v>3532</v>
      </c>
      <c r="D1566" s="120" t="s">
        <v>3563</v>
      </c>
      <c r="E1566" s="98">
        <v>2.145E-2</v>
      </c>
      <c r="F1566" s="120">
        <v>0</v>
      </c>
      <c r="G1566" s="121">
        <v>0</v>
      </c>
      <c r="H1566" s="123">
        <v>2.145E-2</v>
      </c>
      <c r="I1566" s="122">
        <v>0</v>
      </c>
      <c r="J1566" s="124">
        <f t="shared" si="24"/>
        <v>21.45</v>
      </c>
    </row>
    <row r="1567" spans="1:11" ht="15" customHeight="1" x14ac:dyDescent="0.2">
      <c r="A1567" s="120" t="s">
        <v>5929</v>
      </c>
      <c r="B1567" s="120" t="s">
        <v>5861</v>
      </c>
      <c r="C1567" s="98" t="s">
        <v>3533</v>
      </c>
      <c r="D1567" s="120" t="s">
        <v>3563</v>
      </c>
      <c r="E1567" s="98">
        <v>1.01190476190476E-2</v>
      </c>
      <c r="F1567" s="120">
        <v>0</v>
      </c>
      <c r="G1567" s="121">
        <v>5810</v>
      </c>
      <c r="H1567" s="123">
        <v>1.0119E-2</v>
      </c>
      <c r="I1567" s="122">
        <v>58.79139</v>
      </c>
      <c r="J1567" s="124">
        <f t="shared" si="24"/>
        <v>10.119047619047601</v>
      </c>
      <c r="K1567" s="98" t="s">
        <v>5930</v>
      </c>
    </row>
    <row r="1568" spans="1:11" ht="15" customHeight="1" x14ac:dyDescent="0.2">
      <c r="A1568" s="120" t="s">
        <v>5931</v>
      </c>
      <c r="B1568" s="120" t="s">
        <v>5160</v>
      </c>
      <c r="C1568" s="98" t="s">
        <v>3540</v>
      </c>
      <c r="D1568" s="120" t="s">
        <v>3563</v>
      </c>
      <c r="E1568" s="98">
        <v>0.47499999999999998</v>
      </c>
      <c r="F1568" s="120">
        <v>0</v>
      </c>
      <c r="G1568" s="121">
        <v>0</v>
      </c>
      <c r="H1568" s="123">
        <v>0.47499999999999998</v>
      </c>
      <c r="I1568" s="122">
        <v>0</v>
      </c>
      <c r="J1568" s="124">
        <f t="shared" si="24"/>
        <v>475</v>
      </c>
    </row>
    <row r="1569" spans="1:11" ht="15" customHeight="1" x14ac:dyDescent="0.2">
      <c r="A1569" s="120" t="s">
        <v>5932</v>
      </c>
      <c r="B1569" s="120" t="s">
        <v>5113</v>
      </c>
      <c r="C1569" s="98" t="s">
        <v>3533</v>
      </c>
      <c r="D1569" s="120" t="s">
        <v>3563</v>
      </c>
      <c r="E1569" s="98">
        <v>2.4E-2</v>
      </c>
      <c r="F1569" s="120">
        <v>0</v>
      </c>
      <c r="G1569" s="121">
        <v>51210</v>
      </c>
      <c r="H1569" s="123">
        <v>2.4E-2</v>
      </c>
      <c r="I1569" s="122">
        <v>1229.04</v>
      </c>
      <c r="J1569" s="124">
        <f t="shared" si="24"/>
        <v>24</v>
      </c>
      <c r="K1569" s="98" t="s">
        <v>2379</v>
      </c>
    </row>
    <row r="1570" spans="1:11" ht="15" customHeight="1" x14ac:dyDescent="0.2">
      <c r="A1570" s="120" t="s">
        <v>5933</v>
      </c>
      <c r="B1570" s="120" t="s">
        <v>5343</v>
      </c>
      <c r="C1570" s="98" t="s">
        <v>3533</v>
      </c>
      <c r="D1570" s="120" t="s">
        <v>3563</v>
      </c>
      <c r="E1570" s="98">
        <v>0.123</v>
      </c>
      <c r="F1570" s="120">
        <v>0</v>
      </c>
      <c r="G1570" s="121">
        <v>0</v>
      </c>
      <c r="H1570" s="123">
        <v>0.123</v>
      </c>
      <c r="I1570" s="122">
        <v>0</v>
      </c>
      <c r="J1570" s="124">
        <f t="shared" si="24"/>
        <v>123</v>
      </c>
      <c r="K1570" s="98" t="s">
        <v>5934</v>
      </c>
    </row>
    <row r="1571" spans="1:11" ht="15" customHeight="1" x14ac:dyDescent="0.2">
      <c r="A1571" s="120" t="s">
        <v>5935</v>
      </c>
      <c r="B1571" s="120" t="s">
        <v>5936</v>
      </c>
      <c r="C1571" s="98" t="s">
        <v>3533</v>
      </c>
      <c r="D1571" s="120" t="s">
        <v>3563</v>
      </c>
      <c r="E1571" s="98">
        <v>5.4669999999999996E-3</v>
      </c>
      <c r="F1571" s="120">
        <v>0</v>
      </c>
      <c r="G1571" s="121">
        <v>1198580</v>
      </c>
      <c r="H1571" s="123">
        <v>5.4669999999999996E-3</v>
      </c>
      <c r="I1571" s="122">
        <v>6552.6368599999996</v>
      </c>
      <c r="J1571" s="124">
        <f t="shared" si="24"/>
        <v>5.4669999999999996</v>
      </c>
      <c r="K1571" s="98" t="s">
        <v>5937</v>
      </c>
    </row>
    <row r="1572" spans="1:11" ht="15" customHeight="1" x14ac:dyDescent="0.2">
      <c r="A1572" s="120" t="s">
        <v>5938</v>
      </c>
      <c r="B1572" s="120" t="s">
        <v>5939</v>
      </c>
      <c r="C1572" s="98" t="s">
        <v>3533</v>
      </c>
      <c r="D1572" s="120" t="s">
        <v>3563</v>
      </c>
      <c r="E1572" s="98">
        <v>4.1750000000000002E-2</v>
      </c>
      <c r="F1572" s="120">
        <v>0</v>
      </c>
      <c r="G1572" s="121">
        <v>7700</v>
      </c>
      <c r="H1572" s="123">
        <v>4.1750000000000002E-2</v>
      </c>
      <c r="I1572" s="122">
        <v>321.47500000000002</v>
      </c>
      <c r="J1572" s="124">
        <f t="shared" si="24"/>
        <v>41.75</v>
      </c>
      <c r="K1572" s="98" t="s">
        <v>2387</v>
      </c>
    </row>
    <row r="1573" spans="1:11" ht="15" customHeight="1" x14ac:dyDescent="0.2">
      <c r="A1573" s="120" t="s">
        <v>5940</v>
      </c>
      <c r="B1573" s="120" t="s">
        <v>5941</v>
      </c>
      <c r="C1573" s="98" t="s">
        <v>3532</v>
      </c>
      <c r="D1573" s="120" t="s">
        <v>3563</v>
      </c>
      <c r="E1573" s="98">
        <v>1.5730000000000001E-2</v>
      </c>
      <c r="F1573" s="120">
        <v>0</v>
      </c>
      <c r="G1573" s="121">
        <v>0</v>
      </c>
      <c r="H1573" s="123">
        <v>1.5730000000000001E-2</v>
      </c>
      <c r="I1573" s="122">
        <v>0</v>
      </c>
      <c r="J1573" s="124">
        <f t="shared" si="24"/>
        <v>15.73</v>
      </c>
    </row>
    <row r="1574" spans="1:11" ht="15" customHeight="1" x14ac:dyDescent="0.2">
      <c r="A1574" s="120" t="s">
        <v>5942</v>
      </c>
      <c r="B1574" s="120" t="s">
        <v>5529</v>
      </c>
      <c r="C1574" s="98" t="s">
        <v>3540</v>
      </c>
      <c r="D1574" s="120" t="s">
        <v>3563</v>
      </c>
      <c r="E1574" s="98">
        <v>1.1049E-2</v>
      </c>
      <c r="F1574" s="120">
        <v>0</v>
      </c>
      <c r="G1574" s="121">
        <v>0</v>
      </c>
      <c r="H1574" s="123">
        <v>1.1049E-2</v>
      </c>
      <c r="I1574" s="122">
        <v>0</v>
      </c>
      <c r="J1574" s="124">
        <f t="shared" si="24"/>
        <v>11.048999999999999</v>
      </c>
    </row>
    <row r="1575" spans="1:11" ht="15" customHeight="1" x14ac:dyDescent="0.2">
      <c r="A1575" s="120" t="s">
        <v>5943</v>
      </c>
      <c r="B1575" s="120" t="s">
        <v>5147</v>
      </c>
      <c r="C1575" s="98" t="s">
        <v>3533</v>
      </c>
      <c r="D1575" s="120" t="s">
        <v>3563</v>
      </c>
      <c r="E1575" s="98">
        <v>1.295E-2</v>
      </c>
      <c r="F1575" s="120">
        <v>0</v>
      </c>
      <c r="G1575" s="121">
        <v>191059.5</v>
      </c>
      <c r="H1575" s="123">
        <v>1.295E-2</v>
      </c>
      <c r="I1575" s="122">
        <v>2474.2205249999997</v>
      </c>
      <c r="J1575" s="124">
        <f t="shared" si="24"/>
        <v>12.95</v>
      </c>
      <c r="K1575" s="98" t="s">
        <v>5944</v>
      </c>
    </row>
    <row r="1576" spans="1:11" ht="15" customHeight="1" x14ac:dyDescent="0.2">
      <c r="A1576" s="120" t="s">
        <v>5945</v>
      </c>
      <c r="B1576" s="120" t="s">
        <v>2184</v>
      </c>
      <c r="C1576" s="98" t="s">
        <v>3533</v>
      </c>
      <c r="D1576" s="120" t="s">
        <v>3563</v>
      </c>
      <c r="E1576" s="98">
        <v>7.1999999999999995E-2</v>
      </c>
      <c r="F1576" s="120">
        <v>0</v>
      </c>
      <c r="G1576" s="121">
        <v>15145</v>
      </c>
      <c r="H1576" s="123">
        <v>7.1999999999999995E-2</v>
      </c>
      <c r="I1576" s="122">
        <v>1090.4399999999998</v>
      </c>
      <c r="J1576" s="124">
        <f t="shared" si="24"/>
        <v>72</v>
      </c>
      <c r="K1576" s="98" t="s">
        <v>2387</v>
      </c>
    </row>
    <row r="1577" spans="1:11" ht="15" customHeight="1" x14ac:dyDescent="0.2">
      <c r="A1577" s="120" t="s">
        <v>5946</v>
      </c>
      <c r="B1577" s="120" t="s">
        <v>5947</v>
      </c>
      <c r="C1577" s="98" t="s">
        <v>3533</v>
      </c>
      <c r="D1577" s="120" t="s">
        <v>3563</v>
      </c>
      <c r="E1577" s="98">
        <v>0.09</v>
      </c>
      <c r="F1577" s="120">
        <v>0</v>
      </c>
      <c r="G1577" s="121">
        <v>0</v>
      </c>
      <c r="H1577" s="123">
        <v>0.09</v>
      </c>
      <c r="I1577" s="122">
        <v>0</v>
      </c>
      <c r="J1577" s="124">
        <f t="shared" si="24"/>
        <v>90</v>
      </c>
      <c r="K1577" s="98" t="s">
        <v>5948</v>
      </c>
    </row>
    <row r="1578" spans="1:11" ht="15" customHeight="1" x14ac:dyDescent="0.2">
      <c r="A1578" s="120" t="s">
        <v>5949</v>
      </c>
      <c r="B1578" s="120" t="s">
        <v>3532</v>
      </c>
      <c r="C1578" s="98" t="s">
        <v>3532</v>
      </c>
      <c r="D1578" s="120" t="s">
        <v>3563</v>
      </c>
      <c r="E1578" s="98">
        <v>0</v>
      </c>
      <c r="F1578" s="120">
        <v>0</v>
      </c>
      <c r="G1578" s="121">
        <v>0</v>
      </c>
      <c r="H1578" s="123">
        <v>0</v>
      </c>
      <c r="I1578" s="122">
        <v>0</v>
      </c>
      <c r="J1578" s="124">
        <f t="shared" si="24"/>
        <v>0</v>
      </c>
    </row>
    <row r="1579" spans="1:11" ht="15" customHeight="1" x14ac:dyDescent="0.2">
      <c r="A1579" s="120" t="s">
        <v>5950</v>
      </c>
      <c r="B1579" s="120" t="s">
        <v>5306</v>
      </c>
      <c r="C1579" s="98" t="s">
        <v>4837</v>
      </c>
      <c r="D1579" s="120" t="s">
        <v>3563</v>
      </c>
      <c r="E1579" s="98">
        <v>0</v>
      </c>
      <c r="F1579" s="120">
        <v>0</v>
      </c>
      <c r="G1579" s="121">
        <v>0</v>
      </c>
      <c r="H1579" s="123">
        <v>79.5</v>
      </c>
      <c r="I1579" s="122">
        <v>0</v>
      </c>
      <c r="J1579" s="124">
        <f t="shared" si="24"/>
        <v>0</v>
      </c>
    </row>
    <row r="1580" spans="1:11" ht="15" customHeight="1" x14ac:dyDescent="0.2">
      <c r="A1580" s="120" t="s">
        <v>5951</v>
      </c>
      <c r="B1580" s="120" t="s">
        <v>5924</v>
      </c>
      <c r="C1580" s="98" t="s">
        <v>3533</v>
      </c>
      <c r="D1580" s="120" t="s">
        <v>3563</v>
      </c>
      <c r="E1580" s="98">
        <v>1.9449999999999999E-2</v>
      </c>
      <c r="F1580" s="120">
        <v>0</v>
      </c>
      <c r="G1580" s="121">
        <v>0</v>
      </c>
      <c r="H1580" s="123">
        <v>1.9449999999999999E-2</v>
      </c>
      <c r="I1580" s="122">
        <v>0</v>
      </c>
      <c r="J1580" s="124">
        <f t="shared" si="24"/>
        <v>19.45</v>
      </c>
      <c r="K1580" s="98" t="s">
        <v>5952</v>
      </c>
    </row>
    <row r="1581" spans="1:11" ht="15" customHeight="1" x14ac:dyDescent="0.2">
      <c r="A1581" s="120" t="s">
        <v>5953</v>
      </c>
      <c r="B1581" s="120" t="s">
        <v>5182</v>
      </c>
      <c r="C1581" s="98" t="s">
        <v>3533</v>
      </c>
      <c r="D1581" s="120" t="s">
        <v>3563</v>
      </c>
      <c r="E1581" s="98">
        <v>1.2E-2</v>
      </c>
      <c r="F1581" s="120">
        <v>0</v>
      </c>
      <c r="G1581" s="121">
        <v>1577829</v>
      </c>
      <c r="H1581" s="123">
        <v>1.2E-2</v>
      </c>
      <c r="I1581" s="122">
        <v>18933.948</v>
      </c>
      <c r="J1581" s="124">
        <f t="shared" si="24"/>
        <v>12</v>
      </c>
    </row>
    <row r="1582" spans="1:11" ht="15" customHeight="1" x14ac:dyDescent="0.2">
      <c r="A1582" s="120" t="s">
        <v>5954</v>
      </c>
      <c r="B1582" s="120" t="s">
        <v>2254</v>
      </c>
      <c r="C1582" s="98" t="s">
        <v>3533</v>
      </c>
      <c r="D1582" s="120" t="s">
        <v>3563</v>
      </c>
      <c r="E1582" s="98">
        <v>8.0000000000000002E-3</v>
      </c>
      <c r="F1582" s="120">
        <v>0</v>
      </c>
      <c r="G1582" s="121">
        <v>8790</v>
      </c>
      <c r="H1582" s="123">
        <v>8.0000000000000002E-3</v>
      </c>
      <c r="I1582" s="122">
        <v>70.320000000000007</v>
      </c>
      <c r="J1582" s="124">
        <f t="shared" si="24"/>
        <v>8</v>
      </c>
      <c r="K1582" s="98" t="s">
        <v>5189</v>
      </c>
    </row>
    <row r="1583" spans="1:11" ht="15" customHeight="1" x14ac:dyDescent="0.2">
      <c r="A1583" s="120" t="s">
        <v>5955</v>
      </c>
      <c r="B1583" s="120" t="s">
        <v>5430</v>
      </c>
      <c r="C1583" s="98" t="s">
        <v>3533</v>
      </c>
      <c r="D1583" s="120" t="s">
        <v>3563</v>
      </c>
      <c r="E1583" s="98">
        <v>0.1938</v>
      </c>
      <c r="F1583" s="120">
        <v>0</v>
      </c>
      <c r="G1583" s="121">
        <v>13130</v>
      </c>
      <c r="H1583" s="123">
        <v>0.1938</v>
      </c>
      <c r="I1583" s="122">
        <v>2544.5940000000001</v>
      </c>
      <c r="J1583" s="124">
        <f t="shared" si="24"/>
        <v>193.8</v>
      </c>
      <c r="K1583" s="98" t="s">
        <v>5956</v>
      </c>
    </row>
    <row r="1584" spans="1:11" ht="15" customHeight="1" x14ac:dyDescent="0.2">
      <c r="A1584" s="120" t="s">
        <v>5957</v>
      </c>
      <c r="B1584" s="120" t="s">
        <v>5958</v>
      </c>
      <c r="C1584" s="98" t="s">
        <v>3532</v>
      </c>
      <c r="D1584" s="120" t="s">
        <v>3563</v>
      </c>
      <c r="E1584" s="98">
        <v>2.4E-2</v>
      </c>
      <c r="F1584" s="120">
        <v>0</v>
      </c>
      <c r="G1584" s="121">
        <v>0</v>
      </c>
      <c r="H1584" s="123">
        <v>2.4E-2</v>
      </c>
      <c r="I1584" s="122">
        <v>0</v>
      </c>
      <c r="J1584" s="124">
        <f t="shared" si="24"/>
        <v>24</v>
      </c>
    </row>
    <row r="1585" spans="1:11" ht="15" customHeight="1" x14ac:dyDescent="0.2">
      <c r="A1585" s="120" t="s">
        <v>5959</v>
      </c>
      <c r="B1585" s="120" t="s">
        <v>5211</v>
      </c>
      <c r="C1585" s="98" t="s">
        <v>3533</v>
      </c>
      <c r="D1585" s="120" t="s">
        <v>3563</v>
      </c>
      <c r="E1585" s="98">
        <v>5.0950000000000002E-2</v>
      </c>
      <c r="F1585" s="120">
        <v>0</v>
      </c>
      <c r="G1585" s="121">
        <v>6329</v>
      </c>
      <c r="H1585" s="123">
        <v>5.0950000000000002E-2</v>
      </c>
      <c r="I1585" s="122">
        <v>322.46255000000002</v>
      </c>
      <c r="J1585" s="124">
        <f t="shared" si="24"/>
        <v>50.95</v>
      </c>
      <c r="K1585" s="98" t="s">
        <v>5960</v>
      </c>
    </row>
    <row r="1586" spans="1:11" ht="15" customHeight="1" x14ac:dyDescent="0.2">
      <c r="A1586" s="120" t="s">
        <v>5961</v>
      </c>
      <c r="B1586" s="120" t="s">
        <v>5209</v>
      </c>
      <c r="C1586" s="98" t="s">
        <v>3532</v>
      </c>
      <c r="D1586" s="120" t="s">
        <v>3563</v>
      </c>
      <c r="E1586" s="98">
        <v>0</v>
      </c>
      <c r="F1586" s="120">
        <v>0</v>
      </c>
      <c r="G1586" s="121">
        <v>0</v>
      </c>
      <c r="H1586" s="123">
        <v>0</v>
      </c>
      <c r="I1586" s="122">
        <v>0</v>
      </c>
      <c r="J1586" s="124">
        <f t="shared" si="24"/>
        <v>0</v>
      </c>
    </row>
    <row r="1587" spans="1:11" ht="15" customHeight="1" x14ac:dyDescent="0.2">
      <c r="A1587" s="120" t="s">
        <v>5962</v>
      </c>
      <c r="B1587" s="120" t="s">
        <v>5221</v>
      </c>
      <c r="C1587" s="98" t="s">
        <v>3533</v>
      </c>
      <c r="D1587" s="120" t="s">
        <v>3563</v>
      </c>
      <c r="E1587" s="98">
        <v>2.5999999999999999E-2</v>
      </c>
      <c r="F1587" s="120">
        <v>0</v>
      </c>
      <c r="G1587" s="121">
        <v>8235</v>
      </c>
      <c r="H1587" s="123">
        <v>2.5999999999999999E-2</v>
      </c>
      <c r="I1587" s="122">
        <v>214.10999999999999</v>
      </c>
      <c r="J1587" s="124">
        <f t="shared" si="24"/>
        <v>26</v>
      </c>
      <c r="K1587" s="98" t="s">
        <v>5963</v>
      </c>
    </row>
    <row r="1588" spans="1:11" ht="15" customHeight="1" x14ac:dyDescent="0.2">
      <c r="A1588" s="120" t="s">
        <v>5964</v>
      </c>
      <c r="B1588" s="120" t="s">
        <v>5211</v>
      </c>
      <c r="C1588" s="98" t="s">
        <v>3532</v>
      </c>
      <c r="D1588" s="120" t="s">
        <v>3563</v>
      </c>
      <c r="E1588" s="98">
        <v>0</v>
      </c>
      <c r="F1588" s="120">
        <v>0</v>
      </c>
      <c r="G1588" s="121">
        <v>0</v>
      </c>
      <c r="H1588" s="123">
        <v>0</v>
      </c>
      <c r="I1588" s="122">
        <v>0</v>
      </c>
      <c r="J1588" s="124">
        <f t="shared" si="24"/>
        <v>0</v>
      </c>
    </row>
    <row r="1589" spans="1:11" ht="15" customHeight="1" x14ac:dyDescent="0.2">
      <c r="A1589" s="120" t="s">
        <v>5965</v>
      </c>
      <c r="B1589" s="120" t="s">
        <v>5216</v>
      </c>
      <c r="C1589" s="98" t="s">
        <v>3533</v>
      </c>
      <c r="D1589" s="120" t="s">
        <v>3563</v>
      </c>
      <c r="E1589" s="98">
        <v>9.4999999999999998E-3</v>
      </c>
      <c r="F1589" s="120">
        <v>0</v>
      </c>
      <c r="G1589" s="121">
        <v>17020</v>
      </c>
      <c r="H1589" s="123">
        <v>9.4999999999999998E-3</v>
      </c>
      <c r="I1589" s="122">
        <v>161.69</v>
      </c>
      <c r="J1589" s="124">
        <f t="shared" si="24"/>
        <v>9.5</v>
      </c>
      <c r="K1589" s="98" t="s">
        <v>2405</v>
      </c>
    </row>
    <row r="1590" spans="1:11" ht="15" customHeight="1" x14ac:dyDescent="0.2">
      <c r="A1590" s="120" t="s">
        <v>5966</v>
      </c>
      <c r="B1590" s="120" t="s">
        <v>5209</v>
      </c>
      <c r="C1590" s="98" t="s">
        <v>3533</v>
      </c>
      <c r="D1590" s="120" t="s">
        <v>3563</v>
      </c>
      <c r="E1590" s="98">
        <v>8.6899999999999998E-3</v>
      </c>
      <c r="F1590" s="120">
        <v>0</v>
      </c>
      <c r="G1590" s="121">
        <v>22240</v>
      </c>
      <c r="H1590" s="123">
        <v>8.6899999999999998E-3</v>
      </c>
      <c r="I1590" s="122">
        <v>193.26560000000001</v>
      </c>
      <c r="J1590" s="124">
        <f t="shared" si="24"/>
        <v>8.69</v>
      </c>
      <c r="K1590" s="98" t="s">
        <v>2379</v>
      </c>
    </row>
    <row r="1591" spans="1:11" ht="15" customHeight="1" x14ac:dyDescent="0.2">
      <c r="A1591" s="120" t="s">
        <v>5967</v>
      </c>
      <c r="B1591" s="120" t="s">
        <v>5209</v>
      </c>
      <c r="C1591" s="98" t="s">
        <v>3532</v>
      </c>
      <c r="D1591" s="120" t="s">
        <v>3563</v>
      </c>
      <c r="E1591" s="98">
        <v>0</v>
      </c>
      <c r="F1591" s="120">
        <v>0</v>
      </c>
      <c r="G1591" s="121">
        <v>0</v>
      </c>
      <c r="H1591" s="123">
        <v>0</v>
      </c>
      <c r="I1591" s="122">
        <v>0</v>
      </c>
      <c r="J1591" s="124">
        <f t="shared" si="24"/>
        <v>0</v>
      </c>
    </row>
    <row r="1592" spans="1:11" ht="15" customHeight="1" x14ac:dyDescent="0.2">
      <c r="A1592" s="120" t="s">
        <v>5968</v>
      </c>
      <c r="B1592" s="120" t="s">
        <v>2254</v>
      </c>
      <c r="C1592" s="98" t="s">
        <v>3533</v>
      </c>
      <c r="D1592" s="120" t="s">
        <v>3563</v>
      </c>
      <c r="E1592" s="98">
        <v>0.28999999999999998</v>
      </c>
      <c r="F1592" s="120">
        <v>0</v>
      </c>
      <c r="G1592" s="121">
        <v>10830</v>
      </c>
      <c r="H1592" s="123">
        <v>0.28999999999999998</v>
      </c>
      <c r="I1592" s="122">
        <v>3140.7</v>
      </c>
      <c r="J1592" s="124">
        <f t="shared" si="24"/>
        <v>290</v>
      </c>
      <c r="K1592" s="98" t="s">
        <v>5969</v>
      </c>
    </row>
    <row r="1593" spans="1:11" ht="15" customHeight="1" x14ac:dyDescent="0.2">
      <c r="A1593" s="120" t="s">
        <v>5970</v>
      </c>
      <c r="B1593" s="120" t="s">
        <v>2254</v>
      </c>
      <c r="C1593" s="98" t="s">
        <v>3533</v>
      </c>
      <c r="D1593" s="120" t="s">
        <v>3563</v>
      </c>
      <c r="E1593" s="98">
        <v>8.9999999999999993E-3</v>
      </c>
      <c r="F1593" s="120">
        <v>0</v>
      </c>
      <c r="G1593" s="121">
        <v>10310</v>
      </c>
      <c r="H1593" s="123">
        <v>8.9999999999999993E-3</v>
      </c>
      <c r="I1593" s="122">
        <v>92.789999999999992</v>
      </c>
      <c r="J1593" s="124">
        <f t="shared" si="24"/>
        <v>9</v>
      </c>
      <c r="K1593" s="98" t="s">
        <v>2387</v>
      </c>
    </row>
    <row r="1594" spans="1:11" ht="15" customHeight="1" x14ac:dyDescent="0.2">
      <c r="A1594" s="120" t="s">
        <v>5971</v>
      </c>
      <c r="B1594" s="120" t="s">
        <v>4783</v>
      </c>
      <c r="C1594" s="98" t="s">
        <v>3533</v>
      </c>
      <c r="D1594" s="120" t="s">
        <v>3563</v>
      </c>
      <c r="E1594" s="98">
        <v>7.5100000000000002E-3</v>
      </c>
      <c r="F1594" s="120">
        <v>0</v>
      </c>
      <c r="G1594" s="121">
        <v>371410</v>
      </c>
      <c r="H1594" s="123">
        <v>7.5100000000000002E-3</v>
      </c>
      <c r="I1594" s="122">
        <v>2789.2891</v>
      </c>
      <c r="J1594" s="124">
        <f t="shared" si="24"/>
        <v>7.51</v>
      </c>
      <c r="K1594" s="98" t="s">
        <v>5972</v>
      </c>
    </row>
    <row r="1595" spans="1:11" ht="15" customHeight="1" x14ac:dyDescent="0.2">
      <c r="A1595" s="120" t="s">
        <v>5973</v>
      </c>
      <c r="B1595" s="120" t="s">
        <v>4764</v>
      </c>
      <c r="C1595" s="98" t="s">
        <v>3533</v>
      </c>
      <c r="D1595" s="120" t="s">
        <v>3563</v>
      </c>
      <c r="E1595" s="98">
        <v>3.98E-3</v>
      </c>
      <c r="F1595" s="120">
        <v>0</v>
      </c>
      <c r="G1595" s="121">
        <v>0</v>
      </c>
      <c r="H1595" s="123">
        <v>3.98E-3</v>
      </c>
      <c r="I1595" s="122">
        <v>0</v>
      </c>
      <c r="J1595" s="124">
        <f t="shared" si="24"/>
        <v>3.98</v>
      </c>
      <c r="K1595" s="98" t="s">
        <v>5974</v>
      </c>
    </row>
    <row r="1596" spans="1:11" ht="15" customHeight="1" x14ac:dyDescent="0.2">
      <c r="A1596" s="120" t="s">
        <v>5975</v>
      </c>
      <c r="B1596" s="120" t="s">
        <v>5976</v>
      </c>
      <c r="C1596" s="98" t="s">
        <v>3533</v>
      </c>
      <c r="D1596" s="120" t="s">
        <v>3563</v>
      </c>
      <c r="E1596" s="98">
        <v>0</v>
      </c>
      <c r="F1596" s="120">
        <v>0</v>
      </c>
      <c r="G1596" s="121">
        <v>0</v>
      </c>
      <c r="H1596" s="123">
        <v>0</v>
      </c>
      <c r="I1596" s="122">
        <v>0</v>
      </c>
      <c r="J1596" s="124">
        <f t="shared" si="24"/>
        <v>0</v>
      </c>
    </row>
    <row r="1597" spans="1:11" ht="15" customHeight="1" x14ac:dyDescent="0.2">
      <c r="A1597" s="120" t="s">
        <v>5977</v>
      </c>
      <c r="B1597" s="120" t="s">
        <v>5142</v>
      </c>
      <c r="C1597" s="98" t="s">
        <v>3532</v>
      </c>
      <c r="D1597" s="120" t="s">
        <v>3563</v>
      </c>
      <c r="E1597" s="98">
        <v>0.15</v>
      </c>
      <c r="F1597" s="120">
        <v>0</v>
      </c>
      <c r="G1597" s="121">
        <v>3725</v>
      </c>
      <c r="H1597" s="123">
        <v>0.15</v>
      </c>
      <c r="I1597" s="122">
        <v>558.75</v>
      </c>
      <c r="J1597" s="124">
        <f t="shared" si="24"/>
        <v>150</v>
      </c>
    </row>
    <row r="1598" spans="1:11" ht="15" customHeight="1" x14ac:dyDescent="0.2">
      <c r="A1598" s="120" t="s">
        <v>5978</v>
      </c>
      <c r="B1598" s="120" t="s">
        <v>4833</v>
      </c>
      <c r="C1598" s="98" t="s">
        <v>3532</v>
      </c>
      <c r="D1598" s="120" t="s">
        <v>3563</v>
      </c>
      <c r="E1598" s="98">
        <v>0</v>
      </c>
      <c r="F1598" s="120">
        <v>0</v>
      </c>
      <c r="G1598" s="121">
        <v>0</v>
      </c>
      <c r="H1598" s="123">
        <v>0</v>
      </c>
      <c r="I1598" s="122">
        <v>0</v>
      </c>
      <c r="J1598" s="124">
        <f t="shared" si="24"/>
        <v>0</v>
      </c>
    </row>
    <row r="1599" spans="1:11" ht="15" customHeight="1" x14ac:dyDescent="0.2">
      <c r="A1599" s="120" t="s">
        <v>5979</v>
      </c>
      <c r="B1599" s="120" t="s">
        <v>3532</v>
      </c>
      <c r="C1599" s="98" t="s">
        <v>3532</v>
      </c>
      <c r="D1599" s="120" t="s">
        <v>3563</v>
      </c>
      <c r="E1599" s="98">
        <v>0</v>
      </c>
      <c r="F1599" s="120">
        <v>0</v>
      </c>
      <c r="G1599" s="121">
        <v>0</v>
      </c>
      <c r="H1599" s="123">
        <v>0</v>
      </c>
      <c r="I1599" s="122">
        <v>0</v>
      </c>
      <c r="J1599" s="124">
        <f t="shared" si="24"/>
        <v>0</v>
      </c>
    </row>
    <row r="1600" spans="1:11" ht="15" customHeight="1" x14ac:dyDescent="0.2">
      <c r="A1600" s="120" t="s">
        <v>5980</v>
      </c>
      <c r="B1600" s="120" t="s">
        <v>5076</v>
      </c>
      <c r="C1600" s="98" t="s">
        <v>3533</v>
      </c>
      <c r="D1600" s="120" t="s">
        <v>3563</v>
      </c>
      <c r="E1600" s="98">
        <v>6.2622560009565603E-3</v>
      </c>
      <c r="F1600" s="120">
        <v>0</v>
      </c>
      <c r="G1600" s="121">
        <v>2701990</v>
      </c>
      <c r="H1600" s="123">
        <v>6.2620000000000002E-3</v>
      </c>
      <c r="I1600" s="122">
        <v>16919.861380000002</v>
      </c>
      <c r="J1600" s="124">
        <f t="shared" si="24"/>
        <v>6.26225600095656</v>
      </c>
      <c r="K1600" s="98" t="s">
        <v>5981</v>
      </c>
    </row>
    <row r="1601" spans="1:11" ht="15" customHeight="1" x14ac:dyDescent="0.2">
      <c r="A1601" s="120" t="s">
        <v>5982</v>
      </c>
      <c r="B1601" s="120" t="s">
        <v>4833</v>
      </c>
      <c r="C1601" s="98" t="s">
        <v>3532</v>
      </c>
      <c r="D1601" s="120" t="s">
        <v>3563</v>
      </c>
      <c r="E1601" s="98">
        <v>0</v>
      </c>
      <c r="F1601" s="120">
        <v>0</v>
      </c>
      <c r="G1601" s="121">
        <v>0</v>
      </c>
      <c r="H1601" s="123">
        <v>0</v>
      </c>
      <c r="I1601" s="122">
        <v>0</v>
      </c>
      <c r="J1601" s="124">
        <f t="shared" si="24"/>
        <v>0</v>
      </c>
    </row>
    <row r="1602" spans="1:11" ht="15" customHeight="1" x14ac:dyDescent="0.2">
      <c r="A1602" s="120" t="s">
        <v>5983</v>
      </c>
      <c r="B1602" s="120" t="s">
        <v>5984</v>
      </c>
      <c r="C1602" s="98" t="s">
        <v>3533</v>
      </c>
      <c r="D1602" s="120" t="s">
        <v>3563</v>
      </c>
      <c r="E1602" s="98">
        <v>7.1199999999999996E-3</v>
      </c>
      <c r="F1602" s="120">
        <v>0</v>
      </c>
      <c r="G1602" s="121">
        <v>0</v>
      </c>
      <c r="H1602" s="123">
        <v>7.1199999999999996E-3</v>
      </c>
      <c r="I1602" s="122">
        <v>0</v>
      </c>
      <c r="J1602" s="124">
        <f t="shared" ref="J1602:J1665" si="25">IF(D1602="gm", E1602*1000,+E1602)</f>
        <v>7.1199999999999992</v>
      </c>
      <c r="K1602" s="98" t="s">
        <v>2379</v>
      </c>
    </row>
    <row r="1603" spans="1:11" ht="15" customHeight="1" x14ac:dyDescent="0.2">
      <c r="A1603" s="120" t="s">
        <v>5985</v>
      </c>
      <c r="B1603" s="120" t="s">
        <v>5902</v>
      </c>
      <c r="C1603" s="98" t="s">
        <v>3533</v>
      </c>
      <c r="D1603" s="120" t="s">
        <v>3563</v>
      </c>
      <c r="E1603" s="98">
        <v>8.9499999999999996E-3</v>
      </c>
      <c r="F1603" s="120">
        <v>0</v>
      </c>
      <c r="G1603" s="121">
        <v>0</v>
      </c>
      <c r="H1603" s="123">
        <v>8.9499999999999996E-3</v>
      </c>
      <c r="I1603" s="122">
        <v>0</v>
      </c>
      <c r="J1603" s="124">
        <f t="shared" si="25"/>
        <v>8.9499999999999993</v>
      </c>
      <c r="K1603" s="98" t="s">
        <v>5986</v>
      </c>
    </row>
    <row r="1604" spans="1:11" ht="15" customHeight="1" x14ac:dyDescent="0.2">
      <c r="A1604" s="120" t="s">
        <v>5987</v>
      </c>
      <c r="B1604" s="120" t="s">
        <v>5906</v>
      </c>
      <c r="C1604" s="98" t="s">
        <v>3533</v>
      </c>
      <c r="D1604" s="120" t="s">
        <v>3563</v>
      </c>
      <c r="E1604" s="98">
        <v>0.42</v>
      </c>
      <c r="F1604" s="120">
        <v>0</v>
      </c>
      <c r="G1604" s="121">
        <v>49910</v>
      </c>
      <c r="H1604" s="123">
        <v>0.42</v>
      </c>
      <c r="I1604" s="122">
        <v>20962.2</v>
      </c>
      <c r="J1604" s="124">
        <f t="shared" si="25"/>
        <v>420</v>
      </c>
      <c r="K1604" s="98" t="s">
        <v>5988</v>
      </c>
    </row>
    <row r="1605" spans="1:11" ht="15" customHeight="1" x14ac:dyDescent="0.2">
      <c r="A1605" s="120" t="s">
        <v>5989</v>
      </c>
      <c r="B1605" s="120" t="s">
        <v>5976</v>
      </c>
      <c r="C1605" s="98" t="s">
        <v>3533</v>
      </c>
      <c r="D1605" s="120" t="s">
        <v>3563</v>
      </c>
      <c r="E1605" s="98">
        <v>0.19500000000000001</v>
      </c>
      <c r="F1605" s="120">
        <v>0</v>
      </c>
      <c r="G1605" s="121">
        <v>0</v>
      </c>
      <c r="H1605" s="123">
        <v>0.19500000000000001</v>
      </c>
      <c r="I1605" s="122">
        <v>0</v>
      </c>
      <c r="J1605" s="124">
        <f t="shared" si="25"/>
        <v>195</v>
      </c>
      <c r="K1605" s="98" t="s">
        <v>5990</v>
      </c>
    </row>
    <row r="1606" spans="1:11" ht="15" customHeight="1" x14ac:dyDescent="0.2">
      <c r="A1606" s="120" t="s">
        <v>5991</v>
      </c>
      <c r="B1606" s="120" t="s">
        <v>5211</v>
      </c>
      <c r="C1606" s="98" t="s">
        <v>3533</v>
      </c>
      <c r="D1606" s="120" t="s">
        <v>3563</v>
      </c>
      <c r="E1606" s="98">
        <v>1.18E-2</v>
      </c>
      <c r="F1606" s="120">
        <v>0</v>
      </c>
      <c r="G1606" s="121">
        <v>2859</v>
      </c>
      <c r="H1606" s="123">
        <v>1.18E-2</v>
      </c>
      <c r="I1606" s="122">
        <v>33.736199999999997</v>
      </c>
      <c r="J1606" s="124">
        <f t="shared" si="25"/>
        <v>11.799999999999999</v>
      </c>
      <c r="K1606" s="98" t="s">
        <v>5992</v>
      </c>
    </row>
    <row r="1607" spans="1:11" ht="15" customHeight="1" x14ac:dyDescent="0.2">
      <c r="A1607" s="120" t="s">
        <v>5993</v>
      </c>
      <c r="B1607" s="120" t="s">
        <v>3532</v>
      </c>
      <c r="C1607" s="98" t="s">
        <v>3540</v>
      </c>
      <c r="D1607" s="120" t="s">
        <v>3563</v>
      </c>
      <c r="E1607" s="98">
        <v>0</v>
      </c>
      <c r="F1607" s="120">
        <v>0</v>
      </c>
      <c r="G1607" s="121">
        <v>0</v>
      </c>
      <c r="H1607" s="123">
        <v>0</v>
      </c>
      <c r="I1607" s="122">
        <v>0</v>
      </c>
      <c r="J1607" s="124">
        <f t="shared" si="25"/>
        <v>0</v>
      </c>
    </row>
    <row r="1608" spans="1:11" ht="15" customHeight="1" x14ac:dyDescent="0.2">
      <c r="A1608" s="120" t="s">
        <v>5994</v>
      </c>
      <c r="B1608" s="120" t="s">
        <v>3532</v>
      </c>
      <c r="C1608" s="98" t="s">
        <v>3532</v>
      </c>
      <c r="D1608" s="120" t="s">
        <v>3563</v>
      </c>
      <c r="E1608" s="98">
        <v>0</v>
      </c>
      <c r="F1608" s="120">
        <v>0</v>
      </c>
      <c r="G1608" s="121">
        <v>0</v>
      </c>
      <c r="H1608" s="123">
        <v>0</v>
      </c>
      <c r="I1608" s="122">
        <v>0</v>
      </c>
      <c r="J1608" s="124">
        <f t="shared" si="25"/>
        <v>0</v>
      </c>
    </row>
    <row r="1609" spans="1:11" ht="15" customHeight="1" x14ac:dyDescent="0.2">
      <c r="A1609" s="120" t="s">
        <v>5995</v>
      </c>
      <c r="B1609" s="120" t="s">
        <v>5996</v>
      </c>
      <c r="C1609" s="98" t="s">
        <v>3532</v>
      </c>
      <c r="D1609" s="120" t="s">
        <v>3563</v>
      </c>
      <c r="E1609" s="98">
        <v>3.2000000000000003E-4</v>
      </c>
      <c r="F1609" s="120">
        <v>0</v>
      </c>
      <c r="G1609" s="121">
        <v>0</v>
      </c>
      <c r="H1609" s="123">
        <v>3.2000000000000003E-4</v>
      </c>
      <c r="I1609" s="122">
        <v>0</v>
      </c>
      <c r="J1609" s="124">
        <f t="shared" si="25"/>
        <v>0.32</v>
      </c>
    </row>
    <row r="1610" spans="1:11" ht="15" customHeight="1" x14ac:dyDescent="0.2">
      <c r="A1610" s="120" t="s">
        <v>5997</v>
      </c>
      <c r="B1610" s="120" t="s">
        <v>5998</v>
      </c>
      <c r="C1610" s="98" t="s">
        <v>3540</v>
      </c>
      <c r="D1610" s="120" t="s">
        <v>3563</v>
      </c>
      <c r="E1610" s="98">
        <v>12</v>
      </c>
      <c r="F1610" s="120">
        <v>0</v>
      </c>
      <c r="G1610" s="121">
        <v>0</v>
      </c>
      <c r="H1610" s="123">
        <v>12</v>
      </c>
      <c r="I1610" s="122">
        <v>0</v>
      </c>
      <c r="J1610" s="124">
        <f t="shared" si="25"/>
        <v>12000</v>
      </c>
    </row>
    <row r="1611" spans="1:11" ht="15" customHeight="1" x14ac:dyDescent="0.2">
      <c r="A1611" s="120" t="s">
        <v>5999</v>
      </c>
      <c r="B1611" s="120" t="s">
        <v>5438</v>
      </c>
      <c r="C1611" s="98" t="s">
        <v>3533</v>
      </c>
      <c r="D1611" s="120" t="s">
        <v>3563</v>
      </c>
      <c r="E1611" s="98">
        <v>0.17499999999999999</v>
      </c>
      <c r="F1611" s="120">
        <v>0</v>
      </c>
      <c r="G1611" s="121">
        <v>65020</v>
      </c>
      <c r="H1611" s="123">
        <v>0.17499999999999999</v>
      </c>
      <c r="I1611" s="122">
        <v>11378.5</v>
      </c>
      <c r="J1611" s="124">
        <f t="shared" si="25"/>
        <v>175</v>
      </c>
      <c r="K1611" s="98" t="s">
        <v>6000</v>
      </c>
    </row>
    <row r="1612" spans="1:11" ht="15" customHeight="1" x14ac:dyDescent="0.2">
      <c r="A1612" s="120" t="s">
        <v>3056</v>
      </c>
      <c r="B1612" s="120" t="s">
        <v>5221</v>
      </c>
      <c r="C1612" s="98" t="s">
        <v>3532</v>
      </c>
      <c r="D1612" s="120" t="s">
        <v>3563</v>
      </c>
      <c r="E1612" s="98">
        <v>0</v>
      </c>
      <c r="F1612" s="120">
        <v>0</v>
      </c>
      <c r="G1612" s="121">
        <v>0</v>
      </c>
      <c r="H1612" s="123">
        <v>0</v>
      </c>
      <c r="I1612" s="122">
        <v>0</v>
      </c>
      <c r="J1612" s="124">
        <f t="shared" si="25"/>
        <v>0</v>
      </c>
    </row>
    <row r="1613" spans="1:11" ht="15" customHeight="1" x14ac:dyDescent="0.2">
      <c r="A1613" s="120" t="s">
        <v>6001</v>
      </c>
      <c r="B1613" s="120" t="s">
        <v>3532</v>
      </c>
      <c r="C1613" s="98" t="s">
        <v>3532</v>
      </c>
      <c r="D1613" s="120" t="s">
        <v>3563</v>
      </c>
      <c r="E1613" s="98">
        <v>2.9850000000000002E-2</v>
      </c>
      <c r="F1613" s="120">
        <v>0</v>
      </c>
      <c r="G1613" s="121">
        <v>0</v>
      </c>
      <c r="H1613" s="123">
        <v>2.9850000000000002E-2</v>
      </c>
      <c r="I1613" s="122">
        <v>0</v>
      </c>
      <c r="J1613" s="124">
        <f t="shared" si="25"/>
        <v>29.85</v>
      </c>
    </row>
    <row r="1614" spans="1:11" ht="15" customHeight="1" x14ac:dyDescent="0.2">
      <c r="A1614" s="120" t="s">
        <v>6002</v>
      </c>
      <c r="B1614" s="120" t="s">
        <v>5358</v>
      </c>
      <c r="C1614" s="98" t="s">
        <v>3540</v>
      </c>
      <c r="D1614" s="120" t="s">
        <v>3563</v>
      </c>
      <c r="E1614" s="98">
        <v>4.0189999999999997E-2</v>
      </c>
      <c r="F1614" s="120">
        <v>0</v>
      </c>
      <c r="G1614" s="121">
        <v>0</v>
      </c>
      <c r="H1614" s="123">
        <v>4.0189999999999997E-2</v>
      </c>
      <c r="I1614" s="122">
        <v>0</v>
      </c>
      <c r="J1614" s="124">
        <f t="shared" si="25"/>
        <v>40.19</v>
      </c>
    </row>
    <row r="1615" spans="1:11" ht="15" customHeight="1" x14ac:dyDescent="0.2">
      <c r="A1615" s="120" t="s">
        <v>6003</v>
      </c>
      <c r="B1615" s="120" t="s">
        <v>5358</v>
      </c>
      <c r="C1615" s="98" t="s">
        <v>3540</v>
      </c>
      <c r="D1615" s="120" t="s">
        <v>3563</v>
      </c>
      <c r="E1615" s="98">
        <v>1.6500000000000001E-2</v>
      </c>
      <c r="F1615" s="120">
        <v>0</v>
      </c>
      <c r="G1615" s="121">
        <v>0</v>
      </c>
      <c r="H1615" s="123">
        <v>1.6500000000000001E-2</v>
      </c>
      <c r="I1615" s="122">
        <v>0</v>
      </c>
      <c r="J1615" s="124">
        <f t="shared" si="25"/>
        <v>16.5</v>
      </c>
    </row>
    <row r="1616" spans="1:11" ht="15" customHeight="1" x14ac:dyDescent="0.2">
      <c r="A1616" s="120" t="s">
        <v>6004</v>
      </c>
      <c r="B1616" s="120" t="s">
        <v>3532</v>
      </c>
      <c r="C1616" s="98" t="s">
        <v>3533</v>
      </c>
      <c r="D1616" s="120" t="s">
        <v>3563</v>
      </c>
      <c r="E1616" s="98">
        <v>1.6E-2</v>
      </c>
      <c r="F1616" s="120">
        <v>0</v>
      </c>
      <c r="G1616" s="121">
        <v>0</v>
      </c>
      <c r="H1616" s="123">
        <v>1.6E-2</v>
      </c>
      <c r="I1616" s="122">
        <v>0</v>
      </c>
      <c r="J1616" s="124">
        <f t="shared" si="25"/>
        <v>16</v>
      </c>
    </row>
    <row r="1617" spans="1:11" ht="15" customHeight="1" x14ac:dyDescent="0.2">
      <c r="A1617" s="120" t="s">
        <v>6005</v>
      </c>
      <c r="B1617" s="120" t="s">
        <v>6006</v>
      </c>
      <c r="C1617" s="98" t="s">
        <v>3533</v>
      </c>
      <c r="D1617" s="120" t="s">
        <v>3563</v>
      </c>
      <c r="E1617" s="98">
        <v>1.62759924385633E-2</v>
      </c>
      <c r="F1617" s="120">
        <v>375000</v>
      </c>
      <c r="G1617" s="121">
        <v>292785</v>
      </c>
      <c r="H1617" s="123">
        <v>1.6275999999999999E-2</v>
      </c>
      <c r="I1617" s="122">
        <v>4765.3686600000001</v>
      </c>
      <c r="J1617" s="124">
        <f t="shared" si="25"/>
        <v>16.2759924385633</v>
      </c>
      <c r="K1617" s="98" t="s">
        <v>6007</v>
      </c>
    </row>
    <row r="1618" spans="1:11" ht="15" customHeight="1" x14ac:dyDescent="0.2">
      <c r="A1618" s="120" t="s">
        <v>6008</v>
      </c>
      <c r="B1618" s="120" t="s">
        <v>6009</v>
      </c>
      <c r="C1618" s="98" t="s">
        <v>3533</v>
      </c>
      <c r="D1618" s="120" t="s">
        <v>3563</v>
      </c>
      <c r="E1618" s="98">
        <v>3.3000000000000002E-2</v>
      </c>
      <c r="F1618" s="120">
        <v>0</v>
      </c>
      <c r="G1618" s="121">
        <v>18945</v>
      </c>
      <c r="H1618" s="123">
        <v>3.3000000000000002E-2</v>
      </c>
      <c r="I1618" s="122">
        <v>625.18500000000006</v>
      </c>
      <c r="J1618" s="124">
        <f t="shared" si="25"/>
        <v>33</v>
      </c>
      <c r="K1618" s="98" t="s">
        <v>6010</v>
      </c>
    </row>
    <row r="1619" spans="1:11" ht="15" customHeight="1" x14ac:dyDescent="0.2">
      <c r="A1619" s="120" t="s">
        <v>6011</v>
      </c>
      <c r="B1619" s="120" t="s">
        <v>6012</v>
      </c>
      <c r="C1619" s="98" t="s">
        <v>3533</v>
      </c>
      <c r="D1619" s="120" t="s">
        <v>3563</v>
      </c>
      <c r="E1619" s="98">
        <v>3.2501466275659802E-4</v>
      </c>
      <c r="F1619" s="120">
        <v>0</v>
      </c>
      <c r="G1619" s="121">
        <v>850725</v>
      </c>
      <c r="H1619" s="123">
        <v>3.2499999999999999E-4</v>
      </c>
      <c r="I1619" s="122">
        <v>276.48562499999997</v>
      </c>
      <c r="J1619" s="124">
        <f t="shared" si="25"/>
        <v>0.32501466275659802</v>
      </c>
      <c r="K1619" s="98" t="s">
        <v>6013</v>
      </c>
    </row>
    <row r="1620" spans="1:11" ht="15" customHeight="1" x14ac:dyDescent="0.2">
      <c r="A1620" s="120" t="s">
        <v>6014</v>
      </c>
      <c r="B1620" s="120" t="s">
        <v>2254</v>
      </c>
      <c r="C1620" s="98" t="s">
        <v>3540</v>
      </c>
      <c r="D1620" s="120" t="s">
        <v>3563</v>
      </c>
      <c r="E1620" s="98">
        <v>0</v>
      </c>
      <c r="F1620" s="120">
        <v>0</v>
      </c>
      <c r="G1620" s="121">
        <v>0</v>
      </c>
      <c r="H1620" s="123">
        <v>0</v>
      </c>
      <c r="I1620" s="122">
        <v>0</v>
      </c>
      <c r="J1620" s="124">
        <f t="shared" si="25"/>
        <v>0</v>
      </c>
    </row>
    <row r="1621" spans="1:11" ht="15" customHeight="1" x14ac:dyDescent="0.2">
      <c r="A1621" s="120" t="s">
        <v>6015</v>
      </c>
      <c r="B1621" s="120" t="s">
        <v>6016</v>
      </c>
      <c r="C1621" s="98" t="s">
        <v>3540</v>
      </c>
      <c r="D1621" s="120" t="s">
        <v>3563</v>
      </c>
      <c r="E1621" s="98">
        <v>0</v>
      </c>
      <c r="F1621" s="120">
        <v>0</v>
      </c>
      <c r="G1621" s="121">
        <v>0</v>
      </c>
      <c r="H1621" s="123">
        <v>0</v>
      </c>
      <c r="I1621" s="122">
        <v>0</v>
      </c>
      <c r="J1621" s="124">
        <f t="shared" si="25"/>
        <v>0</v>
      </c>
    </row>
    <row r="1622" spans="1:11" ht="15" customHeight="1" x14ac:dyDescent="0.2">
      <c r="A1622" s="120" t="s">
        <v>6017</v>
      </c>
      <c r="B1622" s="120" t="s">
        <v>5922</v>
      </c>
      <c r="C1622" s="98" t="s">
        <v>3540</v>
      </c>
      <c r="D1622" s="120" t="s">
        <v>3563</v>
      </c>
      <c r="E1622" s="98">
        <v>0</v>
      </c>
      <c r="F1622" s="120">
        <v>0</v>
      </c>
      <c r="G1622" s="121">
        <v>0</v>
      </c>
      <c r="H1622" s="123">
        <v>0</v>
      </c>
      <c r="I1622" s="122">
        <v>0</v>
      </c>
      <c r="J1622" s="124">
        <f t="shared" si="25"/>
        <v>0</v>
      </c>
    </row>
    <row r="1623" spans="1:11" ht="15" customHeight="1" x14ac:dyDescent="0.2">
      <c r="A1623" s="120" t="s">
        <v>6018</v>
      </c>
      <c r="B1623" s="120" t="s">
        <v>2254</v>
      </c>
      <c r="C1623" s="98" t="s">
        <v>3540</v>
      </c>
      <c r="D1623" s="120" t="s">
        <v>3563</v>
      </c>
      <c r="E1623" s="98">
        <v>0</v>
      </c>
      <c r="F1623" s="120">
        <v>0</v>
      </c>
      <c r="G1623" s="121">
        <v>0</v>
      </c>
      <c r="H1623" s="123">
        <v>0</v>
      </c>
      <c r="I1623" s="122">
        <v>0</v>
      </c>
      <c r="J1623" s="124">
        <f t="shared" si="25"/>
        <v>0</v>
      </c>
    </row>
    <row r="1624" spans="1:11" ht="15" customHeight="1" x14ac:dyDescent="0.2">
      <c r="A1624" s="120" t="s">
        <v>6019</v>
      </c>
      <c r="B1624" s="120" t="s">
        <v>5358</v>
      </c>
      <c r="C1624" s="98" t="s">
        <v>3532</v>
      </c>
      <c r="D1624" s="120" t="s">
        <v>3563</v>
      </c>
      <c r="E1624" s="98">
        <v>0</v>
      </c>
      <c r="F1624" s="120">
        <v>0</v>
      </c>
      <c r="G1624" s="121">
        <v>0</v>
      </c>
      <c r="H1624" s="123">
        <v>0</v>
      </c>
      <c r="I1624" s="122">
        <v>0</v>
      </c>
      <c r="J1624" s="124">
        <f t="shared" si="25"/>
        <v>0</v>
      </c>
    </row>
    <row r="1625" spans="1:11" ht="15" customHeight="1" x14ac:dyDescent="0.2">
      <c r="A1625" s="120" t="s">
        <v>6020</v>
      </c>
      <c r="B1625" s="120" t="s">
        <v>6021</v>
      </c>
      <c r="C1625" s="98" t="s">
        <v>3532</v>
      </c>
      <c r="D1625" s="120" t="s">
        <v>3563</v>
      </c>
      <c r="E1625" s="98">
        <v>0</v>
      </c>
      <c r="F1625" s="120">
        <v>0</v>
      </c>
      <c r="G1625" s="121">
        <v>0</v>
      </c>
      <c r="H1625" s="123">
        <v>0</v>
      </c>
      <c r="I1625" s="122">
        <v>0</v>
      </c>
      <c r="J1625" s="124">
        <f t="shared" si="25"/>
        <v>0</v>
      </c>
    </row>
    <row r="1626" spans="1:11" ht="15" customHeight="1" x14ac:dyDescent="0.2">
      <c r="A1626" s="120" t="s">
        <v>6022</v>
      </c>
      <c r="B1626" s="120" t="s">
        <v>5358</v>
      </c>
      <c r="C1626" s="98" t="s">
        <v>3532</v>
      </c>
      <c r="D1626" s="120" t="s">
        <v>3563</v>
      </c>
      <c r="E1626" s="98">
        <v>0</v>
      </c>
      <c r="F1626" s="120">
        <v>0</v>
      </c>
      <c r="G1626" s="121">
        <v>0</v>
      </c>
      <c r="H1626" s="123">
        <v>0</v>
      </c>
      <c r="I1626" s="122">
        <v>0</v>
      </c>
      <c r="J1626" s="124">
        <f t="shared" si="25"/>
        <v>0</v>
      </c>
    </row>
    <row r="1627" spans="1:11" ht="15" customHeight="1" x14ac:dyDescent="0.2">
      <c r="A1627" s="120" t="s">
        <v>6023</v>
      </c>
      <c r="B1627" s="120" t="s">
        <v>5682</v>
      </c>
      <c r="C1627" s="98" t="s">
        <v>3540</v>
      </c>
      <c r="D1627" s="120" t="s">
        <v>3563</v>
      </c>
      <c r="E1627" s="98">
        <v>7.7000000000000002E-3</v>
      </c>
      <c r="F1627" s="120">
        <v>0</v>
      </c>
      <c r="G1627" s="121">
        <v>0</v>
      </c>
      <c r="H1627" s="123">
        <v>7.7000000000000002E-3</v>
      </c>
      <c r="I1627" s="122">
        <v>0</v>
      </c>
      <c r="J1627" s="124">
        <f t="shared" si="25"/>
        <v>7.7</v>
      </c>
    </row>
    <row r="1628" spans="1:11" ht="15" customHeight="1" x14ac:dyDescent="0.2">
      <c r="A1628" s="120" t="s">
        <v>6024</v>
      </c>
      <c r="B1628" s="120" t="s">
        <v>6025</v>
      </c>
      <c r="C1628" s="98" t="s">
        <v>3533</v>
      </c>
      <c r="D1628" s="120" t="s">
        <v>3563</v>
      </c>
      <c r="E1628" s="98">
        <v>0.65</v>
      </c>
      <c r="F1628" s="120">
        <v>0</v>
      </c>
      <c r="G1628" s="121">
        <v>2947</v>
      </c>
      <c r="H1628" s="123">
        <v>0.65</v>
      </c>
      <c r="I1628" s="122">
        <v>1915.55</v>
      </c>
      <c r="J1628" s="124">
        <f t="shared" si="25"/>
        <v>650</v>
      </c>
      <c r="K1628" s="98" t="s">
        <v>6026</v>
      </c>
    </row>
    <row r="1629" spans="1:11" ht="15" customHeight="1" x14ac:dyDescent="0.2">
      <c r="A1629" s="120" t="s">
        <v>6027</v>
      </c>
      <c r="B1629" s="120" t="s">
        <v>5749</v>
      </c>
      <c r="C1629" s="98" t="s">
        <v>3533</v>
      </c>
      <c r="D1629" s="120" t="s">
        <v>3563</v>
      </c>
      <c r="E1629" s="98">
        <v>0.23100000000000001</v>
      </c>
      <c r="F1629" s="120">
        <v>0</v>
      </c>
      <c r="G1629" s="121">
        <v>0</v>
      </c>
      <c r="H1629" s="123">
        <v>0.23100000000000001</v>
      </c>
      <c r="I1629" s="122">
        <v>0</v>
      </c>
      <c r="J1629" s="124">
        <f t="shared" si="25"/>
        <v>231</v>
      </c>
      <c r="K1629" s="98" t="s">
        <v>6028</v>
      </c>
    </row>
    <row r="1630" spans="1:11" ht="15" customHeight="1" x14ac:dyDescent="0.2">
      <c r="A1630" s="120" t="s">
        <v>6029</v>
      </c>
      <c r="B1630" s="120" t="s">
        <v>5888</v>
      </c>
      <c r="C1630" s="98" t="s">
        <v>3532</v>
      </c>
      <c r="D1630" s="120" t="s">
        <v>3563</v>
      </c>
      <c r="E1630" s="98">
        <v>3.0283000000000001E-2</v>
      </c>
      <c r="F1630" s="120">
        <v>0</v>
      </c>
      <c r="G1630" s="121">
        <v>0</v>
      </c>
      <c r="H1630" s="123">
        <v>3.0283000000000001E-2</v>
      </c>
      <c r="I1630" s="122">
        <v>0</v>
      </c>
      <c r="J1630" s="124">
        <f t="shared" si="25"/>
        <v>30.283000000000001</v>
      </c>
    </row>
    <row r="1631" spans="1:11" ht="15" customHeight="1" x14ac:dyDescent="0.2">
      <c r="A1631" s="120" t="s">
        <v>6030</v>
      </c>
      <c r="B1631" s="120" t="s">
        <v>6031</v>
      </c>
      <c r="C1631" s="98" t="s">
        <v>3533</v>
      </c>
      <c r="D1631" s="120" t="s">
        <v>3563</v>
      </c>
      <c r="E1631" s="98">
        <v>0</v>
      </c>
      <c r="F1631" s="120">
        <v>0</v>
      </c>
      <c r="G1631" s="121">
        <v>0</v>
      </c>
      <c r="H1631" s="123">
        <v>0</v>
      </c>
      <c r="I1631" s="122">
        <v>0</v>
      </c>
      <c r="J1631" s="124">
        <f t="shared" si="25"/>
        <v>0</v>
      </c>
      <c r="K1631" s="98" t="s">
        <v>6032</v>
      </c>
    </row>
    <row r="1632" spans="1:11" ht="15" customHeight="1" x14ac:dyDescent="0.2">
      <c r="A1632" s="120" t="s">
        <v>6033</v>
      </c>
      <c r="B1632" s="120" t="s">
        <v>5749</v>
      </c>
      <c r="C1632" s="98" t="s">
        <v>3533</v>
      </c>
      <c r="D1632" s="120" t="s">
        <v>3563</v>
      </c>
      <c r="E1632" s="98">
        <v>1.6E-2</v>
      </c>
      <c r="F1632" s="120">
        <v>0</v>
      </c>
      <c r="G1632" s="121">
        <v>0</v>
      </c>
      <c r="H1632" s="123">
        <v>1.6E-2</v>
      </c>
      <c r="I1632" s="122">
        <v>0</v>
      </c>
      <c r="J1632" s="124">
        <f t="shared" si="25"/>
        <v>16</v>
      </c>
    </row>
    <row r="1633" spans="1:11" ht="15" customHeight="1" x14ac:dyDescent="0.2">
      <c r="A1633" s="120" t="s">
        <v>6034</v>
      </c>
      <c r="B1633" s="120" t="s">
        <v>5306</v>
      </c>
      <c r="C1633" s="98" t="s">
        <v>4837</v>
      </c>
      <c r="D1633" s="120" t="s">
        <v>3563</v>
      </c>
      <c r="E1633" s="98">
        <v>2.2499999999999999E-2</v>
      </c>
      <c r="F1633" s="120">
        <v>0</v>
      </c>
      <c r="G1633" s="121">
        <v>0</v>
      </c>
      <c r="H1633" s="123">
        <v>2.2499999999999999E-2</v>
      </c>
      <c r="I1633" s="122">
        <v>0</v>
      </c>
      <c r="J1633" s="124">
        <f t="shared" si="25"/>
        <v>22.5</v>
      </c>
    </row>
    <row r="1634" spans="1:11" ht="15" customHeight="1" x14ac:dyDescent="0.2">
      <c r="A1634" s="120" t="s">
        <v>6035</v>
      </c>
      <c r="B1634" s="120" t="s">
        <v>6036</v>
      </c>
      <c r="C1634" s="98" t="s">
        <v>3540</v>
      </c>
      <c r="D1634" s="120" t="s">
        <v>3563</v>
      </c>
      <c r="E1634" s="98">
        <v>0.18</v>
      </c>
      <c r="F1634" s="120">
        <v>0</v>
      </c>
      <c r="G1634" s="121">
        <v>0</v>
      </c>
      <c r="H1634" s="123">
        <v>0.18</v>
      </c>
      <c r="I1634" s="122">
        <v>0</v>
      </c>
      <c r="J1634" s="124">
        <f t="shared" si="25"/>
        <v>180</v>
      </c>
    </row>
    <row r="1635" spans="1:11" ht="15" customHeight="1" x14ac:dyDescent="0.2">
      <c r="A1635" s="120" t="s">
        <v>6037</v>
      </c>
      <c r="B1635" s="120" t="s">
        <v>3532</v>
      </c>
      <c r="C1635" s="98" t="s">
        <v>3532</v>
      </c>
      <c r="D1635" s="120" t="s">
        <v>3563</v>
      </c>
      <c r="E1635" s="98">
        <v>0</v>
      </c>
      <c r="F1635" s="120">
        <v>0</v>
      </c>
      <c r="G1635" s="121">
        <v>0</v>
      </c>
      <c r="H1635" s="123">
        <v>0</v>
      </c>
      <c r="I1635" s="122">
        <v>0</v>
      </c>
      <c r="J1635" s="124">
        <f t="shared" si="25"/>
        <v>0</v>
      </c>
    </row>
    <row r="1636" spans="1:11" ht="15" customHeight="1" x14ac:dyDescent="0.2">
      <c r="A1636" s="120" t="s">
        <v>6038</v>
      </c>
      <c r="B1636" s="120" t="s">
        <v>4720</v>
      </c>
      <c r="C1636" s="98" t="s">
        <v>3540</v>
      </c>
      <c r="D1636" s="120" t="s">
        <v>3563</v>
      </c>
      <c r="E1636" s="98">
        <v>3.3000000000000002E-2</v>
      </c>
      <c r="F1636" s="120">
        <v>0</v>
      </c>
      <c r="G1636" s="121">
        <v>0</v>
      </c>
      <c r="H1636" s="123">
        <v>3.3000000000000002E-2</v>
      </c>
      <c r="I1636" s="122">
        <v>0</v>
      </c>
      <c r="J1636" s="124">
        <f t="shared" si="25"/>
        <v>33</v>
      </c>
    </row>
    <row r="1637" spans="1:11" ht="15" customHeight="1" x14ac:dyDescent="0.2">
      <c r="A1637" s="120" t="s">
        <v>6039</v>
      </c>
      <c r="B1637" s="120" t="s">
        <v>5906</v>
      </c>
      <c r="C1637" s="98" t="s">
        <v>3533</v>
      </c>
      <c r="D1637" s="120" t="s">
        <v>3563</v>
      </c>
      <c r="E1637" s="98">
        <v>1.325E-2</v>
      </c>
      <c r="F1637" s="120">
        <v>0</v>
      </c>
      <c r="G1637" s="121">
        <v>14170</v>
      </c>
      <c r="H1637" s="123">
        <v>1.325E-2</v>
      </c>
      <c r="I1637" s="122">
        <v>187.7525</v>
      </c>
      <c r="J1637" s="124">
        <f t="shared" si="25"/>
        <v>13.25</v>
      </c>
      <c r="K1637" s="98" t="s">
        <v>6040</v>
      </c>
    </row>
    <row r="1638" spans="1:11" ht="15" customHeight="1" x14ac:dyDescent="0.2">
      <c r="A1638" s="120" t="s">
        <v>6041</v>
      </c>
      <c r="B1638" s="120" t="s">
        <v>5814</v>
      </c>
      <c r="C1638" s="98" t="s">
        <v>3532</v>
      </c>
      <c r="D1638" s="120" t="s">
        <v>3563</v>
      </c>
      <c r="E1638" s="98">
        <v>1.8222800000000001E-2</v>
      </c>
      <c r="F1638" s="120">
        <v>0</v>
      </c>
      <c r="G1638" s="121">
        <v>17200</v>
      </c>
      <c r="H1638" s="123">
        <v>1.8223E-2</v>
      </c>
      <c r="I1638" s="122">
        <v>313.43559999999997</v>
      </c>
      <c r="J1638" s="124">
        <f t="shared" si="25"/>
        <v>18.222799999999999</v>
      </c>
    </row>
    <row r="1639" spans="1:11" ht="15" customHeight="1" x14ac:dyDescent="0.2">
      <c r="A1639" s="120" t="s">
        <v>6042</v>
      </c>
      <c r="B1639" s="120" t="s">
        <v>5814</v>
      </c>
      <c r="C1639" s="98" t="s">
        <v>3533</v>
      </c>
      <c r="D1639" s="120" t="s">
        <v>3563</v>
      </c>
      <c r="E1639" s="98">
        <v>5.2929999999999998E-2</v>
      </c>
      <c r="F1639" s="120">
        <v>0</v>
      </c>
      <c r="G1639" s="121">
        <v>3642</v>
      </c>
      <c r="H1639" s="123">
        <v>5.2929999999999998E-2</v>
      </c>
      <c r="I1639" s="122">
        <v>192.77106000000001</v>
      </c>
      <c r="J1639" s="124">
        <f t="shared" si="25"/>
        <v>52.93</v>
      </c>
      <c r="K1639" s="98" t="s">
        <v>6043</v>
      </c>
    </row>
    <row r="1640" spans="1:11" ht="15" customHeight="1" x14ac:dyDescent="0.2">
      <c r="A1640" s="120" t="s">
        <v>6044</v>
      </c>
      <c r="B1640" s="120" t="s">
        <v>5814</v>
      </c>
      <c r="C1640" s="98" t="s">
        <v>3540</v>
      </c>
      <c r="D1640" s="120" t="s">
        <v>3563</v>
      </c>
      <c r="E1640" s="98">
        <v>0</v>
      </c>
      <c r="F1640" s="120">
        <v>0</v>
      </c>
      <c r="G1640" s="121">
        <v>0</v>
      </c>
      <c r="H1640" s="123">
        <v>0</v>
      </c>
      <c r="I1640" s="122">
        <v>0</v>
      </c>
      <c r="J1640" s="124">
        <f t="shared" si="25"/>
        <v>0</v>
      </c>
    </row>
    <row r="1641" spans="1:11" ht="15" customHeight="1" x14ac:dyDescent="0.2">
      <c r="A1641" s="120" t="s">
        <v>6045</v>
      </c>
      <c r="B1641" s="120" t="s">
        <v>5814</v>
      </c>
      <c r="C1641" s="98" t="s">
        <v>3540</v>
      </c>
      <c r="D1641" s="120" t="s">
        <v>3563</v>
      </c>
      <c r="E1641" s="98">
        <v>0</v>
      </c>
      <c r="F1641" s="120">
        <v>0</v>
      </c>
      <c r="G1641" s="121">
        <v>0</v>
      </c>
      <c r="H1641" s="123">
        <v>0</v>
      </c>
      <c r="I1641" s="122">
        <v>0</v>
      </c>
      <c r="J1641" s="124">
        <f t="shared" si="25"/>
        <v>0</v>
      </c>
    </row>
    <row r="1642" spans="1:11" ht="15" customHeight="1" x14ac:dyDescent="0.2">
      <c r="A1642" s="120" t="s">
        <v>6046</v>
      </c>
      <c r="B1642" s="120" t="s">
        <v>5814</v>
      </c>
      <c r="C1642" s="98" t="s">
        <v>3533</v>
      </c>
      <c r="D1642" s="120" t="s">
        <v>3563</v>
      </c>
      <c r="E1642" s="98">
        <v>2.3031599999999999E-2</v>
      </c>
      <c r="F1642" s="120">
        <v>0</v>
      </c>
      <c r="G1642" s="121">
        <v>17970</v>
      </c>
      <c r="H1642" s="123">
        <v>2.3032E-2</v>
      </c>
      <c r="I1642" s="122">
        <v>413.88504</v>
      </c>
      <c r="J1642" s="124">
        <f t="shared" si="25"/>
        <v>23.031600000000001</v>
      </c>
      <c r="K1642" s="98" t="s">
        <v>6047</v>
      </c>
    </row>
    <row r="1643" spans="1:11" ht="15" customHeight="1" x14ac:dyDescent="0.2">
      <c r="A1643" s="120" t="s">
        <v>6048</v>
      </c>
      <c r="B1643" s="120" t="s">
        <v>5814</v>
      </c>
      <c r="C1643" s="98" t="s">
        <v>3533</v>
      </c>
      <c r="D1643" s="120" t="s">
        <v>3563</v>
      </c>
      <c r="E1643" s="98">
        <v>0.10339</v>
      </c>
      <c r="F1643" s="120">
        <v>0</v>
      </c>
      <c r="G1643" s="121">
        <v>3865</v>
      </c>
      <c r="H1643" s="123">
        <v>0.10339</v>
      </c>
      <c r="I1643" s="122">
        <v>399.60235</v>
      </c>
      <c r="J1643" s="124">
        <f t="shared" si="25"/>
        <v>103.39</v>
      </c>
      <c r="K1643" s="98" t="s">
        <v>6049</v>
      </c>
    </row>
    <row r="1644" spans="1:11" ht="15" customHeight="1" x14ac:dyDescent="0.2">
      <c r="A1644" s="120" t="s">
        <v>6050</v>
      </c>
      <c r="B1644" s="120" t="s">
        <v>4720</v>
      </c>
      <c r="C1644" s="98" t="s">
        <v>3533</v>
      </c>
      <c r="D1644" s="120" t="s">
        <v>3563</v>
      </c>
      <c r="E1644" s="98">
        <v>3.10846560846561E-2</v>
      </c>
      <c r="F1644" s="120">
        <v>0</v>
      </c>
      <c r="G1644" s="121">
        <v>19160</v>
      </c>
      <c r="H1644" s="123">
        <v>3.1085000000000002E-2</v>
      </c>
      <c r="I1644" s="122">
        <v>595.58860000000004</v>
      </c>
      <c r="J1644" s="124">
        <f t="shared" si="25"/>
        <v>31.0846560846561</v>
      </c>
      <c r="K1644" s="98" t="s">
        <v>6051</v>
      </c>
    </row>
    <row r="1645" spans="1:11" ht="15" customHeight="1" x14ac:dyDescent="0.2">
      <c r="A1645" s="120" t="s">
        <v>6052</v>
      </c>
      <c r="B1645" s="120" t="s">
        <v>5749</v>
      </c>
      <c r="C1645" s="98" t="s">
        <v>3540</v>
      </c>
      <c r="D1645" s="120" t="s">
        <v>3563</v>
      </c>
      <c r="E1645" s="98">
        <v>1.2999999999999999E-2</v>
      </c>
      <c r="F1645" s="120">
        <v>0</v>
      </c>
      <c r="G1645" s="121">
        <v>0</v>
      </c>
      <c r="H1645" s="123">
        <v>1.2999999999999999E-2</v>
      </c>
      <c r="I1645" s="122">
        <v>0</v>
      </c>
      <c r="J1645" s="124">
        <f t="shared" si="25"/>
        <v>13</v>
      </c>
    </row>
    <row r="1646" spans="1:11" ht="15" customHeight="1" x14ac:dyDescent="0.2">
      <c r="A1646" s="120" t="s">
        <v>6053</v>
      </c>
      <c r="B1646" s="120" t="s">
        <v>4802</v>
      </c>
      <c r="C1646" s="98" t="s">
        <v>3533</v>
      </c>
      <c r="D1646" s="120" t="s">
        <v>3563</v>
      </c>
      <c r="E1646" s="98">
        <v>2.1600000000000001E-2</v>
      </c>
      <c r="F1646" s="120">
        <v>0</v>
      </c>
      <c r="G1646" s="121">
        <v>0</v>
      </c>
      <c r="H1646" s="123">
        <v>2.1600000000000001E-2</v>
      </c>
      <c r="I1646" s="122">
        <v>0</v>
      </c>
      <c r="J1646" s="124">
        <f t="shared" si="25"/>
        <v>21.6</v>
      </c>
      <c r="K1646" s="98" t="s">
        <v>6054</v>
      </c>
    </row>
    <row r="1647" spans="1:11" ht="15" customHeight="1" x14ac:dyDescent="0.2">
      <c r="A1647" s="120" t="s">
        <v>6055</v>
      </c>
      <c r="B1647" s="120" t="s">
        <v>5686</v>
      </c>
      <c r="C1647" s="98" t="s">
        <v>3533</v>
      </c>
      <c r="D1647" s="120" t="s">
        <v>3563</v>
      </c>
      <c r="E1647" s="98">
        <v>0.40799999999999997</v>
      </c>
      <c r="F1647" s="120">
        <v>0</v>
      </c>
      <c r="G1647" s="121">
        <v>9385</v>
      </c>
      <c r="H1647" s="123">
        <v>0.40799999999999997</v>
      </c>
      <c r="I1647" s="122">
        <v>3829.08</v>
      </c>
      <c r="J1647" s="124">
        <f t="shared" si="25"/>
        <v>408</v>
      </c>
      <c r="K1647" s="98" t="s">
        <v>6056</v>
      </c>
    </row>
    <row r="1648" spans="1:11" ht="15" customHeight="1" x14ac:dyDescent="0.2">
      <c r="A1648" s="120" t="s">
        <v>6057</v>
      </c>
      <c r="B1648" s="120" t="s">
        <v>5142</v>
      </c>
      <c r="C1648" s="98" t="s">
        <v>3533</v>
      </c>
      <c r="D1648" s="120" t="s">
        <v>3563</v>
      </c>
      <c r="E1648" s="98">
        <v>0.03</v>
      </c>
      <c r="F1648" s="120">
        <v>0</v>
      </c>
      <c r="G1648" s="121">
        <v>555830</v>
      </c>
      <c r="H1648" s="123">
        <v>0.03</v>
      </c>
      <c r="I1648" s="122">
        <v>16674.899999999998</v>
      </c>
      <c r="J1648" s="124">
        <f t="shared" si="25"/>
        <v>30</v>
      </c>
      <c r="K1648" s="98" t="s">
        <v>6058</v>
      </c>
    </row>
    <row r="1649" spans="1:11" ht="15" customHeight="1" x14ac:dyDescent="0.2">
      <c r="A1649" s="120" t="s">
        <v>6059</v>
      </c>
      <c r="B1649" s="120" t="s">
        <v>6060</v>
      </c>
      <c r="C1649" s="98" t="s">
        <v>3533</v>
      </c>
      <c r="D1649" s="120" t="s">
        <v>3563</v>
      </c>
      <c r="E1649" s="98">
        <v>1.8320105820105799E-2</v>
      </c>
      <c r="F1649" s="120">
        <v>0</v>
      </c>
      <c r="G1649" s="121">
        <v>13260</v>
      </c>
      <c r="H1649" s="123">
        <v>1.8319999999999999E-2</v>
      </c>
      <c r="I1649" s="122">
        <v>242.92319999999998</v>
      </c>
      <c r="J1649" s="124">
        <f t="shared" si="25"/>
        <v>18.320105820105798</v>
      </c>
    </row>
    <row r="1650" spans="1:11" ht="15" customHeight="1" x14ac:dyDescent="0.2">
      <c r="A1650" s="120" t="s">
        <v>6061</v>
      </c>
      <c r="B1650" s="120" t="s">
        <v>6062</v>
      </c>
      <c r="C1650" s="98" t="s">
        <v>3540</v>
      </c>
      <c r="D1650" s="120" t="s">
        <v>3563</v>
      </c>
      <c r="E1650" s="98">
        <v>0.27500000000000002</v>
      </c>
      <c r="F1650" s="120">
        <v>0</v>
      </c>
      <c r="G1650" s="121">
        <v>0</v>
      </c>
      <c r="H1650" s="123">
        <v>0.27500000000000002</v>
      </c>
      <c r="I1650" s="122">
        <v>0</v>
      </c>
      <c r="J1650" s="124">
        <f t="shared" si="25"/>
        <v>275</v>
      </c>
    </row>
    <row r="1651" spans="1:11" ht="15" customHeight="1" x14ac:dyDescent="0.2">
      <c r="A1651" s="120" t="s">
        <v>6063</v>
      </c>
      <c r="B1651" s="120" t="s">
        <v>5198</v>
      </c>
      <c r="C1651" s="98" t="s">
        <v>3532</v>
      </c>
      <c r="D1651" s="120" t="s">
        <v>3563</v>
      </c>
      <c r="E1651" s="98">
        <v>0.21</v>
      </c>
      <c r="F1651" s="120">
        <v>0</v>
      </c>
      <c r="G1651" s="121">
        <v>0</v>
      </c>
      <c r="H1651" s="123">
        <v>0.21</v>
      </c>
      <c r="I1651" s="122">
        <v>0</v>
      </c>
      <c r="J1651" s="124">
        <f t="shared" si="25"/>
        <v>210</v>
      </c>
    </row>
    <row r="1652" spans="1:11" ht="15" customHeight="1" x14ac:dyDescent="0.2">
      <c r="A1652" s="120" t="s">
        <v>6064</v>
      </c>
      <c r="B1652" s="120" t="s">
        <v>6060</v>
      </c>
      <c r="C1652" s="98" t="s">
        <v>3533</v>
      </c>
      <c r="D1652" s="120" t="s">
        <v>3563</v>
      </c>
      <c r="E1652" s="98">
        <v>1.34E-2</v>
      </c>
      <c r="F1652" s="120">
        <v>0</v>
      </c>
      <c r="G1652" s="121">
        <v>0</v>
      </c>
      <c r="H1652" s="123">
        <v>1.34E-2</v>
      </c>
      <c r="I1652" s="122">
        <v>0</v>
      </c>
      <c r="J1652" s="124">
        <f t="shared" si="25"/>
        <v>13.4</v>
      </c>
    </row>
    <row r="1653" spans="1:11" ht="15" customHeight="1" x14ac:dyDescent="0.2">
      <c r="A1653" s="120" t="s">
        <v>6065</v>
      </c>
      <c r="B1653" s="120" t="s">
        <v>5142</v>
      </c>
      <c r="C1653" s="98" t="s">
        <v>3533</v>
      </c>
      <c r="D1653" s="120" t="s">
        <v>3563</v>
      </c>
      <c r="E1653" s="98">
        <v>0.05</v>
      </c>
      <c r="F1653" s="120">
        <v>0</v>
      </c>
      <c r="G1653" s="121">
        <v>855</v>
      </c>
      <c r="H1653" s="123">
        <v>0.05</v>
      </c>
      <c r="I1653" s="122">
        <v>42.75</v>
      </c>
      <c r="J1653" s="124">
        <f t="shared" si="25"/>
        <v>50</v>
      </c>
      <c r="K1653" s="98" t="s">
        <v>6066</v>
      </c>
    </row>
    <row r="1654" spans="1:11" ht="15" customHeight="1" x14ac:dyDescent="0.2">
      <c r="A1654" s="120" t="s">
        <v>6067</v>
      </c>
      <c r="B1654" s="120" t="s">
        <v>5814</v>
      </c>
      <c r="C1654" s="98" t="s">
        <v>3533</v>
      </c>
      <c r="D1654" s="120" t="s">
        <v>3563</v>
      </c>
      <c r="E1654" s="98">
        <v>8.8770000000000002E-2</v>
      </c>
      <c r="F1654" s="120">
        <v>0</v>
      </c>
      <c r="G1654" s="121">
        <v>6610</v>
      </c>
      <c r="H1654" s="123">
        <v>8.9842000000000005E-2</v>
      </c>
      <c r="I1654" s="122">
        <v>593.85562000000004</v>
      </c>
      <c r="J1654" s="124">
        <f t="shared" si="25"/>
        <v>88.77</v>
      </c>
      <c r="K1654" s="98" t="s">
        <v>6068</v>
      </c>
    </row>
    <row r="1655" spans="1:11" ht="15" customHeight="1" x14ac:dyDescent="0.2">
      <c r="A1655" s="120" t="s">
        <v>6069</v>
      </c>
      <c r="B1655" s="120" t="s">
        <v>5768</v>
      </c>
      <c r="C1655" s="98" t="s">
        <v>3533</v>
      </c>
      <c r="D1655" s="120" t="s">
        <v>3563</v>
      </c>
      <c r="E1655" s="98">
        <v>1.7999999999999999E-2</v>
      </c>
      <c r="F1655" s="120">
        <v>0</v>
      </c>
      <c r="G1655" s="121">
        <v>1545</v>
      </c>
      <c r="H1655" s="123">
        <v>1.7999999999999999E-2</v>
      </c>
      <c r="I1655" s="122">
        <v>27.81</v>
      </c>
      <c r="J1655" s="124">
        <f t="shared" si="25"/>
        <v>18</v>
      </c>
      <c r="K1655" s="98" t="s">
        <v>6070</v>
      </c>
    </row>
    <row r="1656" spans="1:11" ht="15" customHeight="1" x14ac:dyDescent="0.2">
      <c r="A1656" s="120" t="s">
        <v>6071</v>
      </c>
      <c r="B1656" s="120" t="s">
        <v>5814</v>
      </c>
      <c r="C1656" s="98" t="s">
        <v>3533</v>
      </c>
      <c r="D1656" s="120" t="s">
        <v>3563</v>
      </c>
      <c r="E1656" s="98">
        <v>5.1959999999999999E-2</v>
      </c>
      <c r="F1656" s="120">
        <v>0</v>
      </c>
      <c r="G1656" s="121">
        <v>5000</v>
      </c>
      <c r="H1656" s="123">
        <v>5.1959999999999999E-2</v>
      </c>
      <c r="I1656" s="122">
        <v>259.8</v>
      </c>
      <c r="J1656" s="124">
        <f t="shared" si="25"/>
        <v>51.96</v>
      </c>
      <c r="K1656" s="98" t="s">
        <v>6072</v>
      </c>
    </row>
    <row r="1657" spans="1:11" ht="15" customHeight="1" x14ac:dyDescent="0.2">
      <c r="A1657" s="120" t="s">
        <v>6073</v>
      </c>
      <c r="B1657" s="120" t="s">
        <v>2184</v>
      </c>
      <c r="C1657" s="98" t="s">
        <v>3540</v>
      </c>
      <c r="D1657" s="120" t="s">
        <v>3563</v>
      </c>
      <c r="E1657" s="98">
        <v>1.465E-2</v>
      </c>
      <c r="F1657" s="120">
        <v>0</v>
      </c>
      <c r="G1657" s="121">
        <v>23675</v>
      </c>
      <c r="H1657" s="123">
        <v>1.465E-2</v>
      </c>
      <c r="I1657" s="122">
        <v>346.83875</v>
      </c>
      <c r="J1657" s="124">
        <f t="shared" si="25"/>
        <v>14.65</v>
      </c>
    </row>
    <row r="1658" spans="1:11" ht="15" customHeight="1" x14ac:dyDescent="0.2">
      <c r="A1658" s="120" t="s">
        <v>6074</v>
      </c>
      <c r="B1658" s="120" t="s">
        <v>5216</v>
      </c>
      <c r="C1658" s="98" t="s">
        <v>3533</v>
      </c>
      <c r="D1658" s="120" t="s">
        <v>3563</v>
      </c>
      <c r="E1658" s="98">
        <v>5.8000000000000003E-2</v>
      </c>
      <c r="F1658" s="120">
        <v>0</v>
      </c>
      <c r="G1658" s="121">
        <v>23335</v>
      </c>
      <c r="H1658" s="123">
        <v>5.8000000000000003E-2</v>
      </c>
      <c r="I1658" s="122">
        <v>1353.43</v>
      </c>
      <c r="J1658" s="124">
        <f t="shared" si="25"/>
        <v>58</v>
      </c>
      <c r="K1658" s="98" t="s">
        <v>2375</v>
      </c>
    </row>
    <row r="1659" spans="1:11" ht="15" customHeight="1" x14ac:dyDescent="0.2">
      <c r="A1659" s="120" t="s">
        <v>6075</v>
      </c>
      <c r="B1659" s="120" t="s">
        <v>5306</v>
      </c>
      <c r="C1659" s="98" t="s">
        <v>4837</v>
      </c>
      <c r="D1659" s="120" t="s">
        <v>3563</v>
      </c>
      <c r="E1659" s="98">
        <v>0.15884999999999999</v>
      </c>
      <c r="F1659" s="120">
        <v>0</v>
      </c>
      <c r="G1659" s="121">
        <v>0</v>
      </c>
      <c r="H1659" s="123">
        <v>0.15884999999999999</v>
      </c>
      <c r="I1659" s="122">
        <v>0</v>
      </c>
      <c r="J1659" s="124">
        <f t="shared" si="25"/>
        <v>158.85</v>
      </c>
    </row>
    <row r="1660" spans="1:11" ht="15" customHeight="1" x14ac:dyDescent="0.2">
      <c r="A1660" s="120" t="s">
        <v>6076</v>
      </c>
      <c r="B1660" s="120" t="s">
        <v>3532</v>
      </c>
      <c r="C1660" s="98" t="s">
        <v>3533</v>
      </c>
      <c r="D1660" s="120" t="s">
        <v>3563</v>
      </c>
      <c r="E1660" s="98">
        <v>0</v>
      </c>
      <c r="F1660" s="120">
        <v>0</v>
      </c>
      <c r="G1660" s="121">
        <v>0</v>
      </c>
      <c r="H1660" s="123">
        <v>0</v>
      </c>
      <c r="I1660" s="122">
        <v>0</v>
      </c>
      <c r="J1660" s="124">
        <f t="shared" si="25"/>
        <v>0</v>
      </c>
    </row>
    <row r="1661" spans="1:11" ht="15" customHeight="1" x14ac:dyDescent="0.2">
      <c r="A1661" s="120" t="s">
        <v>6077</v>
      </c>
      <c r="B1661" s="120" t="s">
        <v>5306</v>
      </c>
      <c r="C1661" s="98" t="s">
        <v>3533</v>
      </c>
      <c r="D1661" s="120" t="s">
        <v>3563</v>
      </c>
      <c r="E1661" s="98">
        <v>9.4500000000000001E-2</v>
      </c>
      <c r="F1661" s="120">
        <v>0</v>
      </c>
      <c r="G1661" s="121">
        <v>0</v>
      </c>
      <c r="H1661" s="123">
        <v>9.4500000000000001E-2</v>
      </c>
      <c r="I1661" s="122">
        <v>0</v>
      </c>
      <c r="J1661" s="124">
        <f t="shared" si="25"/>
        <v>94.5</v>
      </c>
      <c r="K1661" s="98" t="s">
        <v>6078</v>
      </c>
    </row>
    <row r="1662" spans="1:11" ht="15" customHeight="1" x14ac:dyDescent="0.2">
      <c r="A1662" s="120" t="s">
        <v>6079</v>
      </c>
      <c r="B1662" s="120" t="s">
        <v>6080</v>
      </c>
      <c r="C1662" s="98" t="s">
        <v>3533</v>
      </c>
      <c r="D1662" s="120" t="s">
        <v>3563</v>
      </c>
      <c r="E1662" s="98">
        <v>1.2149999999999999E-2</v>
      </c>
      <c r="F1662" s="120">
        <v>0</v>
      </c>
      <c r="G1662" s="121">
        <v>267010</v>
      </c>
      <c r="H1662" s="123">
        <v>1.2149999999999999E-2</v>
      </c>
      <c r="I1662" s="122">
        <v>3244.1714999999999</v>
      </c>
      <c r="J1662" s="124">
        <f t="shared" si="25"/>
        <v>12.149999999999999</v>
      </c>
      <c r="K1662" s="98" t="s">
        <v>3272</v>
      </c>
    </row>
    <row r="1663" spans="1:11" ht="15" customHeight="1" x14ac:dyDescent="0.2">
      <c r="A1663" s="120" t="s">
        <v>6081</v>
      </c>
      <c r="B1663" s="120" t="s">
        <v>6082</v>
      </c>
      <c r="C1663" s="98" t="s">
        <v>3533</v>
      </c>
      <c r="D1663" s="120" t="s">
        <v>3563</v>
      </c>
      <c r="E1663" s="98">
        <v>0.26</v>
      </c>
      <c r="F1663" s="120">
        <v>0</v>
      </c>
      <c r="G1663" s="121">
        <v>0</v>
      </c>
      <c r="H1663" s="123">
        <v>0.26</v>
      </c>
      <c r="I1663" s="122">
        <v>0</v>
      </c>
      <c r="J1663" s="124">
        <f t="shared" si="25"/>
        <v>260</v>
      </c>
      <c r="K1663" s="98" t="s">
        <v>6083</v>
      </c>
    </row>
    <row r="1664" spans="1:11" ht="15" customHeight="1" x14ac:dyDescent="0.2">
      <c r="A1664" s="120" t="s">
        <v>6084</v>
      </c>
      <c r="B1664" s="120" t="s">
        <v>5605</v>
      </c>
      <c r="C1664" s="98" t="s">
        <v>3540</v>
      </c>
      <c r="D1664" s="120" t="s">
        <v>3563</v>
      </c>
      <c r="E1664" s="98">
        <v>6.5500000000000003E-3</v>
      </c>
      <c r="F1664" s="120">
        <v>0</v>
      </c>
      <c r="G1664" s="121">
        <v>31505</v>
      </c>
      <c r="H1664" s="123">
        <v>6.5500000000000003E-3</v>
      </c>
      <c r="I1664" s="122">
        <v>206.35775000000001</v>
      </c>
      <c r="J1664" s="124">
        <f t="shared" si="25"/>
        <v>6.5500000000000007</v>
      </c>
    </row>
    <row r="1665" spans="1:11" ht="15" customHeight="1" x14ac:dyDescent="0.2">
      <c r="A1665" s="120" t="s">
        <v>6085</v>
      </c>
      <c r="B1665" s="120" t="s">
        <v>6086</v>
      </c>
      <c r="C1665" s="98" t="s">
        <v>3533</v>
      </c>
      <c r="D1665" s="120" t="s">
        <v>3563</v>
      </c>
      <c r="E1665" s="98">
        <v>0.105048</v>
      </c>
      <c r="F1665" s="120">
        <v>0</v>
      </c>
      <c r="G1665" s="121">
        <v>27906</v>
      </c>
      <c r="H1665" s="123">
        <v>0.105048</v>
      </c>
      <c r="I1665" s="122">
        <v>2931.4694880000002</v>
      </c>
      <c r="J1665" s="124">
        <f t="shared" si="25"/>
        <v>105.048</v>
      </c>
    </row>
    <row r="1666" spans="1:11" ht="15" customHeight="1" x14ac:dyDescent="0.2">
      <c r="A1666" s="120" t="s">
        <v>6087</v>
      </c>
      <c r="B1666" s="120" t="s">
        <v>5430</v>
      </c>
      <c r="C1666" s="98" t="s">
        <v>3533</v>
      </c>
      <c r="D1666" s="120" t="s">
        <v>3563</v>
      </c>
      <c r="E1666" s="98">
        <v>0.20960999999999999</v>
      </c>
      <c r="F1666" s="120">
        <v>0</v>
      </c>
      <c r="G1666" s="121">
        <v>14065</v>
      </c>
      <c r="H1666" s="123">
        <v>0.20960999999999999</v>
      </c>
      <c r="I1666" s="122">
        <v>2948.1646499999997</v>
      </c>
      <c r="J1666" s="124">
        <f t="shared" ref="J1666:J1729" si="26">IF(D1666="gm", E1666*1000,+E1666)</f>
        <v>209.60999999999999</v>
      </c>
      <c r="K1666" s="98" t="s">
        <v>6088</v>
      </c>
    </row>
    <row r="1667" spans="1:11" ht="15" customHeight="1" x14ac:dyDescent="0.2">
      <c r="A1667" s="120" t="s">
        <v>6089</v>
      </c>
      <c r="B1667" s="120" t="s">
        <v>6090</v>
      </c>
      <c r="C1667" s="98" t="s">
        <v>3533</v>
      </c>
      <c r="D1667" s="120" t="s">
        <v>3563</v>
      </c>
      <c r="E1667" s="98">
        <v>0.3</v>
      </c>
      <c r="F1667" s="120">
        <v>0</v>
      </c>
      <c r="G1667" s="121">
        <v>544</v>
      </c>
      <c r="H1667" s="123">
        <v>0.3</v>
      </c>
      <c r="I1667" s="122">
        <v>163.19999999999999</v>
      </c>
      <c r="J1667" s="124">
        <f t="shared" si="26"/>
        <v>300</v>
      </c>
    </row>
    <row r="1668" spans="1:11" ht="15" customHeight="1" x14ac:dyDescent="0.2">
      <c r="A1668" s="120" t="s">
        <v>6091</v>
      </c>
      <c r="B1668" s="120" t="s">
        <v>5211</v>
      </c>
      <c r="C1668" s="98" t="s">
        <v>3533</v>
      </c>
      <c r="D1668" s="120" t="s">
        <v>3563</v>
      </c>
      <c r="E1668" s="98">
        <v>3.5200000000000002E-2</v>
      </c>
      <c r="F1668" s="120">
        <v>0</v>
      </c>
      <c r="G1668" s="121">
        <v>0</v>
      </c>
      <c r="H1668" s="123">
        <v>3.5200000000000002E-2</v>
      </c>
      <c r="I1668" s="122">
        <v>0</v>
      </c>
      <c r="J1668" s="124">
        <f t="shared" si="26"/>
        <v>35.200000000000003</v>
      </c>
    </row>
    <row r="1669" spans="1:11" ht="15" customHeight="1" x14ac:dyDescent="0.2">
      <c r="A1669" s="120" t="s">
        <v>6092</v>
      </c>
      <c r="B1669" s="120" t="s">
        <v>5924</v>
      </c>
      <c r="C1669" s="98" t="s">
        <v>3532</v>
      </c>
      <c r="D1669" s="120" t="s">
        <v>3563</v>
      </c>
      <c r="E1669" s="98">
        <v>1.541E-2</v>
      </c>
      <c r="F1669" s="120">
        <v>0</v>
      </c>
      <c r="G1669" s="121">
        <v>0</v>
      </c>
      <c r="H1669" s="123">
        <v>1.541E-2</v>
      </c>
      <c r="I1669" s="122">
        <v>0</v>
      </c>
      <c r="J1669" s="124">
        <f t="shared" si="26"/>
        <v>15.41</v>
      </c>
    </row>
    <row r="1670" spans="1:11" ht="15" customHeight="1" x14ac:dyDescent="0.2">
      <c r="A1670" s="120" t="s">
        <v>6093</v>
      </c>
      <c r="B1670" s="120" t="s">
        <v>5306</v>
      </c>
      <c r="C1670" s="98" t="s">
        <v>3532</v>
      </c>
      <c r="D1670" s="120" t="s">
        <v>3563</v>
      </c>
      <c r="E1670" s="98">
        <v>8.7900000000000006E-2</v>
      </c>
      <c r="F1670" s="120">
        <v>0</v>
      </c>
      <c r="G1670" s="121">
        <v>0</v>
      </c>
      <c r="H1670" s="123">
        <v>8.7900000000000006E-2</v>
      </c>
      <c r="I1670" s="122">
        <v>0</v>
      </c>
      <c r="J1670" s="124">
        <f t="shared" si="26"/>
        <v>87.9</v>
      </c>
    </row>
    <row r="1671" spans="1:11" ht="15" customHeight="1" x14ac:dyDescent="0.2">
      <c r="A1671" s="120" t="s">
        <v>6094</v>
      </c>
      <c r="B1671" s="120" t="s">
        <v>4720</v>
      </c>
      <c r="C1671" s="98" t="s">
        <v>3540</v>
      </c>
      <c r="D1671" s="120" t="s">
        <v>3563</v>
      </c>
      <c r="E1671" s="98">
        <v>3.6375999999999999E-2</v>
      </c>
      <c r="F1671" s="120">
        <v>0</v>
      </c>
      <c r="G1671" s="121">
        <v>0</v>
      </c>
      <c r="H1671" s="123">
        <v>3.6375999999999999E-2</v>
      </c>
      <c r="I1671" s="122">
        <v>0</v>
      </c>
      <c r="J1671" s="124">
        <f t="shared" si="26"/>
        <v>36.375999999999998</v>
      </c>
    </row>
    <row r="1672" spans="1:11" ht="15" customHeight="1" x14ac:dyDescent="0.2">
      <c r="A1672" s="120" t="s">
        <v>6095</v>
      </c>
      <c r="B1672" s="120" t="s">
        <v>4716</v>
      </c>
      <c r="C1672" s="98" t="s">
        <v>3533</v>
      </c>
      <c r="D1672" s="120" t="s">
        <v>3563</v>
      </c>
      <c r="E1672" s="98">
        <v>1.6930000000000001E-2</v>
      </c>
      <c r="F1672" s="120">
        <v>0</v>
      </c>
      <c r="G1672" s="121">
        <v>204620</v>
      </c>
      <c r="H1672" s="123">
        <v>1.6930000000000001E-2</v>
      </c>
      <c r="I1672" s="122">
        <v>3464.2166000000002</v>
      </c>
      <c r="J1672" s="124">
        <f t="shared" si="26"/>
        <v>16.93</v>
      </c>
      <c r="K1672" s="98" t="s">
        <v>6096</v>
      </c>
    </row>
    <row r="1673" spans="1:11" ht="15" customHeight="1" x14ac:dyDescent="0.2">
      <c r="A1673" s="120" t="s">
        <v>6097</v>
      </c>
      <c r="B1673" s="120" t="s">
        <v>5639</v>
      </c>
      <c r="C1673" s="98" t="s">
        <v>3533</v>
      </c>
      <c r="D1673" s="120" t="s">
        <v>3563</v>
      </c>
      <c r="E1673" s="98">
        <v>0.18</v>
      </c>
      <c r="F1673" s="120">
        <v>0</v>
      </c>
      <c r="G1673" s="121">
        <v>0</v>
      </c>
      <c r="H1673" s="123">
        <v>0.18</v>
      </c>
      <c r="I1673" s="122">
        <v>0</v>
      </c>
      <c r="J1673" s="124">
        <f t="shared" si="26"/>
        <v>180</v>
      </c>
    </row>
    <row r="1674" spans="1:11" ht="15" customHeight="1" x14ac:dyDescent="0.2">
      <c r="A1674" s="120" t="s">
        <v>6098</v>
      </c>
      <c r="B1674" s="120" t="s">
        <v>2198</v>
      </c>
      <c r="C1674" s="98" t="s">
        <v>3533</v>
      </c>
      <c r="D1674" s="120" t="s">
        <v>3563</v>
      </c>
      <c r="E1674" s="98">
        <v>7.4999999999999997E-3</v>
      </c>
      <c r="F1674" s="120">
        <v>0</v>
      </c>
      <c r="G1674" s="121">
        <v>0</v>
      </c>
      <c r="H1674" s="123">
        <v>7.4999999999999997E-3</v>
      </c>
      <c r="I1674" s="122">
        <v>0</v>
      </c>
      <c r="J1674" s="124">
        <f t="shared" si="26"/>
        <v>7.5</v>
      </c>
    </row>
    <row r="1675" spans="1:11" ht="15" customHeight="1" x14ac:dyDescent="0.2">
      <c r="A1675" s="120" t="s">
        <v>6099</v>
      </c>
      <c r="B1675" s="120" t="s">
        <v>4802</v>
      </c>
      <c r="C1675" s="98" t="s">
        <v>3533</v>
      </c>
      <c r="D1675" s="120" t="s">
        <v>3563</v>
      </c>
      <c r="E1675" s="98">
        <v>4.1329904481998497E-2</v>
      </c>
      <c r="F1675" s="120">
        <v>0</v>
      </c>
      <c r="G1675" s="121">
        <v>9745</v>
      </c>
      <c r="H1675" s="123">
        <v>4.1329999999999999E-2</v>
      </c>
      <c r="I1675" s="122">
        <v>402.76085</v>
      </c>
      <c r="J1675" s="124">
        <f t="shared" si="26"/>
        <v>41.329904481998497</v>
      </c>
      <c r="K1675" s="98" t="s">
        <v>6100</v>
      </c>
    </row>
    <row r="1676" spans="1:11" ht="15" customHeight="1" x14ac:dyDescent="0.2">
      <c r="A1676" s="120" t="s">
        <v>6101</v>
      </c>
      <c r="B1676" s="120" t="s">
        <v>6102</v>
      </c>
      <c r="C1676" s="98" t="s">
        <v>3533</v>
      </c>
      <c r="D1676" s="120" t="s">
        <v>3563</v>
      </c>
      <c r="E1676" s="98">
        <v>9.3200000000000002E-3</v>
      </c>
      <c r="F1676" s="120">
        <v>0</v>
      </c>
      <c r="G1676" s="121">
        <v>0</v>
      </c>
      <c r="H1676" s="123">
        <v>9.3200000000000002E-3</v>
      </c>
      <c r="I1676" s="122">
        <v>0</v>
      </c>
      <c r="J1676" s="124">
        <f t="shared" si="26"/>
        <v>9.32</v>
      </c>
    </row>
    <row r="1677" spans="1:11" ht="15" customHeight="1" x14ac:dyDescent="0.2">
      <c r="A1677" s="120" t="s">
        <v>6103</v>
      </c>
      <c r="B1677" s="120" t="s">
        <v>6104</v>
      </c>
      <c r="C1677" s="98" t="s">
        <v>3532</v>
      </c>
      <c r="D1677" s="120" t="s">
        <v>3563</v>
      </c>
      <c r="E1677" s="98">
        <v>0</v>
      </c>
      <c r="F1677" s="120">
        <v>0</v>
      </c>
      <c r="G1677" s="121">
        <v>0</v>
      </c>
      <c r="H1677" s="123">
        <v>0</v>
      </c>
      <c r="I1677" s="122">
        <v>0</v>
      </c>
      <c r="J1677" s="124">
        <f t="shared" si="26"/>
        <v>0</v>
      </c>
    </row>
    <row r="1678" spans="1:11" ht="15" customHeight="1" x14ac:dyDescent="0.2">
      <c r="A1678" s="120" t="s">
        <v>6105</v>
      </c>
      <c r="B1678" s="120" t="s">
        <v>6106</v>
      </c>
      <c r="C1678" s="98" t="s">
        <v>3540</v>
      </c>
      <c r="D1678" s="120" t="s">
        <v>3563</v>
      </c>
      <c r="E1678" s="98">
        <v>0.35</v>
      </c>
      <c r="F1678" s="120">
        <v>0</v>
      </c>
      <c r="G1678" s="121">
        <v>0</v>
      </c>
      <c r="H1678" s="123">
        <v>0.35</v>
      </c>
      <c r="I1678" s="122">
        <v>0</v>
      </c>
      <c r="J1678" s="124">
        <f t="shared" si="26"/>
        <v>350</v>
      </c>
    </row>
    <row r="1679" spans="1:11" ht="15" customHeight="1" x14ac:dyDescent="0.2">
      <c r="A1679" s="120" t="s">
        <v>6107</v>
      </c>
      <c r="B1679" s="120" t="s">
        <v>5430</v>
      </c>
      <c r="C1679" s="98" t="s">
        <v>3533</v>
      </c>
      <c r="D1679" s="120" t="s">
        <v>3563</v>
      </c>
      <c r="E1679" s="98">
        <v>2.6249999999999999E-2</v>
      </c>
      <c r="F1679" s="120">
        <v>0</v>
      </c>
      <c r="G1679" s="121">
        <v>3579</v>
      </c>
      <c r="H1679" s="123">
        <v>2.6249999999999999E-2</v>
      </c>
      <c r="I1679" s="122">
        <v>93.94874999999999</v>
      </c>
      <c r="J1679" s="124">
        <f t="shared" si="26"/>
        <v>26.25</v>
      </c>
      <c r="K1679" s="98" t="s">
        <v>6108</v>
      </c>
    </row>
    <row r="1680" spans="1:11" ht="15" customHeight="1" x14ac:dyDescent="0.2">
      <c r="A1680" s="120" t="s">
        <v>6109</v>
      </c>
      <c r="B1680" s="120" t="s">
        <v>5906</v>
      </c>
      <c r="C1680" s="98" t="s">
        <v>3533</v>
      </c>
      <c r="D1680" s="120" t="s">
        <v>3563</v>
      </c>
      <c r="E1680" s="98">
        <v>4.2999999999999997E-2</v>
      </c>
      <c r="F1680" s="120">
        <v>0</v>
      </c>
      <c r="G1680" s="121">
        <v>0</v>
      </c>
      <c r="H1680" s="123">
        <v>4.2999999999999997E-2</v>
      </c>
      <c r="I1680" s="122">
        <v>0</v>
      </c>
      <c r="J1680" s="124">
        <f t="shared" si="26"/>
        <v>43</v>
      </c>
    </row>
    <row r="1681" spans="1:11" ht="15" customHeight="1" x14ac:dyDescent="0.2">
      <c r="A1681" s="120" t="s">
        <v>6110</v>
      </c>
      <c r="B1681" s="120" t="s">
        <v>5906</v>
      </c>
      <c r="C1681" s="98" t="s">
        <v>3540</v>
      </c>
      <c r="D1681" s="120" t="s">
        <v>3563</v>
      </c>
      <c r="E1681" s="98">
        <v>4.2999999999999997E-2</v>
      </c>
      <c r="F1681" s="120">
        <v>0</v>
      </c>
      <c r="G1681" s="121">
        <v>0</v>
      </c>
      <c r="H1681" s="123">
        <v>4.2999999999999997E-2</v>
      </c>
      <c r="I1681" s="122">
        <v>0</v>
      </c>
      <c r="J1681" s="124">
        <f t="shared" si="26"/>
        <v>43</v>
      </c>
    </row>
    <row r="1682" spans="1:11" ht="15" customHeight="1" x14ac:dyDescent="0.2">
      <c r="A1682" s="120" t="s">
        <v>6111</v>
      </c>
      <c r="B1682" s="120" t="s">
        <v>5906</v>
      </c>
      <c r="C1682" s="98" t="s">
        <v>3540</v>
      </c>
      <c r="D1682" s="120" t="s">
        <v>3563</v>
      </c>
      <c r="E1682" s="98">
        <v>4.2999999999999997E-2</v>
      </c>
      <c r="F1682" s="120">
        <v>0</v>
      </c>
      <c r="G1682" s="121">
        <v>0</v>
      </c>
      <c r="H1682" s="123">
        <v>4.2999999999999997E-2</v>
      </c>
      <c r="I1682" s="122">
        <v>0</v>
      </c>
      <c r="J1682" s="124">
        <f t="shared" si="26"/>
        <v>43</v>
      </c>
    </row>
    <row r="1683" spans="1:11" ht="15" customHeight="1" x14ac:dyDescent="0.2">
      <c r="A1683" s="120" t="s">
        <v>6112</v>
      </c>
      <c r="B1683" s="120" t="s">
        <v>5906</v>
      </c>
      <c r="C1683" s="98" t="s">
        <v>3540</v>
      </c>
      <c r="D1683" s="120" t="s">
        <v>3563</v>
      </c>
      <c r="E1683" s="98">
        <v>2.5999999999999999E-2</v>
      </c>
      <c r="F1683" s="120">
        <v>0</v>
      </c>
      <c r="G1683" s="121">
        <v>0</v>
      </c>
      <c r="H1683" s="123">
        <v>2.5999999999999999E-2</v>
      </c>
      <c r="I1683" s="122">
        <v>0</v>
      </c>
      <c r="J1683" s="124">
        <f t="shared" si="26"/>
        <v>26</v>
      </c>
    </row>
    <row r="1684" spans="1:11" ht="15" customHeight="1" x14ac:dyDescent="0.2">
      <c r="A1684" s="120" t="s">
        <v>6113</v>
      </c>
      <c r="B1684" s="120" t="s">
        <v>4720</v>
      </c>
      <c r="C1684" s="98" t="s">
        <v>3540</v>
      </c>
      <c r="D1684" s="120" t="s">
        <v>3563</v>
      </c>
      <c r="E1684" s="98">
        <v>0</v>
      </c>
      <c r="F1684" s="120">
        <v>0</v>
      </c>
      <c r="G1684" s="121">
        <v>0</v>
      </c>
      <c r="H1684" s="123">
        <v>0</v>
      </c>
      <c r="I1684" s="122">
        <v>0</v>
      </c>
      <c r="J1684" s="124">
        <f t="shared" si="26"/>
        <v>0</v>
      </c>
    </row>
    <row r="1685" spans="1:11" ht="15" customHeight="1" x14ac:dyDescent="0.2">
      <c r="A1685" s="120" t="s">
        <v>6114</v>
      </c>
      <c r="B1685" s="120" t="s">
        <v>6115</v>
      </c>
      <c r="C1685" s="98" t="s">
        <v>3533</v>
      </c>
      <c r="D1685" s="120" t="s">
        <v>3563</v>
      </c>
      <c r="E1685" s="98">
        <v>0</v>
      </c>
      <c r="F1685" s="120">
        <v>0</v>
      </c>
      <c r="G1685" s="121">
        <v>0</v>
      </c>
      <c r="H1685" s="123">
        <v>0</v>
      </c>
      <c r="I1685" s="122">
        <v>0</v>
      </c>
      <c r="J1685" s="124">
        <f t="shared" si="26"/>
        <v>0</v>
      </c>
    </row>
    <row r="1686" spans="1:11" ht="15" customHeight="1" x14ac:dyDescent="0.2">
      <c r="A1686" s="120" t="s">
        <v>6116</v>
      </c>
      <c r="B1686" s="120" t="s">
        <v>6115</v>
      </c>
      <c r="C1686" s="98" t="s">
        <v>3533</v>
      </c>
      <c r="D1686" s="120" t="s">
        <v>3563</v>
      </c>
      <c r="E1686" s="98">
        <v>0</v>
      </c>
      <c r="F1686" s="120">
        <v>0</v>
      </c>
      <c r="G1686" s="121">
        <v>0</v>
      </c>
      <c r="H1686" s="123">
        <v>0</v>
      </c>
      <c r="I1686" s="122">
        <v>0</v>
      </c>
      <c r="J1686" s="124">
        <f t="shared" si="26"/>
        <v>0</v>
      </c>
      <c r="K1686" s="98" t="s">
        <v>6117</v>
      </c>
    </row>
    <row r="1687" spans="1:11" ht="15" customHeight="1" x14ac:dyDescent="0.2">
      <c r="A1687" s="120" t="s">
        <v>6118</v>
      </c>
      <c r="B1687" s="120" t="s">
        <v>6119</v>
      </c>
      <c r="C1687" s="98" t="s">
        <v>3540</v>
      </c>
      <c r="D1687" s="120" t="s">
        <v>3563</v>
      </c>
      <c r="E1687" s="98">
        <v>0.19500000000000001</v>
      </c>
      <c r="F1687" s="120">
        <v>0</v>
      </c>
      <c r="G1687" s="121">
        <v>0</v>
      </c>
      <c r="H1687" s="123">
        <v>0.19500000000000001</v>
      </c>
      <c r="I1687" s="122">
        <v>0</v>
      </c>
      <c r="J1687" s="124">
        <f t="shared" si="26"/>
        <v>195</v>
      </c>
    </row>
    <row r="1688" spans="1:11" ht="15" customHeight="1" x14ac:dyDescent="0.2">
      <c r="A1688" s="120" t="s">
        <v>6120</v>
      </c>
      <c r="B1688" s="120" t="s">
        <v>6119</v>
      </c>
      <c r="C1688" s="98" t="s">
        <v>3540</v>
      </c>
      <c r="D1688" s="120" t="s">
        <v>3563</v>
      </c>
      <c r="E1688" s="98">
        <v>4.8000000000000001E-2</v>
      </c>
      <c r="F1688" s="120">
        <v>0</v>
      </c>
      <c r="G1688" s="121">
        <v>0</v>
      </c>
      <c r="H1688" s="123">
        <v>4.8000000000000001E-2</v>
      </c>
      <c r="I1688" s="122">
        <v>0</v>
      </c>
      <c r="J1688" s="124">
        <f t="shared" si="26"/>
        <v>48</v>
      </c>
    </row>
    <row r="1689" spans="1:11" ht="15" customHeight="1" x14ac:dyDescent="0.2">
      <c r="A1689" s="120" t="s">
        <v>6121</v>
      </c>
      <c r="B1689" s="120" t="s">
        <v>6122</v>
      </c>
      <c r="C1689" s="98" t="s">
        <v>3533</v>
      </c>
      <c r="D1689" s="120" t="s">
        <v>3563</v>
      </c>
      <c r="E1689" s="98">
        <v>0.17799999999999999</v>
      </c>
      <c r="F1689" s="120">
        <v>0</v>
      </c>
      <c r="G1689" s="121">
        <v>0</v>
      </c>
      <c r="H1689" s="123">
        <v>0.17799999999999999</v>
      </c>
      <c r="I1689" s="122">
        <v>0</v>
      </c>
      <c r="J1689" s="124">
        <f t="shared" si="26"/>
        <v>178</v>
      </c>
      <c r="K1689" s="98" t="s">
        <v>6123</v>
      </c>
    </row>
    <row r="1690" spans="1:11" ht="15" customHeight="1" x14ac:dyDescent="0.2">
      <c r="A1690" s="120" t="s">
        <v>6124</v>
      </c>
      <c r="B1690" s="120" t="s">
        <v>4873</v>
      </c>
      <c r="C1690" s="98" t="s">
        <v>3533</v>
      </c>
      <c r="D1690" s="120" t="s">
        <v>3563</v>
      </c>
      <c r="E1690" s="98">
        <v>9.1489999999999991E-3</v>
      </c>
      <c r="F1690" s="120">
        <v>0</v>
      </c>
      <c r="G1690" s="121">
        <v>5556972</v>
      </c>
      <c r="H1690" s="123">
        <v>9.1489999999999991E-3</v>
      </c>
      <c r="I1690" s="122">
        <v>50840.736827999994</v>
      </c>
      <c r="J1690" s="124">
        <f t="shared" si="26"/>
        <v>9.1489999999999991</v>
      </c>
      <c r="K1690" s="98" t="s">
        <v>6125</v>
      </c>
    </row>
    <row r="1691" spans="1:11" ht="15" customHeight="1" x14ac:dyDescent="0.2">
      <c r="A1691" s="120" t="s">
        <v>6126</v>
      </c>
      <c r="B1691" s="120" t="s">
        <v>6127</v>
      </c>
      <c r="C1691" s="98" t="s">
        <v>3540</v>
      </c>
      <c r="D1691" s="120" t="s">
        <v>3563</v>
      </c>
      <c r="E1691" s="98">
        <v>6.6000000000000003E-2</v>
      </c>
      <c r="F1691" s="120">
        <v>0</v>
      </c>
      <c r="G1691" s="121">
        <v>0</v>
      </c>
      <c r="H1691" s="123">
        <v>6.6000000000000003E-2</v>
      </c>
      <c r="I1691" s="122">
        <v>0</v>
      </c>
      <c r="J1691" s="124">
        <f t="shared" si="26"/>
        <v>66</v>
      </c>
    </row>
    <row r="1692" spans="1:11" ht="15" customHeight="1" x14ac:dyDescent="0.2">
      <c r="A1692" s="120" t="s">
        <v>6128</v>
      </c>
      <c r="B1692" s="120" t="s">
        <v>6127</v>
      </c>
      <c r="C1692" s="98" t="s">
        <v>3540</v>
      </c>
      <c r="D1692" s="120" t="s">
        <v>3563</v>
      </c>
      <c r="E1692" s="98">
        <v>6.4000000000000001E-2</v>
      </c>
      <c r="F1692" s="120">
        <v>0</v>
      </c>
      <c r="G1692" s="121">
        <v>0</v>
      </c>
      <c r="H1692" s="123">
        <v>6.4000000000000001E-2</v>
      </c>
      <c r="I1692" s="122">
        <v>0</v>
      </c>
      <c r="J1692" s="124">
        <f t="shared" si="26"/>
        <v>64</v>
      </c>
    </row>
    <row r="1693" spans="1:11" ht="15" customHeight="1" x14ac:dyDescent="0.2">
      <c r="A1693" s="120" t="s">
        <v>6129</v>
      </c>
      <c r="B1693" s="120" t="s">
        <v>6130</v>
      </c>
      <c r="C1693" s="98" t="s">
        <v>3533</v>
      </c>
      <c r="D1693" s="120" t="s">
        <v>3563</v>
      </c>
      <c r="E1693" s="98">
        <v>2.1909999999999999E-2</v>
      </c>
      <c r="F1693" s="120">
        <v>0</v>
      </c>
      <c r="G1693" s="121">
        <v>1971815</v>
      </c>
      <c r="H1693" s="123">
        <v>2.1909999999999999E-2</v>
      </c>
      <c r="I1693" s="122">
        <v>43202.466649999995</v>
      </c>
      <c r="J1693" s="124">
        <f t="shared" si="26"/>
        <v>21.91</v>
      </c>
    </row>
    <row r="1694" spans="1:11" ht="15" customHeight="1" x14ac:dyDescent="0.2">
      <c r="A1694" s="120" t="s">
        <v>6131</v>
      </c>
      <c r="B1694" s="120" t="s">
        <v>5072</v>
      </c>
      <c r="C1694" s="98" t="s">
        <v>3533</v>
      </c>
      <c r="D1694" s="120" t="s">
        <v>3563</v>
      </c>
      <c r="E1694" s="98">
        <v>2.4E-2</v>
      </c>
      <c r="F1694" s="120">
        <v>0</v>
      </c>
      <c r="G1694" s="121">
        <v>91595</v>
      </c>
      <c r="H1694" s="123">
        <v>2.4E-2</v>
      </c>
      <c r="I1694" s="122">
        <v>2198.2800000000002</v>
      </c>
      <c r="J1694" s="124">
        <f t="shared" si="26"/>
        <v>24</v>
      </c>
      <c r="K1694" s="98" t="s">
        <v>6132</v>
      </c>
    </row>
    <row r="1695" spans="1:11" ht="15" customHeight="1" x14ac:dyDescent="0.2">
      <c r="A1695" s="120" t="s">
        <v>6133</v>
      </c>
      <c r="B1695" s="120" t="s">
        <v>4720</v>
      </c>
      <c r="C1695" s="98" t="s">
        <v>3533</v>
      </c>
      <c r="D1695" s="120" t="s">
        <v>3563</v>
      </c>
      <c r="E1695" s="98">
        <v>2.8850000000000001E-2</v>
      </c>
      <c r="F1695" s="120">
        <v>0</v>
      </c>
      <c r="G1695" s="121">
        <v>0</v>
      </c>
      <c r="H1695" s="123">
        <v>2.8850000000000001E-2</v>
      </c>
      <c r="I1695" s="122">
        <v>0</v>
      </c>
      <c r="J1695" s="124">
        <f t="shared" si="26"/>
        <v>28.85</v>
      </c>
      <c r="K1695" s="98" t="s">
        <v>6134</v>
      </c>
    </row>
    <row r="1696" spans="1:11" ht="15" customHeight="1" x14ac:dyDescent="0.2">
      <c r="A1696" s="120" t="s">
        <v>6135</v>
      </c>
      <c r="B1696" s="120" t="s">
        <v>6136</v>
      </c>
      <c r="C1696" s="98" t="s">
        <v>3533</v>
      </c>
      <c r="D1696" s="120" t="s">
        <v>3563</v>
      </c>
      <c r="E1696" s="98">
        <v>2.3412698412698399E-2</v>
      </c>
      <c r="F1696" s="120">
        <v>0</v>
      </c>
      <c r="G1696" s="121">
        <v>124020</v>
      </c>
      <c r="H1696" s="123">
        <v>2.3413E-2</v>
      </c>
      <c r="I1696" s="122">
        <v>2903.6802600000001</v>
      </c>
      <c r="J1696" s="124">
        <f t="shared" si="26"/>
        <v>23.412698412698401</v>
      </c>
      <c r="K1696" s="98" t="s">
        <v>6137</v>
      </c>
    </row>
    <row r="1697" spans="1:11" ht="15" customHeight="1" x14ac:dyDescent="0.2">
      <c r="A1697" s="120" t="s">
        <v>2293</v>
      </c>
      <c r="B1697" s="120" t="s">
        <v>5936</v>
      </c>
      <c r="C1697" s="98" t="s">
        <v>3540</v>
      </c>
      <c r="D1697" s="120" t="s">
        <v>3563</v>
      </c>
      <c r="E1697" s="98">
        <v>6.4790000000000004E-3</v>
      </c>
      <c r="F1697" s="120">
        <v>0</v>
      </c>
      <c r="G1697" s="121">
        <v>0</v>
      </c>
      <c r="H1697" s="123">
        <v>6.4790000000000004E-3</v>
      </c>
      <c r="I1697" s="122">
        <v>0</v>
      </c>
      <c r="J1697" s="124">
        <f t="shared" si="26"/>
        <v>6.4790000000000001</v>
      </c>
    </row>
    <row r="1698" spans="1:11" ht="15" customHeight="1" x14ac:dyDescent="0.2">
      <c r="A1698" s="120" t="s">
        <v>6138</v>
      </c>
      <c r="B1698" s="120" t="s">
        <v>5716</v>
      </c>
      <c r="C1698" s="98" t="s">
        <v>3533</v>
      </c>
      <c r="D1698" s="120" t="s">
        <v>3563</v>
      </c>
      <c r="E1698" s="98">
        <v>1.3513447971781299E-2</v>
      </c>
      <c r="F1698" s="120">
        <v>0</v>
      </c>
      <c r="G1698" s="121">
        <v>19850</v>
      </c>
      <c r="H1698" s="123">
        <v>1.3513000000000001E-2</v>
      </c>
      <c r="I1698" s="122">
        <v>268.23304999999999</v>
      </c>
      <c r="J1698" s="124">
        <f t="shared" si="26"/>
        <v>13.513447971781298</v>
      </c>
      <c r="K1698" s="98" t="s">
        <v>6139</v>
      </c>
    </row>
    <row r="1699" spans="1:11" ht="15" customHeight="1" x14ac:dyDescent="0.2">
      <c r="A1699" s="120" t="s">
        <v>6140</v>
      </c>
      <c r="B1699" s="120" t="s">
        <v>6141</v>
      </c>
      <c r="C1699" s="98" t="s">
        <v>3533</v>
      </c>
      <c r="D1699" s="120" t="s">
        <v>3563</v>
      </c>
      <c r="E1699" s="98">
        <v>6.7019400352733701E-3</v>
      </c>
      <c r="F1699" s="120">
        <v>0</v>
      </c>
      <c r="G1699" s="121">
        <v>28310</v>
      </c>
      <c r="H1699" s="123">
        <v>6.7019999999999996E-3</v>
      </c>
      <c r="I1699" s="122">
        <v>189.73362</v>
      </c>
      <c r="J1699" s="124">
        <f t="shared" si="26"/>
        <v>6.7019400352733705</v>
      </c>
      <c r="K1699" s="98" t="s">
        <v>6142</v>
      </c>
    </row>
    <row r="1700" spans="1:11" ht="15" customHeight="1" x14ac:dyDescent="0.2">
      <c r="A1700" s="120" t="s">
        <v>6143</v>
      </c>
      <c r="B1700" s="120" t="s">
        <v>5878</v>
      </c>
      <c r="C1700" s="98" t="s">
        <v>3540</v>
      </c>
      <c r="D1700" s="120" t="s">
        <v>3563</v>
      </c>
      <c r="E1700" s="98">
        <v>3.8890000000000001E-3</v>
      </c>
      <c r="F1700" s="120">
        <v>0</v>
      </c>
      <c r="G1700" s="121">
        <v>0</v>
      </c>
      <c r="H1700" s="123">
        <v>3.8890000000000001E-3</v>
      </c>
      <c r="I1700" s="122">
        <v>0</v>
      </c>
      <c r="J1700" s="124">
        <f t="shared" si="26"/>
        <v>3.8890000000000002</v>
      </c>
    </row>
    <row r="1701" spans="1:11" ht="15" customHeight="1" x14ac:dyDescent="0.2">
      <c r="A1701" s="120" t="s">
        <v>6144</v>
      </c>
      <c r="B1701" s="120" t="s">
        <v>4720</v>
      </c>
      <c r="C1701" s="98" t="s">
        <v>3533</v>
      </c>
      <c r="D1701" s="120" t="s">
        <v>3563</v>
      </c>
      <c r="E1701" s="98">
        <v>2.8328924162257501E-2</v>
      </c>
      <c r="F1701" s="120">
        <v>0</v>
      </c>
      <c r="G1701" s="121">
        <v>18560</v>
      </c>
      <c r="H1701" s="123">
        <v>2.8329E-2</v>
      </c>
      <c r="I1701" s="122">
        <v>525.78624000000002</v>
      </c>
      <c r="J1701" s="124">
        <f t="shared" si="26"/>
        <v>28.328924162257501</v>
      </c>
      <c r="K1701" s="98" t="s">
        <v>5298</v>
      </c>
    </row>
    <row r="1702" spans="1:11" ht="15" customHeight="1" x14ac:dyDescent="0.2">
      <c r="A1702" s="120" t="s">
        <v>6145</v>
      </c>
      <c r="B1702" s="120" t="s">
        <v>5110</v>
      </c>
      <c r="C1702" s="98" t="s">
        <v>3533</v>
      </c>
      <c r="D1702" s="120" t="s">
        <v>3563</v>
      </c>
      <c r="E1702" s="98">
        <v>1.15E-2</v>
      </c>
      <c r="F1702" s="120">
        <v>0</v>
      </c>
      <c r="G1702" s="121">
        <v>94510</v>
      </c>
      <c r="H1702" s="123">
        <v>1.1768000000000001E-2</v>
      </c>
      <c r="I1702" s="122">
        <v>1112.1936800000001</v>
      </c>
      <c r="J1702" s="124">
        <f t="shared" si="26"/>
        <v>11.5</v>
      </c>
      <c r="K1702" s="98" t="s">
        <v>2387</v>
      </c>
    </row>
    <row r="1703" spans="1:11" ht="15" customHeight="1" x14ac:dyDescent="0.2">
      <c r="A1703" s="120" t="s">
        <v>6146</v>
      </c>
      <c r="B1703" s="120" t="s">
        <v>6147</v>
      </c>
      <c r="C1703" s="98" t="s">
        <v>3540</v>
      </c>
      <c r="D1703" s="120" t="s">
        <v>3563</v>
      </c>
      <c r="E1703" s="98">
        <v>0.5</v>
      </c>
      <c r="F1703" s="120">
        <v>0</v>
      </c>
      <c r="G1703" s="121">
        <v>0</v>
      </c>
      <c r="H1703" s="123">
        <v>0.5</v>
      </c>
      <c r="I1703" s="122">
        <v>0</v>
      </c>
      <c r="J1703" s="124">
        <f t="shared" si="26"/>
        <v>500</v>
      </c>
    </row>
    <row r="1704" spans="1:11" ht="15" customHeight="1" x14ac:dyDescent="0.2">
      <c r="A1704" s="120" t="s">
        <v>6148</v>
      </c>
      <c r="B1704" s="120" t="s">
        <v>6149</v>
      </c>
      <c r="C1704" s="98" t="s">
        <v>3533</v>
      </c>
      <c r="D1704" s="120" t="s">
        <v>3563</v>
      </c>
      <c r="E1704" s="98">
        <v>2.5462962962963E-2</v>
      </c>
      <c r="F1704" s="120">
        <v>0</v>
      </c>
      <c r="G1704" s="121">
        <v>15405</v>
      </c>
      <c r="H1704" s="123">
        <v>2.5463E-2</v>
      </c>
      <c r="I1704" s="122">
        <v>392.25751500000001</v>
      </c>
      <c r="J1704" s="124">
        <f t="shared" si="26"/>
        <v>25.462962962963001</v>
      </c>
      <c r="K1704" s="98" t="s">
        <v>6150</v>
      </c>
    </row>
    <row r="1705" spans="1:11" ht="15" customHeight="1" x14ac:dyDescent="0.2">
      <c r="A1705" s="120" t="s">
        <v>6151</v>
      </c>
      <c r="B1705" s="120" t="s">
        <v>6149</v>
      </c>
      <c r="C1705" s="98" t="s">
        <v>3533</v>
      </c>
      <c r="D1705" s="120" t="s">
        <v>3563</v>
      </c>
      <c r="E1705" s="98">
        <v>2.3368606701939999E-2</v>
      </c>
      <c r="F1705" s="120">
        <v>0</v>
      </c>
      <c r="G1705" s="121">
        <v>70865</v>
      </c>
      <c r="H1705" s="123">
        <v>2.3369000000000001E-2</v>
      </c>
      <c r="I1705" s="122">
        <v>1656.044185</v>
      </c>
      <c r="J1705" s="124">
        <f t="shared" si="26"/>
        <v>23.368606701939999</v>
      </c>
      <c r="K1705" s="98" t="s">
        <v>6152</v>
      </c>
    </row>
    <row r="1706" spans="1:11" ht="15" customHeight="1" x14ac:dyDescent="0.2">
      <c r="A1706" s="120" t="s">
        <v>6153</v>
      </c>
      <c r="B1706" s="120" t="s">
        <v>6149</v>
      </c>
      <c r="C1706" s="98" t="s">
        <v>3533</v>
      </c>
      <c r="D1706" s="120" t="s">
        <v>3563</v>
      </c>
      <c r="E1706" s="98">
        <v>2.205E-2</v>
      </c>
      <c r="F1706" s="120">
        <v>0</v>
      </c>
      <c r="G1706" s="121">
        <v>0</v>
      </c>
      <c r="H1706" s="123">
        <v>2.205E-2</v>
      </c>
      <c r="I1706" s="122">
        <v>0</v>
      </c>
      <c r="J1706" s="124">
        <f t="shared" si="26"/>
        <v>22.05</v>
      </c>
      <c r="K1706" s="98" t="s">
        <v>6154</v>
      </c>
    </row>
    <row r="1707" spans="1:11" ht="15" customHeight="1" x14ac:dyDescent="0.2">
      <c r="A1707" s="120" t="s">
        <v>6155</v>
      </c>
      <c r="B1707" s="120" t="s">
        <v>6006</v>
      </c>
      <c r="C1707" s="98" t="s">
        <v>3533</v>
      </c>
      <c r="D1707" s="120" t="s">
        <v>3563</v>
      </c>
      <c r="E1707" s="98">
        <v>4.8559999999999999E-2</v>
      </c>
      <c r="F1707" s="120">
        <v>0</v>
      </c>
      <c r="G1707" s="121">
        <v>16040</v>
      </c>
      <c r="H1707" s="123">
        <v>4.8559999999999999E-2</v>
      </c>
      <c r="I1707" s="122">
        <v>778.90239999999994</v>
      </c>
      <c r="J1707" s="124">
        <f t="shared" si="26"/>
        <v>48.56</v>
      </c>
      <c r="K1707" s="98" t="s">
        <v>6156</v>
      </c>
    </row>
    <row r="1708" spans="1:11" ht="15" customHeight="1" x14ac:dyDescent="0.2">
      <c r="A1708" s="120" t="s">
        <v>6157</v>
      </c>
      <c r="B1708" s="120" t="s">
        <v>3532</v>
      </c>
      <c r="C1708" s="98" t="s">
        <v>3540</v>
      </c>
      <c r="D1708" s="120" t="s">
        <v>3563</v>
      </c>
      <c r="E1708" s="98">
        <v>2.823E-3</v>
      </c>
      <c r="F1708" s="120">
        <v>0</v>
      </c>
      <c r="G1708" s="121">
        <v>0</v>
      </c>
      <c r="H1708" s="123">
        <v>2.823E-3</v>
      </c>
      <c r="I1708" s="122">
        <v>0</v>
      </c>
      <c r="J1708" s="124">
        <f t="shared" si="26"/>
        <v>2.823</v>
      </c>
    </row>
    <row r="1709" spans="1:11" ht="15" customHeight="1" x14ac:dyDescent="0.2">
      <c r="A1709" s="120" t="s">
        <v>6158</v>
      </c>
      <c r="B1709" s="120" t="s">
        <v>3532</v>
      </c>
      <c r="C1709" s="98" t="s">
        <v>3540</v>
      </c>
      <c r="D1709" s="120" t="s">
        <v>3563</v>
      </c>
      <c r="E1709" s="98">
        <v>1.0800000000000001E-2</v>
      </c>
      <c r="F1709" s="120">
        <v>0</v>
      </c>
      <c r="G1709" s="121">
        <v>0</v>
      </c>
      <c r="H1709" s="123">
        <v>1.0800000000000001E-2</v>
      </c>
      <c r="I1709" s="122">
        <v>0</v>
      </c>
      <c r="J1709" s="124">
        <f t="shared" si="26"/>
        <v>10.8</v>
      </c>
    </row>
    <row r="1710" spans="1:11" ht="15" customHeight="1" x14ac:dyDescent="0.2">
      <c r="A1710" s="120" t="s">
        <v>6159</v>
      </c>
      <c r="B1710" s="120" t="s">
        <v>3532</v>
      </c>
      <c r="C1710" s="98" t="s">
        <v>3540</v>
      </c>
      <c r="D1710" s="120" t="s">
        <v>3563</v>
      </c>
      <c r="E1710" s="98">
        <v>1.095E-2</v>
      </c>
      <c r="F1710" s="120">
        <v>0</v>
      </c>
      <c r="G1710" s="121">
        <v>0</v>
      </c>
      <c r="H1710" s="123">
        <v>1.095E-2</v>
      </c>
      <c r="I1710" s="122">
        <v>0</v>
      </c>
      <c r="J1710" s="124">
        <f t="shared" si="26"/>
        <v>10.95</v>
      </c>
    </row>
    <row r="1711" spans="1:11" ht="15" customHeight="1" x14ac:dyDescent="0.2">
      <c r="A1711" s="120" t="s">
        <v>6160</v>
      </c>
      <c r="B1711" s="120" t="s">
        <v>3532</v>
      </c>
      <c r="C1711" s="98" t="s">
        <v>3540</v>
      </c>
      <c r="D1711" s="120" t="s">
        <v>3563</v>
      </c>
      <c r="E1711" s="98">
        <v>1.9619999999999999E-2</v>
      </c>
      <c r="F1711" s="120">
        <v>0</v>
      </c>
      <c r="G1711" s="121">
        <v>0</v>
      </c>
      <c r="H1711" s="123">
        <v>1.9619999999999999E-2</v>
      </c>
      <c r="I1711" s="122">
        <v>0</v>
      </c>
      <c r="J1711" s="124">
        <f t="shared" si="26"/>
        <v>19.619999999999997</v>
      </c>
    </row>
    <row r="1712" spans="1:11" ht="15" customHeight="1" x14ac:dyDescent="0.2">
      <c r="A1712" s="120" t="s">
        <v>6161</v>
      </c>
      <c r="B1712" s="120" t="s">
        <v>3532</v>
      </c>
      <c r="C1712" s="98" t="s">
        <v>3540</v>
      </c>
      <c r="D1712" s="120" t="s">
        <v>3563</v>
      </c>
      <c r="E1712" s="98">
        <v>0</v>
      </c>
      <c r="F1712" s="120">
        <v>0</v>
      </c>
      <c r="G1712" s="121">
        <v>0</v>
      </c>
      <c r="H1712" s="123">
        <v>0</v>
      </c>
      <c r="I1712" s="122">
        <v>0</v>
      </c>
      <c r="J1712" s="124">
        <f t="shared" si="26"/>
        <v>0</v>
      </c>
    </row>
    <row r="1713" spans="1:11" ht="15" customHeight="1" x14ac:dyDescent="0.2">
      <c r="A1713" s="120" t="s">
        <v>6162</v>
      </c>
      <c r="B1713" s="120" t="s">
        <v>3532</v>
      </c>
      <c r="C1713" s="98" t="s">
        <v>3540</v>
      </c>
      <c r="D1713" s="120" t="s">
        <v>3563</v>
      </c>
      <c r="E1713" s="98">
        <v>0</v>
      </c>
      <c r="F1713" s="120">
        <v>0</v>
      </c>
      <c r="G1713" s="121">
        <v>0</v>
      </c>
      <c r="H1713" s="123">
        <v>0</v>
      </c>
      <c r="I1713" s="122">
        <v>0</v>
      </c>
      <c r="J1713" s="124">
        <f t="shared" si="26"/>
        <v>0</v>
      </c>
    </row>
    <row r="1714" spans="1:11" ht="15" customHeight="1" x14ac:dyDescent="0.2">
      <c r="A1714" s="120" t="s">
        <v>6163</v>
      </c>
      <c r="B1714" s="120" t="s">
        <v>2198</v>
      </c>
      <c r="C1714" s="98" t="s">
        <v>3540</v>
      </c>
      <c r="D1714" s="120" t="s">
        <v>3563</v>
      </c>
      <c r="E1714" s="98">
        <v>9.92E-3</v>
      </c>
      <c r="F1714" s="120">
        <v>0</v>
      </c>
      <c r="G1714" s="121">
        <v>0</v>
      </c>
      <c r="H1714" s="123">
        <v>9.92E-3</v>
      </c>
      <c r="I1714" s="122">
        <v>0</v>
      </c>
      <c r="J1714" s="124">
        <f t="shared" si="26"/>
        <v>9.92</v>
      </c>
    </row>
    <row r="1715" spans="1:11" ht="15" customHeight="1" x14ac:dyDescent="0.2">
      <c r="A1715" s="120" t="s">
        <v>6164</v>
      </c>
      <c r="B1715" s="120" t="s">
        <v>6165</v>
      </c>
      <c r="C1715" s="98" t="s">
        <v>3533</v>
      </c>
      <c r="D1715" s="120" t="s">
        <v>3563</v>
      </c>
      <c r="E1715" s="98">
        <v>6.45E-3</v>
      </c>
      <c r="F1715" s="120">
        <v>0</v>
      </c>
      <c r="G1715" s="121">
        <v>359805</v>
      </c>
      <c r="H1715" s="123">
        <v>6.45E-3</v>
      </c>
      <c r="I1715" s="122">
        <v>2320.7422499999998</v>
      </c>
      <c r="J1715" s="124">
        <f t="shared" si="26"/>
        <v>6.45</v>
      </c>
      <c r="K1715" s="98" t="s">
        <v>6166</v>
      </c>
    </row>
    <row r="1716" spans="1:11" ht="15" customHeight="1" x14ac:dyDescent="0.2">
      <c r="A1716" s="120" t="s">
        <v>6167</v>
      </c>
      <c r="B1716" s="120" t="s">
        <v>2198</v>
      </c>
      <c r="C1716" s="98" t="s">
        <v>3540</v>
      </c>
      <c r="D1716" s="120" t="s">
        <v>3563</v>
      </c>
      <c r="E1716" s="98">
        <v>1.9619999999999999E-2</v>
      </c>
      <c r="F1716" s="120">
        <v>0</v>
      </c>
      <c r="G1716" s="121">
        <v>0</v>
      </c>
      <c r="H1716" s="123">
        <v>1.9619999999999999E-2</v>
      </c>
      <c r="I1716" s="122">
        <v>0</v>
      </c>
      <c r="J1716" s="124">
        <f t="shared" si="26"/>
        <v>19.619999999999997</v>
      </c>
    </row>
    <row r="1717" spans="1:11" ht="15" customHeight="1" x14ac:dyDescent="0.2">
      <c r="A1717" s="120" t="s">
        <v>6168</v>
      </c>
      <c r="B1717" s="120" t="s">
        <v>2254</v>
      </c>
      <c r="C1717" s="98" t="s">
        <v>3533</v>
      </c>
      <c r="D1717" s="120" t="s">
        <v>3563</v>
      </c>
      <c r="E1717" s="98">
        <v>0.48</v>
      </c>
      <c r="F1717" s="120">
        <v>0</v>
      </c>
      <c r="G1717" s="121">
        <v>44130</v>
      </c>
      <c r="H1717" s="123">
        <v>0.48</v>
      </c>
      <c r="I1717" s="122">
        <v>21182.399999999998</v>
      </c>
      <c r="J1717" s="124">
        <f t="shared" si="26"/>
        <v>480</v>
      </c>
      <c r="K1717" s="98" t="s">
        <v>2379</v>
      </c>
    </row>
    <row r="1718" spans="1:11" ht="15" customHeight="1" x14ac:dyDescent="0.2">
      <c r="A1718" s="120" t="s">
        <v>6169</v>
      </c>
      <c r="B1718" s="120" t="s">
        <v>2100</v>
      </c>
      <c r="C1718" s="98" t="s">
        <v>3533</v>
      </c>
      <c r="D1718" s="120" t="s">
        <v>3563</v>
      </c>
      <c r="E1718" s="98">
        <v>7.4510000000000002E-3</v>
      </c>
      <c r="F1718" s="120">
        <v>0</v>
      </c>
      <c r="G1718" s="121">
        <v>0</v>
      </c>
      <c r="H1718" s="123">
        <v>7.4510000000000002E-3</v>
      </c>
      <c r="I1718" s="122">
        <v>0</v>
      </c>
      <c r="J1718" s="124">
        <f t="shared" si="26"/>
        <v>7.4510000000000005</v>
      </c>
      <c r="K1718" s="98" t="s">
        <v>6170</v>
      </c>
    </row>
    <row r="1719" spans="1:11" ht="15" customHeight="1" x14ac:dyDescent="0.2">
      <c r="A1719" s="120" t="s">
        <v>6171</v>
      </c>
      <c r="B1719" s="120" t="s">
        <v>6172</v>
      </c>
      <c r="C1719" s="98" t="s">
        <v>3533</v>
      </c>
      <c r="D1719" s="120" t="s">
        <v>3563</v>
      </c>
      <c r="E1719" s="98">
        <v>7</v>
      </c>
      <c r="F1719" s="120">
        <v>0</v>
      </c>
      <c r="G1719" s="121">
        <v>1692</v>
      </c>
      <c r="H1719" s="123">
        <v>7</v>
      </c>
      <c r="I1719" s="122">
        <v>11844</v>
      </c>
      <c r="J1719" s="124">
        <f t="shared" si="26"/>
        <v>7000</v>
      </c>
    </row>
    <row r="1720" spans="1:11" ht="15" customHeight="1" x14ac:dyDescent="0.2">
      <c r="A1720" s="120" t="s">
        <v>6173</v>
      </c>
      <c r="B1720" s="120" t="s">
        <v>4720</v>
      </c>
      <c r="C1720" s="98" t="s">
        <v>3533</v>
      </c>
      <c r="D1720" s="120" t="s">
        <v>3563</v>
      </c>
      <c r="E1720" s="98">
        <v>4.0340000000000001E-2</v>
      </c>
      <c r="F1720" s="120">
        <v>0</v>
      </c>
      <c r="G1720" s="121">
        <v>0</v>
      </c>
      <c r="H1720" s="123">
        <v>4.0340000000000001E-2</v>
      </c>
      <c r="I1720" s="122">
        <v>0</v>
      </c>
      <c r="J1720" s="124">
        <f t="shared" si="26"/>
        <v>40.340000000000003</v>
      </c>
    </row>
    <row r="1721" spans="1:11" ht="15" customHeight="1" x14ac:dyDescent="0.2">
      <c r="A1721" s="120" t="s">
        <v>6174</v>
      </c>
      <c r="B1721" s="120" t="s">
        <v>4720</v>
      </c>
      <c r="C1721" s="98" t="s">
        <v>3540</v>
      </c>
      <c r="D1721" s="120" t="s">
        <v>3563</v>
      </c>
      <c r="E1721" s="98">
        <v>3.1460000000000002E-2</v>
      </c>
      <c r="F1721" s="120">
        <v>0</v>
      </c>
      <c r="G1721" s="121">
        <v>0</v>
      </c>
      <c r="H1721" s="123">
        <v>3.1460000000000002E-2</v>
      </c>
      <c r="I1721" s="122">
        <v>0</v>
      </c>
      <c r="J1721" s="124">
        <f t="shared" si="26"/>
        <v>31.46</v>
      </c>
    </row>
    <row r="1722" spans="1:11" ht="15" customHeight="1" x14ac:dyDescent="0.2">
      <c r="A1722" s="120" t="s">
        <v>6175</v>
      </c>
      <c r="B1722" s="120" t="s">
        <v>5906</v>
      </c>
      <c r="C1722" s="98" t="s">
        <v>3533</v>
      </c>
      <c r="D1722" s="120" t="s">
        <v>3563</v>
      </c>
      <c r="E1722" s="98">
        <v>0.16</v>
      </c>
      <c r="F1722" s="120">
        <v>0</v>
      </c>
      <c r="G1722" s="121">
        <v>10915</v>
      </c>
      <c r="H1722" s="123">
        <v>0.16</v>
      </c>
      <c r="I1722" s="122">
        <v>1746.4</v>
      </c>
      <c r="J1722" s="124">
        <f t="shared" si="26"/>
        <v>160</v>
      </c>
      <c r="K1722" s="98" t="s">
        <v>6176</v>
      </c>
    </row>
    <row r="1723" spans="1:11" ht="15" customHeight="1" x14ac:dyDescent="0.2">
      <c r="A1723" s="120" t="s">
        <v>6177</v>
      </c>
      <c r="B1723" s="120" t="s">
        <v>4873</v>
      </c>
      <c r="C1723" s="98" t="s">
        <v>3540</v>
      </c>
      <c r="D1723" s="120" t="s">
        <v>3563</v>
      </c>
      <c r="E1723" s="98">
        <v>4.9000000000000002E-2</v>
      </c>
      <c r="F1723" s="120">
        <v>0</v>
      </c>
      <c r="G1723" s="121">
        <v>0</v>
      </c>
      <c r="H1723" s="123">
        <v>4.9000000000000002E-2</v>
      </c>
      <c r="I1723" s="122">
        <v>0</v>
      </c>
      <c r="J1723" s="124">
        <f t="shared" si="26"/>
        <v>49</v>
      </c>
    </row>
    <row r="1724" spans="1:11" ht="15" customHeight="1" x14ac:dyDescent="0.2">
      <c r="A1724" s="120" t="s">
        <v>6178</v>
      </c>
      <c r="B1724" s="120" t="s">
        <v>5906</v>
      </c>
      <c r="C1724" s="98" t="s">
        <v>3533</v>
      </c>
      <c r="D1724" s="120" t="s">
        <v>3563</v>
      </c>
      <c r="E1724" s="98">
        <v>0.5</v>
      </c>
      <c r="F1724" s="120">
        <v>0</v>
      </c>
      <c r="G1724" s="121">
        <v>2510</v>
      </c>
      <c r="H1724" s="123">
        <v>0.5</v>
      </c>
      <c r="I1724" s="122">
        <v>1255</v>
      </c>
      <c r="J1724" s="124">
        <f t="shared" si="26"/>
        <v>500</v>
      </c>
      <c r="K1724" s="98" t="s">
        <v>6179</v>
      </c>
    </row>
    <row r="1725" spans="1:11" ht="15" customHeight="1" x14ac:dyDescent="0.2">
      <c r="A1725" s="120" t="s">
        <v>6180</v>
      </c>
      <c r="B1725" s="120" t="s">
        <v>5072</v>
      </c>
      <c r="C1725" s="98" t="s">
        <v>3533</v>
      </c>
      <c r="D1725" s="120" t="s">
        <v>3563</v>
      </c>
      <c r="E1725" s="98">
        <v>5.5E-2</v>
      </c>
      <c r="F1725" s="120">
        <v>0</v>
      </c>
      <c r="G1725" s="121">
        <v>200</v>
      </c>
      <c r="H1725" s="123">
        <v>5.5E-2</v>
      </c>
      <c r="I1725" s="122">
        <v>11</v>
      </c>
      <c r="J1725" s="124">
        <f t="shared" si="26"/>
        <v>55</v>
      </c>
      <c r="K1725" s="98" t="s">
        <v>2387</v>
      </c>
    </row>
    <row r="1726" spans="1:11" ht="15" customHeight="1" x14ac:dyDescent="0.2">
      <c r="A1726" s="120" t="s">
        <v>6181</v>
      </c>
      <c r="B1726" s="120" t="s">
        <v>5072</v>
      </c>
      <c r="C1726" s="98" t="s">
        <v>3533</v>
      </c>
      <c r="D1726" s="120" t="s">
        <v>3563</v>
      </c>
      <c r="E1726" s="98">
        <v>1.4500000000000001E-2</v>
      </c>
      <c r="F1726" s="120">
        <v>0</v>
      </c>
      <c r="G1726" s="121">
        <v>0</v>
      </c>
      <c r="H1726" s="123">
        <v>1.4500000000000001E-2</v>
      </c>
      <c r="I1726" s="122">
        <v>0</v>
      </c>
      <c r="J1726" s="124">
        <f t="shared" si="26"/>
        <v>14.5</v>
      </c>
      <c r="K1726" s="98" t="s">
        <v>6182</v>
      </c>
    </row>
    <row r="1727" spans="1:11" ht="15" customHeight="1" x14ac:dyDescent="0.2">
      <c r="A1727" s="120" t="s">
        <v>6183</v>
      </c>
      <c r="B1727" s="120" t="s">
        <v>6184</v>
      </c>
      <c r="C1727" s="98" t="s">
        <v>3533</v>
      </c>
      <c r="D1727" s="120" t="s">
        <v>3563</v>
      </c>
      <c r="E1727" s="98">
        <v>0.39</v>
      </c>
      <c r="F1727" s="120">
        <v>0</v>
      </c>
      <c r="G1727" s="121">
        <v>0</v>
      </c>
      <c r="H1727" s="123">
        <v>0.39</v>
      </c>
      <c r="I1727" s="122">
        <v>0</v>
      </c>
      <c r="J1727" s="124">
        <f t="shared" si="26"/>
        <v>390</v>
      </c>
      <c r="K1727" s="98" t="s">
        <v>6185</v>
      </c>
    </row>
    <row r="1728" spans="1:11" ht="15" customHeight="1" x14ac:dyDescent="0.2">
      <c r="A1728" s="120" t="s">
        <v>6186</v>
      </c>
      <c r="B1728" s="120" t="s">
        <v>5438</v>
      </c>
      <c r="C1728" s="98" t="s">
        <v>3533</v>
      </c>
      <c r="D1728" s="120" t="s">
        <v>3563</v>
      </c>
      <c r="E1728" s="98">
        <v>1.5</v>
      </c>
      <c r="F1728" s="120">
        <v>0</v>
      </c>
      <c r="G1728" s="121">
        <v>0</v>
      </c>
      <c r="H1728" s="123">
        <v>1.5</v>
      </c>
      <c r="I1728" s="122">
        <v>0</v>
      </c>
      <c r="J1728" s="124">
        <f t="shared" si="26"/>
        <v>1500</v>
      </c>
    </row>
    <row r="1729" spans="1:11" ht="15" customHeight="1" x14ac:dyDescent="0.2">
      <c r="A1729" s="120" t="s">
        <v>6187</v>
      </c>
      <c r="B1729" s="120" t="s">
        <v>6188</v>
      </c>
      <c r="C1729" s="98" t="s">
        <v>3540</v>
      </c>
      <c r="D1729" s="120" t="s">
        <v>3563</v>
      </c>
      <c r="E1729" s="98">
        <v>3.6749999999999998E-2</v>
      </c>
      <c r="F1729" s="120">
        <v>0</v>
      </c>
      <c r="G1729" s="121">
        <v>0</v>
      </c>
      <c r="H1729" s="123">
        <v>3.6749999999999998E-2</v>
      </c>
      <c r="I1729" s="122">
        <v>0</v>
      </c>
      <c r="J1729" s="124">
        <f t="shared" si="26"/>
        <v>36.75</v>
      </c>
    </row>
    <row r="1730" spans="1:11" ht="15" customHeight="1" x14ac:dyDescent="0.2">
      <c r="A1730" s="120" t="s">
        <v>6189</v>
      </c>
      <c r="B1730" s="120" t="s">
        <v>5906</v>
      </c>
      <c r="C1730" s="98" t="s">
        <v>3533</v>
      </c>
      <c r="D1730" s="120" t="s">
        <v>3563</v>
      </c>
      <c r="E1730" s="98">
        <v>3.7999999999999999E-2</v>
      </c>
      <c r="F1730" s="120">
        <v>0</v>
      </c>
      <c r="G1730" s="121">
        <v>316160</v>
      </c>
      <c r="H1730" s="123">
        <v>3.7999999999999999E-2</v>
      </c>
      <c r="I1730" s="122">
        <v>12014.08</v>
      </c>
      <c r="J1730" s="124">
        <f t="shared" ref="J1730:J1793" si="27">IF(D1730="gm", E1730*1000,+E1730)</f>
        <v>38</v>
      </c>
      <c r="K1730" s="98" t="s">
        <v>5189</v>
      </c>
    </row>
    <row r="1731" spans="1:11" ht="15" customHeight="1" x14ac:dyDescent="0.2">
      <c r="A1731" s="120" t="s">
        <v>6190</v>
      </c>
      <c r="B1731" s="120" t="s">
        <v>6191</v>
      </c>
      <c r="C1731" s="98" t="s">
        <v>3540</v>
      </c>
      <c r="D1731" s="120" t="s">
        <v>3563</v>
      </c>
      <c r="E1731" s="98">
        <v>0</v>
      </c>
      <c r="F1731" s="120">
        <v>0</v>
      </c>
      <c r="G1731" s="121">
        <v>0</v>
      </c>
      <c r="H1731" s="123">
        <v>0</v>
      </c>
      <c r="I1731" s="122">
        <v>0</v>
      </c>
      <c r="J1731" s="124">
        <f t="shared" si="27"/>
        <v>0</v>
      </c>
    </row>
    <row r="1732" spans="1:11" ht="15" customHeight="1" x14ac:dyDescent="0.2">
      <c r="A1732" s="120" t="s">
        <v>6192</v>
      </c>
      <c r="B1732" s="120" t="s">
        <v>2100</v>
      </c>
      <c r="C1732" s="98" t="s">
        <v>3533</v>
      </c>
      <c r="D1732" s="120" t="s">
        <v>3563</v>
      </c>
      <c r="E1732" s="98">
        <v>6.4999999999999997E-3</v>
      </c>
      <c r="F1732" s="120">
        <v>0</v>
      </c>
      <c r="G1732" s="121">
        <v>0</v>
      </c>
      <c r="H1732" s="123">
        <v>6.4999999999999997E-3</v>
      </c>
      <c r="I1732" s="122">
        <v>0</v>
      </c>
      <c r="J1732" s="124">
        <f t="shared" si="27"/>
        <v>6.5</v>
      </c>
    </row>
    <row r="1733" spans="1:11" ht="15" customHeight="1" x14ac:dyDescent="0.2">
      <c r="A1733" s="120" t="s">
        <v>6193</v>
      </c>
      <c r="B1733" s="120" t="s">
        <v>4720</v>
      </c>
      <c r="C1733" s="98" t="s">
        <v>3533</v>
      </c>
      <c r="D1733" s="120" t="s">
        <v>3563</v>
      </c>
      <c r="E1733" s="98">
        <v>4.956E-2</v>
      </c>
      <c r="F1733" s="120">
        <v>0</v>
      </c>
      <c r="G1733" s="121">
        <v>0</v>
      </c>
      <c r="H1733" s="123">
        <v>4.956E-2</v>
      </c>
      <c r="I1733" s="122">
        <v>0</v>
      </c>
      <c r="J1733" s="124">
        <f t="shared" si="27"/>
        <v>49.56</v>
      </c>
    </row>
    <row r="1734" spans="1:11" ht="15" customHeight="1" x14ac:dyDescent="0.2">
      <c r="A1734" s="120" t="s">
        <v>6194</v>
      </c>
      <c r="B1734" s="120" t="s">
        <v>4720</v>
      </c>
      <c r="C1734" s="98" t="s">
        <v>3533</v>
      </c>
      <c r="D1734" s="120" t="s">
        <v>3563</v>
      </c>
      <c r="E1734" s="98">
        <v>3.44E-2</v>
      </c>
      <c r="F1734" s="120">
        <v>0</v>
      </c>
      <c r="G1734" s="121">
        <v>0</v>
      </c>
      <c r="H1734" s="123">
        <v>3.44E-2</v>
      </c>
      <c r="I1734" s="122">
        <v>0</v>
      </c>
      <c r="J1734" s="124">
        <f t="shared" si="27"/>
        <v>34.4</v>
      </c>
      <c r="K1734" s="98" t="s">
        <v>6195</v>
      </c>
    </row>
    <row r="1735" spans="1:11" ht="15" customHeight="1" x14ac:dyDescent="0.2">
      <c r="A1735" s="120" t="s">
        <v>6196</v>
      </c>
      <c r="B1735" s="120" t="s">
        <v>6060</v>
      </c>
      <c r="C1735" s="98" t="s">
        <v>3533</v>
      </c>
      <c r="D1735" s="120" t="s">
        <v>3563</v>
      </c>
      <c r="E1735" s="98">
        <v>1.634E-2</v>
      </c>
      <c r="F1735" s="120">
        <v>0</v>
      </c>
      <c r="G1735" s="121">
        <v>0</v>
      </c>
      <c r="H1735" s="123">
        <v>1.634E-2</v>
      </c>
      <c r="I1735" s="122">
        <v>0</v>
      </c>
      <c r="J1735" s="124">
        <f t="shared" si="27"/>
        <v>16.34</v>
      </c>
    </row>
    <row r="1736" spans="1:11" ht="15" customHeight="1" x14ac:dyDescent="0.2">
      <c r="A1736" s="120" t="s">
        <v>6197</v>
      </c>
      <c r="B1736" s="120" t="s">
        <v>2254</v>
      </c>
      <c r="C1736" s="98" t="s">
        <v>3533</v>
      </c>
      <c r="D1736" s="120" t="s">
        <v>3563</v>
      </c>
      <c r="E1736" s="98">
        <v>2.5999999999999999E-2</v>
      </c>
      <c r="F1736" s="120">
        <v>0</v>
      </c>
      <c r="G1736" s="121">
        <v>2750</v>
      </c>
      <c r="H1736" s="123">
        <v>2.5999999999999999E-2</v>
      </c>
      <c r="I1736" s="122">
        <v>71.5</v>
      </c>
      <c r="J1736" s="124">
        <f t="shared" si="27"/>
        <v>26</v>
      </c>
    </row>
    <row r="1737" spans="1:11" ht="15" customHeight="1" x14ac:dyDescent="0.2">
      <c r="A1737" s="120" t="s">
        <v>6198</v>
      </c>
      <c r="B1737" s="120" t="s">
        <v>6199</v>
      </c>
      <c r="C1737" s="98" t="s">
        <v>3540</v>
      </c>
      <c r="D1737" s="120" t="s">
        <v>3563</v>
      </c>
      <c r="E1737" s="98">
        <v>6.9989999999999997E-2</v>
      </c>
      <c r="F1737" s="120">
        <v>0</v>
      </c>
      <c r="G1737" s="121">
        <v>0</v>
      </c>
      <c r="H1737" s="123">
        <v>6.9989999999999997E-2</v>
      </c>
      <c r="I1737" s="122">
        <v>0</v>
      </c>
      <c r="J1737" s="124">
        <f t="shared" si="27"/>
        <v>69.989999999999995</v>
      </c>
    </row>
    <row r="1738" spans="1:11" ht="15" customHeight="1" x14ac:dyDescent="0.2">
      <c r="A1738" s="120" t="s">
        <v>6200</v>
      </c>
      <c r="B1738" s="120" t="s">
        <v>6199</v>
      </c>
      <c r="C1738" s="98" t="s">
        <v>3540</v>
      </c>
      <c r="D1738" s="120" t="s">
        <v>3563</v>
      </c>
      <c r="E1738" s="98">
        <v>4.299E-2</v>
      </c>
      <c r="F1738" s="120">
        <v>0</v>
      </c>
      <c r="G1738" s="121">
        <v>0</v>
      </c>
      <c r="H1738" s="123">
        <v>4.299E-2</v>
      </c>
      <c r="I1738" s="122">
        <v>0</v>
      </c>
      <c r="J1738" s="124">
        <f t="shared" si="27"/>
        <v>42.99</v>
      </c>
    </row>
    <row r="1739" spans="1:11" ht="15" customHeight="1" x14ac:dyDescent="0.2">
      <c r="A1739" s="120" t="s">
        <v>6201</v>
      </c>
      <c r="B1739" s="120" t="s">
        <v>6199</v>
      </c>
      <c r="C1739" s="98" t="s">
        <v>3533</v>
      </c>
      <c r="D1739" s="120" t="s">
        <v>3563</v>
      </c>
      <c r="E1739" s="98">
        <v>4.6489999999999997E-2</v>
      </c>
      <c r="F1739" s="120">
        <v>0</v>
      </c>
      <c r="G1739" s="121">
        <v>0</v>
      </c>
      <c r="H1739" s="123">
        <v>4.6489999999999997E-2</v>
      </c>
      <c r="I1739" s="122">
        <v>0</v>
      </c>
      <c r="J1739" s="124">
        <f t="shared" si="27"/>
        <v>46.489999999999995</v>
      </c>
      <c r="K1739" s="98" t="s">
        <v>2428</v>
      </c>
    </row>
    <row r="1740" spans="1:11" ht="15" customHeight="1" x14ac:dyDescent="0.2">
      <c r="A1740" s="120" t="s">
        <v>6202</v>
      </c>
      <c r="B1740" s="120" t="s">
        <v>4723</v>
      </c>
      <c r="C1740" s="98" t="s">
        <v>3533</v>
      </c>
      <c r="D1740" s="120" t="s">
        <v>3563</v>
      </c>
      <c r="E1740" s="98">
        <v>0.112</v>
      </c>
      <c r="F1740" s="120">
        <v>0</v>
      </c>
      <c r="G1740" s="121">
        <v>0</v>
      </c>
      <c r="H1740" s="123">
        <v>0.112</v>
      </c>
      <c r="I1740" s="122">
        <v>0</v>
      </c>
      <c r="J1740" s="124">
        <f t="shared" si="27"/>
        <v>112</v>
      </c>
    </row>
    <row r="1741" spans="1:11" ht="15" customHeight="1" x14ac:dyDescent="0.2">
      <c r="A1741" s="120" t="s">
        <v>6203</v>
      </c>
      <c r="B1741" s="120" t="s">
        <v>4720</v>
      </c>
      <c r="C1741" s="98" t="s">
        <v>3533</v>
      </c>
      <c r="D1741" s="120" t="s">
        <v>3563</v>
      </c>
      <c r="E1741" s="98">
        <v>0</v>
      </c>
      <c r="F1741" s="120">
        <v>0</v>
      </c>
      <c r="G1741" s="121">
        <v>0</v>
      </c>
      <c r="H1741" s="123">
        <v>0</v>
      </c>
      <c r="I1741" s="122">
        <v>0</v>
      </c>
      <c r="J1741" s="124">
        <f t="shared" si="27"/>
        <v>0</v>
      </c>
    </row>
    <row r="1742" spans="1:11" ht="15" customHeight="1" x14ac:dyDescent="0.2">
      <c r="A1742" s="120" t="s">
        <v>6204</v>
      </c>
      <c r="B1742" s="120" t="s">
        <v>3532</v>
      </c>
      <c r="C1742" s="98" t="s">
        <v>3533</v>
      </c>
      <c r="D1742" s="120" t="s">
        <v>3563</v>
      </c>
      <c r="E1742" s="98">
        <v>1.9E-2</v>
      </c>
      <c r="F1742" s="120">
        <v>0</v>
      </c>
      <c r="G1742" s="121">
        <v>0</v>
      </c>
      <c r="H1742" s="123">
        <v>1.9E-2</v>
      </c>
      <c r="I1742" s="122">
        <v>0</v>
      </c>
      <c r="J1742" s="124">
        <f t="shared" si="27"/>
        <v>19</v>
      </c>
    </row>
    <row r="1743" spans="1:11" ht="15" customHeight="1" x14ac:dyDescent="0.2">
      <c r="A1743" s="120" t="s">
        <v>6205</v>
      </c>
      <c r="B1743" s="120" t="s">
        <v>5072</v>
      </c>
      <c r="C1743" s="98" t="s">
        <v>3533</v>
      </c>
      <c r="D1743" s="120" t="s">
        <v>3563</v>
      </c>
      <c r="E1743" s="98">
        <v>2.8000000000000001E-2</v>
      </c>
      <c r="F1743" s="120">
        <v>0</v>
      </c>
      <c r="G1743" s="121">
        <v>19725</v>
      </c>
      <c r="H1743" s="123">
        <v>2.8000000000000001E-2</v>
      </c>
      <c r="I1743" s="122">
        <v>552.30000000000007</v>
      </c>
      <c r="J1743" s="124">
        <f t="shared" si="27"/>
        <v>28</v>
      </c>
    </row>
    <row r="1744" spans="1:11" ht="15" customHeight="1" x14ac:dyDescent="0.2">
      <c r="A1744" s="120" t="s">
        <v>6206</v>
      </c>
      <c r="B1744" s="120" t="s">
        <v>3532</v>
      </c>
      <c r="C1744" s="98" t="s">
        <v>3533</v>
      </c>
      <c r="D1744" s="120" t="s">
        <v>3563</v>
      </c>
      <c r="E1744" s="98">
        <v>0.02</v>
      </c>
      <c r="F1744" s="120">
        <v>0</v>
      </c>
      <c r="G1744" s="121">
        <v>0</v>
      </c>
      <c r="H1744" s="123">
        <v>0.02</v>
      </c>
      <c r="I1744" s="122">
        <v>0</v>
      </c>
      <c r="J1744" s="124">
        <f t="shared" si="27"/>
        <v>20</v>
      </c>
    </row>
    <row r="1745" spans="1:11" ht="15" customHeight="1" x14ac:dyDescent="0.2">
      <c r="A1745" s="120" t="s">
        <v>6207</v>
      </c>
      <c r="B1745" s="120" t="s">
        <v>5414</v>
      </c>
      <c r="C1745" s="98" t="s">
        <v>3533</v>
      </c>
      <c r="D1745" s="120" t="s">
        <v>3563</v>
      </c>
      <c r="E1745" s="98">
        <v>0.03</v>
      </c>
      <c r="F1745" s="120">
        <v>0</v>
      </c>
      <c r="G1745" s="121">
        <v>30980</v>
      </c>
      <c r="H1745" s="123">
        <v>0.03</v>
      </c>
      <c r="I1745" s="122">
        <v>929.4</v>
      </c>
      <c r="J1745" s="124">
        <f t="shared" si="27"/>
        <v>30</v>
      </c>
      <c r="K1745" s="98" t="s">
        <v>6208</v>
      </c>
    </row>
    <row r="1746" spans="1:11" ht="15" customHeight="1" x14ac:dyDescent="0.2">
      <c r="A1746" s="120" t="s">
        <v>6209</v>
      </c>
      <c r="B1746" s="120" t="s">
        <v>4720</v>
      </c>
      <c r="C1746" s="98" t="s">
        <v>3533</v>
      </c>
      <c r="D1746" s="120" t="s">
        <v>3563</v>
      </c>
      <c r="E1746" s="98">
        <v>3.1525999999999998E-2</v>
      </c>
      <c r="F1746" s="120">
        <v>0</v>
      </c>
      <c r="G1746" s="121">
        <v>15210</v>
      </c>
      <c r="H1746" s="123">
        <v>3.1525999999999998E-2</v>
      </c>
      <c r="I1746" s="122">
        <v>479.51045999999997</v>
      </c>
      <c r="J1746" s="124">
        <f t="shared" si="27"/>
        <v>31.526</v>
      </c>
    </row>
    <row r="1747" spans="1:11" ht="15" customHeight="1" x14ac:dyDescent="0.2">
      <c r="A1747" s="120" t="s">
        <v>6210</v>
      </c>
      <c r="B1747" s="120" t="s">
        <v>6211</v>
      </c>
      <c r="C1747" s="98" t="s">
        <v>3533</v>
      </c>
      <c r="D1747" s="120" t="s">
        <v>3563</v>
      </c>
      <c r="E1747" s="98">
        <v>0.17799999999999999</v>
      </c>
      <c r="F1747" s="120">
        <v>0</v>
      </c>
      <c r="G1747" s="121">
        <v>49997</v>
      </c>
      <c r="H1747" s="123">
        <v>0.17799999999999999</v>
      </c>
      <c r="I1747" s="122">
        <v>8899.4660000000003</v>
      </c>
      <c r="J1747" s="124">
        <f t="shared" si="27"/>
        <v>178</v>
      </c>
      <c r="K1747" s="98" t="s">
        <v>6212</v>
      </c>
    </row>
    <row r="1748" spans="1:11" ht="15" customHeight="1" x14ac:dyDescent="0.2">
      <c r="A1748" s="120" t="s">
        <v>6213</v>
      </c>
      <c r="B1748" s="120" t="s">
        <v>6214</v>
      </c>
      <c r="C1748" s="98" t="s">
        <v>3533</v>
      </c>
      <c r="D1748" s="120" t="s">
        <v>3563</v>
      </c>
      <c r="E1748" s="98">
        <v>0.09</v>
      </c>
      <c r="F1748" s="120">
        <v>0</v>
      </c>
      <c r="G1748" s="121">
        <v>20000</v>
      </c>
      <c r="H1748" s="123">
        <v>0.09</v>
      </c>
      <c r="I1748" s="122">
        <v>1800</v>
      </c>
      <c r="J1748" s="124">
        <f t="shared" si="27"/>
        <v>90</v>
      </c>
      <c r="K1748" s="98" t="s">
        <v>5189</v>
      </c>
    </row>
    <row r="1749" spans="1:11" ht="15" customHeight="1" x14ac:dyDescent="0.2">
      <c r="A1749" s="120" t="s">
        <v>6215</v>
      </c>
      <c r="B1749" s="120" t="s">
        <v>6216</v>
      </c>
      <c r="C1749" s="98" t="s">
        <v>3540</v>
      </c>
      <c r="D1749" s="120" t="s">
        <v>3563</v>
      </c>
      <c r="E1749" s="98">
        <v>0.9</v>
      </c>
      <c r="F1749" s="120">
        <v>0</v>
      </c>
      <c r="G1749" s="121">
        <v>0</v>
      </c>
      <c r="H1749" s="123">
        <v>0.9</v>
      </c>
      <c r="I1749" s="122">
        <v>0</v>
      </c>
      <c r="J1749" s="124">
        <f t="shared" si="27"/>
        <v>900</v>
      </c>
    </row>
    <row r="1750" spans="1:11" ht="15" customHeight="1" x14ac:dyDescent="0.2">
      <c r="A1750" s="120" t="s">
        <v>6217</v>
      </c>
      <c r="B1750" s="120" t="s">
        <v>2254</v>
      </c>
      <c r="C1750" s="98" t="s">
        <v>3533</v>
      </c>
      <c r="D1750" s="120" t="s">
        <v>3563</v>
      </c>
      <c r="E1750" s="98">
        <v>3.15E-2</v>
      </c>
      <c r="F1750" s="120">
        <v>0</v>
      </c>
      <c r="G1750" s="121">
        <v>10539</v>
      </c>
      <c r="H1750" s="123">
        <v>3.15E-2</v>
      </c>
      <c r="I1750" s="122">
        <v>331.9785</v>
      </c>
      <c r="J1750" s="124">
        <f t="shared" si="27"/>
        <v>31.5</v>
      </c>
    </row>
    <row r="1751" spans="1:11" ht="15" customHeight="1" x14ac:dyDescent="0.2">
      <c r="A1751" s="120" t="s">
        <v>6218</v>
      </c>
      <c r="B1751" s="120" t="s">
        <v>6219</v>
      </c>
      <c r="C1751" s="98" t="s">
        <v>3533</v>
      </c>
      <c r="D1751" s="120" t="s">
        <v>3563</v>
      </c>
      <c r="E1751" s="98">
        <v>5.9060000000000001E-2</v>
      </c>
      <c r="F1751" s="120">
        <v>0</v>
      </c>
      <c r="G1751" s="121">
        <v>346120</v>
      </c>
      <c r="H1751" s="123">
        <v>5.9060000000000001E-2</v>
      </c>
      <c r="I1751" s="122">
        <v>20441.8472</v>
      </c>
      <c r="J1751" s="124">
        <f t="shared" si="27"/>
        <v>59.06</v>
      </c>
      <c r="K1751" s="98" t="s">
        <v>2379</v>
      </c>
    </row>
    <row r="1752" spans="1:11" ht="15" customHeight="1" x14ac:dyDescent="0.2">
      <c r="A1752" s="120" t="s">
        <v>6220</v>
      </c>
      <c r="B1752" s="120" t="s">
        <v>5337</v>
      </c>
      <c r="C1752" s="98" t="s">
        <v>3533</v>
      </c>
      <c r="D1752" s="120" t="s">
        <v>3563</v>
      </c>
      <c r="E1752" s="98">
        <v>0.28000000000000003</v>
      </c>
      <c r="F1752" s="120">
        <v>0</v>
      </c>
      <c r="G1752" s="121">
        <v>0</v>
      </c>
      <c r="H1752" s="123">
        <v>0.28000000000000003</v>
      </c>
      <c r="I1752" s="122">
        <v>0</v>
      </c>
      <c r="J1752" s="124">
        <f t="shared" si="27"/>
        <v>280</v>
      </c>
      <c r="K1752" s="98" t="s">
        <v>6221</v>
      </c>
    </row>
    <row r="1753" spans="1:11" ht="15" customHeight="1" x14ac:dyDescent="0.2">
      <c r="A1753" s="120" t="s">
        <v>6222</v>
      </c>
      <c r="B1753" s="120" t="s">
        <v>6223</v>
      </c>
      <c r="C1753" s="98" t="s">
        <v>3533</v>
      </c>
      <c r="D1753" s="120" t="s">
        <v>3563</v>
      </c>
      <c r="E1753" s="98">
        <v>0</v>
      </c>
      <c r="F1753" s="120">
        <v>0</v>
      </c>
      <c r="G1753" s="121">
        <v>0</v>
      </c>
      <c r="H1753" s="123">
        <v>0</v>
      </c>
      <c r="I1753" s="122">
        <v>0</v>
      </c>
      <c r="J1753" s="124">
        <f t="shared" si="27"/>
        <v>0</v>
      </c>
      <c r="K1753" s="98" t="s">
        <v>6224</v>
      </c>
    </row>
    <row r="1754" spans="1:11" ht="15" customHeight="1" x14ac:dyDescent="0.2">
      <c r="A1754" s="120" t="s">
        <v>6225</v>
      </c>
      <c r="B1754" s="120" t="s">
        <v>6226</v>
      </c>
      <c r="C1754" s="98" t="s">
        <v>3533</v>
      </c>
      <c r="D1754" s="120" t="s">
        <v>3563</v>
      </c>
      <c r="E1754" s="98">
        <v>0.19264000000000001</v>
      </c>
      <c r="F1754" s="120">
        <v>0</v>
      </c>
      <c r="G1754" s="121">
        <v>12110</v>
      </c>
      <c r="H1754" s="123">
        <v>0.19264000000000001</v>
      </c>
      <c r="I1754" s="122">
        <v>2332.8704000000002</v>
      </c>
      <c r="J1754" s="124">
        <f t="shared" si="27"/>
        <v>192.64000000000001</v>
      </c>
      <c r="K1754" s="98" t="s">
        <v>6227</v>
      </c>
    </row>
    <row r="1755" spans="1:11" ht="15" customHeight="1" x14ac:dyDescent="0.2">
      <c r="A1755" s="120" t="s">
        <v>6228</v>
      </c>
      <c r="B1755" s="120" t="s">
        <v>6229</v>
      </c>
      <c r="C1755" s="98" t="s">
        <v>3533</v>
      </c>
      <c r="D1755" s="120" t="s">
        <v>3563</v>
      </c>
      <c r="E1755" s="98">
        <v>2.3764906303236799E-2</v>
      </c>
      <c r="F1755" s="120">
        <v>0</v>
      </c>
      <c r="G1755" s="121">
        <v>26961</v>
      </c>
      <c r="H1755" s="123">
        <v>2.3765000000000001E-2</v>
      </c>
      <c r="I1755" s="122">
        <v>640.72816499999999</v>
      </c>
      <c r="J1755" s="124">
        <f t="shared" si="27"/>
        <v>23.764906303236799</v>
      </c>
      <c r="K1755" s="98" t="s">
        <v>6230</v>
      </c>
    </row>
    <row r="1756" spans="1:11" ht="15" customHeight="1" x14ac:dyDescent="0.2">
      <c r="A1756" s="120" t="s">
        <v>6231</v>
      </c>
      <c r="B1756" s="120" t="s">
        <v>5211</v>
      </c>
      <c r="C1756" s="98" t="s">
        <v>3533</v>
      </c>
      <c r="D1756" s="120" t="s">
        <v>3563</v>
      </c>
      <c r="E1756" s="98">
        <v>3.8949999999999999E-2</v>
      </c>
      <c r="F1756" s="120">
        <v>0</v>
      </c>
      <c r="G1756" s="121">
        <v>50</v>
      </c>
      <c r="H1756" s="123">
        <v>3.8949999999999999E-2</v>
      </c>
      <c r="I1756" s="122">
        <v>1.9475</v>
      </c>
      <c r="J1756" s="124">
        <f t="shared" si="27"/>
        <v>38.949999999999996</v>
      </c>
      <c r="K1756" s="98" t="s">
        <v>6232</v>
      </c>
    </row>
    <row r="1757" spans="1:11" ht="15" customHeight="1" x14ac:dyDescent="0.2">
      <c r="A1757" s="120" t="s">
        <v>6233</v>
      </c>
      <c r="B1757" s="120" t="s">
        <v>5198</v>
      </c>
      <c r="C1757" s="98" t="s">
        <v>3533</v>
      </c>
      <c r="D1757" s="120" t="s">
        <v>3563</v>
      </c>
      <c r="E1757" s="98">
        <v>0.21</v>
      </c>
      <c r="F1757" s="120">
        <v>0</v>
      </c>
      <c r="G1757" s="121">
        <v>27203</v>
      </c>
      <c r="H1757" s="123">
        <v>0.21</v>
      </c>
      <c r="I1757" s="122">
        <v>5712.63</v>
      </c>
      <c r="J1757" s="124">
        <f t="shared" si="27"/>
        <v>210</v>
      </c>
      <c r="K1757" s="98" t="s">
        <v>6234</v>
      </c>
    </row>
    <row r="1758" spans="1:11" ht="15" customHeight="1" x14ac:dyDescent="0.2">
      <c r="A1758" s="120" t="s">
        <v>6235</v>
      </c>
      <c r="B1758" s="120" t="s">
        <v>5198</v>
      </c>
      <c r="C1758" s="98" t="s">
        <v>3533</v>
      </c>
      <c r="D1758" s="120" t="s">
        <v>3563</v>
      </c>
      <c r="E1758" s="98">
        <v>2.1999999999999999E-2</v>
      </c>
      <c r="F1758" s="120">
        <v>0</v>
      </c>
      <c r="G1758" s="121">
        <v>29199</v>
      </c>
      <c r="H1758" s="123">
        <v>2.2287999999999999E-2</v>
      </c>
      <c r="I1758" s="122">
        <v>650.78731199999993</v>
      </c>
      <c r="J1758" s="124">
        <f t="shared" si="27"/>
        <v>22</v>
      </c>
      <c r="K1758" s="98" t="s">
        <v>6236</v>
      </c>
    </row>
    <row r="1759" spans="1:11" ht="15" customHeight="1" x14ac:dyDescent="0.2">
      <c r="A1759" s="120" t="s">
        <v>6237</v>
      </c>
      <c r="B1759" s="120" t="s">
        <v>6238</v>
      </c>
      <c r="C1759" s="98" t="s">
        <v>3540</v>
      </c>
      <c r="D1759" s="120" t="s">
        <v>3563</v>
      </c>
      <c r="E1759" s="98">
        <v>6.5000000000000002E-2</v>
      </c>
      <c r="F1759" s="120">
        <v>0</v>
      </c>
      <c r="G1759" s="121">
        <v>169</v>
      </c>
      <c r="H1759" s="123">
        <v>6.5000000000000002E-2</v>
      </c>
      <c r="I1759" s="122">
        <v>10.985000000000001</v>
      </c>
      <c r="J1759" s="124">
        <f t="shared" si="27"/>
        <v>65</v>
      </c>
    </row>
    <row r="1760" spans="1:11" ht="15" customHeight="1" x14ac:dyDescent="0.2">
      <c r="A1760" s="120" t="s">
        <v>6239</v>
      </c>
      <c r="B1760" s="120" t="s">
        <v>6240</v>
      </c>
      <c r="C1760" s="98" t="s">
        <v>3533</v>
      </c>
      <c r="D1760" s="120" t="s">
        <v>3563</v>
      </c>
      <c r="E1760" s="98">
        <v>6.0629999999999998E-3</v>
      </c>
      <c r="F1760" s="120">
        <v>0</v>
      </c>
      <c r="G1760" s="121">
        <v>3539770</v>
      </c>
      <c r="H1760" s="123">
        <v>6.0629999999999998E-3</v>
      </c>
      <c r="I1760" s="122">
        <v>21461.625509999998</v>
      </c>
      <c r="J1760" s="124">
        <f t="shared" si="27"/>
        <v>6.0629999999999997</v>
      </c>
      <c r="K1760" s="98" t="s">
        <v>6241</v>
      </c>
    </row>
    <row r="1761" spans="1:11" ht="15" customHeight="1" x14ac:dyDescent="0.2">
      <c r="A1761" s="120" t="s">
        <v>6242</v>
      </c>
      <c r="B1761" s="120" t="s">
        <v>4720</v>
      </c>
      <c r="C1761" s="98" t="s">
        <v>3533</v>
      </c>
      <c r="D1761" s="120" t="s">
        <v>3563</v>
      </c>
      <c r="E1761" s="98">
        <v>4.4753086419753105E-2</v>
      </c>
      <c r="F1761" s="120">
        <v>0</v>
      </c>
      <c r="G1761" s="121">
        <v>14245</v>
      </c>
      <c r="H1761" s="123">
        <v>4.4753000000000001E-2</v>
      </c>
      <c r="I1761" s="122">
        <v>637.506485</v>
      </c>
      <c r="J1761" s="124">
        <f t="shared" si="27"/>
        <v>44.753086419753103</v>
      </c>
      <c r="K1761" s="98" t="s">
        <v>5298</v>
      </c>
    </row>
    <row r="1762" spans="1:11" ht="15" customHeight="1" x14ac:dyDescent="0.2">
      <c r="A1762" s="120" t="s">
        <v>6243</v>
      </c>
      <c r="B1762" s="120" t="s">
        <v>5202</v>
      </c>
      <c r="C1762" s="98" t="s">
        <v>3540</v>
      </c>
      <c r="D1762" s="120" t="s">
        <v>3563</v>
      </c>
      <c r="E1762" s="98">
        <v>0.105993</v>
      </c>
      <c r="F1762" s="120">
        <v>0</v>
      </c>
      <c r="G1762" s="121">
        <v>25155</v>
      </c>
      <c r="H1762" s="123">
        <v>0.105993</v>
      </c>
      <c r="I1762" s="122">
        <v>2666.2539150000002</v>
      </c>
      <c r="J1762" s="124">
        <f t="shared" si="27"/>
        <v>105.99300000000001</v>
      </c>
    </row>
    <row r="1763" spans="1:11" ht="15" customHeight="1" x14ac:dyDescent="0.2">
      <c r="A1763" s="120" t="s">
        <v>6244</v>
      </c>
      <c r="B1763" s="120" t="s">
        <v>5120</v>
      </c>
      <c r="C1763" s="98" t="s">
        <v>3533</v>
      </c>
      <c r="D1763" s="120" t="s">
        <v>3563</v>
      </c>
      <c r="E1763" s="98">
        <v>0</v>
      </c>
      <c r="F1763" s="120">
        <v>0</v>
      </c>
      <c r="G1763" s="121">
        <v>354</v>
      </c>
      <c r="H1763" s="123">
        <v>0</v>
      </c>
      <c r="I1763" s="122">
        <v>0</v>
      </c>
      <c r="J1763" s="124">
        <f t="shared" si="27"/>
        <v>0</v>
      </c>
      <c r="K1763" s="98" t="s">
        <v>6078</v>
      </c>
    </row>
    <row r="1764" spans="1:11" ht="15" customHeight="1" x14ac:dyDescent="0.2">
      <c r="A1764" s="120" t="s">
        <v>6245</v>
      </c>
      <c r="B1764" s="120" t="s">
        <v>6246</v>
      </c>
      <c r="C1764" s="98" t="s">
        <v>3533</v>
      </c>
      <c r="D1764" s="120" t="s">
        <v>3563</v>
      </c>
      <c r="E1764" s="98">
        <v>0.33600000000000002</v>
      </c>
      <c r="F1764" s="120">
        <v>0</v>
      </c>
      <c r="G1764" s="121">
        <v>215494</v>
      </c>
      <c r="H1764" s="123">
        <v>0.33600000000000002</v>
      </c>
      <c r="I1764" s="122">
        <v>72405.984000000011</v>
      </c>
      <c r="J1764" s="124">
        <f t="shared" si="27"/>
        <v>336</v>
      </c>
      <c r="K1764" s="98" t="s">
        <v>6247</v>
      </c>
    </row>
    <row r="1765" spans="1:11" ht="15" customHeight="1" x14ac:dyDescent="0.2">
      <c r="A1765" s="120" t="s">
        <v>6248</v>
      </c>
      <c r="B1765" s="120" t="s">
        <v>4567</v>
      </c>
      <c r="C1765" s="98" t="s">
        <v>3540</v>
      </c>
      <c r="D1765" s="120" t="s">
        <v>3563</v>
      </c>
      <c r="E1765" s="98">
        <v>4.5</v>
      </c>
      <c r="F1765" s="120">
        <v>0</v>
      </c>
      <c r="G1765" s="121">
        <v>0</v>
      </c>
      <c r="H1765" s="123">
        <v>4.5</v>
      </c>
      <c r="I1765" s="122">
        <v>0</v>
      </c>
      <c r="J1765" s="124">
        <f t="shared" si="27"/>
        <v>4500</v>
      </c>
    </row>
    <row r="1766" spans="1:11" ht="15" customHeight="1" x14ac:dyDescent="0.2">
      <c r="A1766" s="120" t="s">
        <v>2272</v>
      </c>
      <c r="B1766" s="120" t="s">
        <v>6249</v>
      </c>
      <c r="C1766" s="98" t="s">
        <v>3533</v>
      </c>
      <c r="D1766" s="120" t="s">
        <v>3563</v>
      </c>
      <c r="E1766" s="98">
        <v>3.4790000000000001E-2</v>
      </c>
      <c r="F1766" s="120">
        <v>0</v>
      </c>
      <c r="G1766" s="121">
        <v>13895</v>
      </c>
      <c r="H1766" s="123">
        <v>2.5000000000000001E-2</v>
      </c>
      <c r="I1766" s="122">
        <v>347.375</v>
      </c>
      <c r="J1766" s="124">
        <f t="shared" si="27"/>
        <v>34.79</v>
      </c>
      <c r="K1766" s="98" t="s">
        <v>5214</v>
      </c>
    </row>
    <row r="1767" spans="1:11" ht="15" customHeight="1" x14ac:dyDescent="0.2">
      <c r="A1767" s="120" t="s">
        <v>6250</v>
      </c>
      <c r="B1767" s="120" t="s">
        <v>4940</v>
      </c>
      <c r="C1767" s="98" t="s">
        <v>3540</v>
      </c>
      <c r="D1767" s="120" t="s">
        <v>3563</v>
      </c>
      <c r="E1767" s="98">
        <v>0.04</v>
      </c>
      <c r="F1767" s="120">
        <v>0</v>
      </c>
      <c r="G1767" s="121">
        <v>0</v>
      </c>
      <c r="H1767" s="123">
        <v>0.04</v>
      </c>
      <c r="I1767" s="122">
        <v>0</v>
      </c>
      <c r="J1767" s="124">
        <f t="shared" si="27"/>
        <v>40</v>
      </c>
    </row>
    <row r="1768" spans="1:11" ht="15" customHeight="1" x14ac:dyDescent="0.2">
      <c r="A1768" s="120" t="s">
        <v>6251</v>
      </c>
      <c r="B1768" s="120" t="s">
        <v>4940</v>
      </c>
      <c r="C1768" s="98" t="s">
        <v>3540</v>
      </c>
      <c r="D1768" s="120" t="s">
        <v>3563</v>
      </c>
      <c r="E1768" s="98">
        <v>0.14000000000000001</v>
      </c>
      <c r="F1768" s="120">
        <v>0</v>
      </c>
      <c r="G1768" s="121">
        <v>0</v>
      </c>
      <c r="H1768" s="123">
        <v>0.14000000000000001</v>
      </c>
      <c r="I1768" s="122">
        <v>0</v>
      </c>
      <c r="J1768" s="124">
        <f t="shared" si="27"/>
        <v>140</v>
      </c>
    </row>
    <row r="1769" spans="1:11" ht="15" customHeight="1" x14ac:dyDescent="0.2">
      <c r="A1769" s="120" t="s">
        <v>6252</v>
      </c>
      <c r="B1769" s="120" t="s">
        <v>4940</v>
      </c>
      <c r="C1769" s="98" t="s">
        <v>3540</v>
      </c>
      <c r="D1769" s="120" t="s">
        <v>3563</v>
      </c>
      <c r="E1769" s="98">
        <v>1.39</v>
      </c>
      <c r="F1769" s="120">
        <v>0</v>
      </c>
      <c r="G1769" s="121">
        <v>0</v>
      </c>
      <c r="H1769" s="123">
        <v>1.39</v>
      </c>
      <c r="I1769" s="122">
        <v>0</v>
      </c>
      <c r="J1769" s="124">
        <f t="shared" si="27"/>
        <v>1390</v>
      </c>
    </row>
    <row r="1770" spans="1:11" ht="15" customHeight="1" x14ac:dyDescent="0.2">
      <c r="A1770" s="120" t="s">
        <v>6253</v>
      </c>
      <c r="B1770" s="120" t="s">
        <v>5529</v>
      </c>
      <c r="C1770" s="98" t="s">
        <v>3533</v>
      </c>
      <c r="D1770" s="120" t="s">
        <v>3563</v>
      </c>
      <c r="E1770" s="98">
        <v>1.1049E-2</v>
      </c>
      <c r="F1770" s="120">
        <v>0</v>
      </c>
      <c r="G1770" s="121">
        <v>737945</v>
      </c>
      <c r="H1770" s="123">
        <v>1.1049E-2</v>
      </c>
      <c r="I1770" s="122">
        <v>8153.5543049999997</v>
      </c>
      <c r="J1770" s="124">
        <f t="shared" si="27"/>
        <v>11.048999999999999</v>
      </c>
    </row>
    <row r="1771" spans="1:11" ht="15" customHeight="1" x14ac:dyDescent="0.2">
      <c r="A1771" s="120" t="s">
        <v>6254</v>
      </c>
      <c r="B1771" s="120" t="s">
        <v>5768</v>
      </c>
      <c r="C1771" s="98" t="s">
        <v>3533</v>
      </c>
      <c r="D1771" s="120" t="s">
        <v>3563</v>
      </c>
      <c r="E1771" s="98">
        <v>1.7999999999999999E-2</v>
      </c>
      <c r="F1771" s="120">
        <v>0</v>
      </c>
      <c r="G1771" s="121">
        <v>9490</v>
      </c>
      <c r="H1771" s="123">
        <v>1.7999999999999999E-2</v>
      </c>
      <c r="I1771" s="122">
        <v>170.82</v>
      </c>
      <c r="J1771" s="124">
        <f t="shared" si="27"/>
        <v>18</v>
      </c>
      <c r="K1771" s="98" t="s">
        <v>5189</v>
      </c>
    </row>
    <row r="1772" spans="1:11" ht="15" customHeight="1" x14ac:dyDescent="0.2">
      <c r="A1772" s="120" t="s">
        <v>6255</v>
      </c>
      <c r="B1772" s="120" t="s">
        <v>6256</v>
      </c>
      <c r="C1772" s="98" t="s">
        <v>3533</v>
      </c>
      <c r="D1772" s="120" t="s">
        <v>3563</v>
      </c>
      <c r="E1772" s="98">
        <v>1.6E-2</v>
      </c>
      <c r="F1772" s="120">
        <v>0</v>
      </c>
      <c r="G1772" s="121">
        <v>0</v>
      </c>
      <c r="H1772" s="123">
        <v>1.6E-2</v>
      </c>
      <c r="I1772" s="122">
        <v>0</v>
      </c>
      <c r="J1772" s="124">
        <f t="shared" si="27"/>
        <v>16</v>
      </c>
    </row>
    <row r="1773" spans="1:11" ht="15" customHeight="1" x14ac:dyDescent="0.2">
      <c r="A1773" s="120" t="s">
        <v>6257</v>
      </c>
      <c r="B1773" s="120" t="s">
        <v>5113</v>
      </c>
      <c r="C1773" s="98" t="s">
        <v>3533</v>
      </c>
      <c r="D1773" s="120" t="s">
        <v>3563</v>
      </c>
      <c r="E1773" s="98">
        <v>2.4E-2</v>
      </c>
      <c r="F1773" s="120">
        <v>0</v>
      </c>
      <c r="G1773" s="121">
        <v>152450</v>
      </c>
      <c r="H1773" s="123">
        <v>2.4160000000000001E-2</v>
      </c>
      <c r="I1773" s="122">
        <v>3683.192</v>
      </c>
      <c r="J1773" s="124">
        <f t="shared" si="27"/>
        <v>24</v>
      </c>
      <c r="K1773" s="98" t="s">
        <v>2387</v>
      </c>
    </row>
    <row r="1774" spans="1:11" ht="15" customHeight="1" x14ac:dyDescent="0.2">
      <c r="A1774" s="120" t="s">
        <v>6258</v>
      </c>
      <c r="B1774" s="120" t="s">
        <v>2184</v>
      </c>
      <c r="C1774" s="98" t="s">
        <v>3533</v>
      </c>
      <c r="D1774" s="120" t="s">
        <v>3563</v>
      </c>
      <c r="E1774" s="98">
        <v>1.0500000000000001E-2</v>
      </c>
      <c r="F1774" s="120">
        <v>0</v>
      </c>
      <c r="G1774" s="121">
        <v>1104066</v>
      </c>
      <c r="H1774" s="123">
        <v>1.4113000000000001E-2</v>
      </c>
      <c r="I1774" s="122">
        <v>15581.683458000001</v>
      </c>
      <c r="J1774" s="124">
        <f t="shared" si="27"/>
        <v>10.5</v>
      </c>
      <c r="K1774" s="98" t="s">
        <v>6259</v>
      </c>
    </row>
    <row r="1775" spans="1:11" ht="15" customHeight="1" x14ac:dyDescent="0.2">
      <c r="A1775" s="120" t="s">
        <v>6260</v>
      </c>
      <c r="B1775" s="120" t="s">
        <v>2254</v>
      </c>
      <c r="C1775" s="98" t="s">
        <v>3533</v>
      </c>
      <c r="D1775" s="120" t="s">
        <v>3563</v>
      </c>
      <c r="E1775" s="98">
        <v>0.33</v>
      </c>
      <c r="F1775" s="120">
        <v>0</v>
      </c>
      <c r="G1775" s="121">
        <v>19200</v>
      </c>
      <c r="H1775" s="123">
        <v>0.33</v>
      </c>
      <c r="I1775" s="122">
        <v>6336</v>
      </c>
      <c r="J1775" s="124">
        <f t="shared" si="27"/>
        <v>330</v>
      </c>
      <c r="K1775" s="98" t="s">
        <v>2387</v>
      </c>
    </row>
    <row r="1776" spans="1:11" ht="15" customHeight="1" x14ac:dyDescent="0.2">
      <c r="A1776" s="120" t="s">
        <v>6261</v>
      </c>
      <c r="B1776" s="120" t="s">
        <v>3532</v>
      </c>
      <c r="C1776" s="98" t="s">
        <v>3533</v>
      </c>
      <c r="D1776" s="120" t="s">
        <v>3563</v>
      </c>
      <c r="E1776" s="98">
        <v>0.22145000000000001</v>
      </c>
      <c r="F1776" s="120">
        <v>0</v>
      </c>
      <c r="G1776" s="121">
        <v>0</v>
      </c>
      <c r="H1776" s="123">
        <v>0.22145000000000001</v>
      </c>
      <c r="I1776" s="122">
        <v>0</v>
      </c>
      <c r="J1776" s="124">
        <f t="shared" si="27"/>
        <v>221.45000000000002</v>
      </c>
    </row>
    <row r="1777" spans="1:11" ht="15" customHeight="1" x14ac:dyDescent="0.2">
      <c r="A1777" s="120" t="s">
        <v>6262</v>
      </c>
      <c r="B1777" s="120" t="s">
        <v>5072</v>
      </c>
      <c r="C1777" s="98" t="s">
        <v>3540</v>
      </c>
      <c r="D1777" s="120" t="s">
        <v>3563</v>
      </c>
      <c r="E1777" s="98">
        <v>2.2499999999999999E-2</v>
      </c>
      <c r="F1777" s="120">
        <v>0</v>
      </c>
      <c r="G1777" s="121">
        <v>0</v>
      </c>
      <c r="H1777" s="123">
        <v>2.2499999999999999E-2</v>
      </c>
      <c r="I1777" s="122">
        <v>0</v>
      </c>
      <c r="J1777" s="124">
        <f t="shared" si="27"/>
        <v>22.5</v>
      </c>
    </row>
    <row r="1778" spans="1:11" ht="15" customHeight="1" x14ac:dyDescent="0.2">
      <c r="A1778" s="120" t="s">
        <v>6263</v>
      </c>
      <c r="B1778" s="120" t="s">
        <v>4720</v>
      </c>
      <c r="C1778" s="98" t="s">
        <v>3533</v>
      </c>
      <c r="D1778" s="120" t="s">
        <v>3563</v>
      </c>
      <c r="E1778" s="98">
        <v>4.0564000000000003E-2</v>
      </c>
      <c r="F1778" s="120">
        <v>0</v>
      </c>
      <c r="G1778" s="121">
        <v>0</v>
      </c>
      <c r="H1778" s="123">
        <v>4.0564000000000003E-2</v>
      </c>
      <c r="I1778" s="122">
        <v>0</v>
      </c>
      <c r="J1778" s="124">
        <f t="shared" si="27"/>
        <v>40.564</v>
      </c>
    </row>
    <row r="1779" spans="1:11" ht="15" customHeight="1" x14ac:dyDescent="0.2">
      <c r="A1779" s="120" t="s">
        <v>6264</v>
      </c>
      <c r="B1779" s="120" t="s">
        <v>4720</v>
      </c>
      <c r="C1779" s="98" t="s">
        <v>3533</v>
      </c>
      <c r="D1779" s="120" t="s">
        <v>3563</v>
      </c>
      <c r="E1779" s="98">
        <v>4.6296296296296301E-2</v>
      </c>
      <c r="F1779" s="120">
        <v>0</v>
      </c>
      <c r="G1779" s="121">
        <v>4250</v>
      </c>
      <c r="H1779" s="123">
        <v>4.6295999999999997E-2</v>
      </c>
      <c r="I1779" s="122">
        <v>196.75799999999998</v>
      </c>
      <c r="J1779" s="124">
        <f t="shared" si="27"/>
        <v>46.296296296296298</v>
      </c>
    </row>
    <row r="1780" spans="1:11" ht="15" customHeight="1" x14ac:dyDescent="0.2">
      <c r="A1780" s="120" t="s">
        <v>6265</v>
      </c>
      <c r="B1780" s="120" t="s">
        <v>5182</v>
      </c>
      <c r="C1780" s="98" t="s">
        <v>3533</v>
      </c>
      <c r="D1780" s="120" t="s">
        <v>3563</v>
      </c>
      <c r="E1780" s="98">
        <v>0.20596</v>
      </c>
      <c r="F1780" s="120">
        <v>0</v>
      </c>
      <c r="G1780" s="121">
        <v>4150</v>
      </c>
      <c r="H1780" s="123">
        <v>0.20596</v>
      </c>
      <c r="I1780" s="122">
        <v>854.73400000000004</v>
      </c>
      <c r="J1780" s="124">
        <f t="shared" si="27"/>
        <v>205.96</v>
      </c>
      <c r="K1780" s="98" t="s">
        <v>6266</v>
      </c>
    </row>
    <row r="1781" spans="1:11" ht="15" customHeight="1" x14ac:dyDescent="0.2">
      <c r="A1781" s="120" t="s">
        <v>6267</v>
      </c>
      <c r="B1781" s="120" t="s">
        <v>6268</v>
      </c>
      <c r="C1781" s="98" t="s">
        <v>3532</v>
      </c>
      <c r="D1781" s="120" t="s">
        <v>3563</v>
      </c>
      <c r="E1781" s="98">
        <v>2.9960000000000001E-2</v>
      </c>
      <c r="F1781" s="120">
        <v>0</v>
      </c>
      <c r="G1781" s="121">
        <v>0</v>
      </c>
      <c r="H1781" s="123">
        <v>2.9960000000000001E-2</v>
      </c>
      <c r="I1781" s="122">
        <v>0</v>
      </c>
      <c r="J1781" s="124">
        <f t="shared" si="27"/>
        <v>29.96</v>
      </c>
    </row>
    <row r="1782" spans="1:11" ht="15" customHeight="1" x14ac:dyDescent="0.2">
      <c r="A1782" s="120" t="s">
        <v>6269</v>
      </c>
      <c r="B1782" s="120" t="s">
        <v>6270</v>
      </c>
      <c r="C1782" s="98" t="s">
        <v>3532</v>
      </c>
      <c r="D1782" s="120" t="s">
        <v>3563</v>
      </c>
      <c r="E1782" s="98">
        <v>5.6220000000000003E-3</v>
      </c>
      <c r="F1782" s="120">
        <v>0</v>
      </c>
      <c r="G1782" s="121">
        <v>0</v>
      </c>
      <c r="H1782" s="123">
        <v>5.6220000000000003E-3</v>
      </c>
      <c r="I1782" s="122">
        <v>0</v>
      </c>
      <c r="J1782" s="124">
        <f t="shared" si="27"/>
        <v>5.6219999999999999</v>
      </c>
    </row>
    <row r="1783" spans="1:11" ht="15" customHeight="1" x14ac:dyDescent="0.2">
      <c r="A1783" s="120" t="s">
        <v>6271</v>
      </c>
      <c r="B1783" s="120" t="s">
        <v>3532</v>
      </c>
      <c r="C1783" s="98" t="s">
        <v>3532</v>
      </c>
      <c r="D1783" s="120" t="s">
        <v>3563</v>
      </c>
      <c r="E1783" s="98">
        <v>0</v>
      </c>
      <c r="F1783" s="120">
        <v>0</v>
      </c>
      <c r="G1783" s="121">
        <v>0</v>
      </c>
      <c r="H1783" s="123">
        <v>0</v>
      </c>
      <c r="I1783" s="122">
        <v>0</v>
      </c>
      <c r="J1783" s="124">
        <f t="shared" si="27"/>
        <v>0</v>
      </c>
    </row>
    <row r="1784" spans="1:11" ht="15" customHeight="1" x14ac:dyDescent="0.2">
      <c r="A1784" s="120" t="s">
        <v>6272</v>
      </c>
      <c r="B1784" s="120" t="s">
        <v>6106</v>
      </c>
      <c r="C1784" s="98" t="s">
        <v>3533</v>
      </c>
      <c r="D1784" s="120" t="s">
        <v>3563</v>
      </c>
      <c r="E1784" s="98">
        <v>0</v>
      </c>
      <c r="F1784" s="120">
        <v>0</v>
      </c>
      <c r="G1784" s="121">
        <v>0</v>
      </c>
      <c r="H1784" s="123">
        <v>0</v>
      </c>
      <c r="I1784" s="122">
        <v>0</v>
      </c>
      <c r="J1784" s="124">
        <f t="shared" si="27"/>
        <v>0</v>
      </c>
    </row>
    <row r="1785" spans="1:11" ht="15" customHeight="1" x14ac:dyDescent="0.2">
      <c r="A1785" s="120" t="s">
        <v>6273</v>
      </c>
      <c r="B1785" s="120" t="s">
        <v>5430</v>
      </c>
      <c r="C1785" s="98" t="s">
        <v>3533</v>
      </c>
      <c r="D1785" s="120" t="s">
        <v>3563</v>
      </c>
      <c r="E1785" s="98">
        <v>0.32500000000000001</v>
      </c>
      <c r="F1785" s="120">
        <v>0</v>
      </c>
      <c r="G1785" s="121">
        <v>795</v>
      </c>
      <c r="H1785" s="123">
        <v>0.32500000000000001</v>
      </c>
      <c r="I1785" s="122">
        <v>258.375</v>
      </c>
      <c r="J1785" s="124">
        <f t="shared" si="27"/>
        <v>325</v>
      </c>
      <c r="K1785" s="98" t="s">
        <v>6274</v>
      </c>
    </row>
    <row r="1786" spans="1:11" ht="15" customHeight="1" x14ac:dyDescent="0.2">
      <c r="A1786" s="120" t="s">
        <v>6275</v>
      </c>
      <c r="B1786" s="120" t="s">
        <v>5202</v>
      </c>
      <c r="C1786" s="98" t="s">
        <v>3533</v>
      </c>
      <c r="D1786" s="120" t="s">
        <v>3563</v>
      </c>
      <c r="E1786" s="98">
        <v>0.29499999999999998</v>
      </c>
      <c r="F1786" s="120">
        <v>0</v>
      </c>
      <c r="G1786" s="121">
        <v>13275</v>
      </c>
      <c r="H1786" s="123">
        <v>0.29499999999999998</v>
      </c>
      <c r="I1786" s="122">
        <v>3916.125</v>
      </c>
      <c r="J1786" s="124">
        <f t="shared" si="27"/>
        <v>295</v>
      </c>
      <c r="K1786" s="98" t="s">
        <v>6276</v>
      </c>
    </row>
    <row r="1787" spans="1:11" ht="15" customHeight="1" x14ac:dyDescent="0.2">
      <c r="A1787" s="120" t="s">
        <v>4719</v>
      </c>
      <c r="B1787" s="120" t="s">
        <v>4720</v>
      </c>
      <c r="C1787" s="98" t="s">
        <v>3532</v>
      </c>
      <c r="D1787" s="120" t="s">
        <v>3563</v>
      </c>
      <c r="E1787" s="98">
        <v>4.5199999999999997E-2</v>
      </c>
      <c r="F1787" s="120">
        <v>0</v>
      </c>
      <c r="G1787" s="121">
        <v>0</v>
      </c>
      <c r="H1787" s="123">
        <v>4.5199999999999997E-2</v>
      </c>
      <c r="I1787" s="122">
        <v>0</v>
      </c>
      <c r="J1787" s="124">
        <f t="shared" si="27"/>
        <v>45.199999999999996</v>
      </c>
    </row>
    <row r="1788" spans="1:11" ht="15" customHeight="1" x14ac:dyDescent="0.2">
      <c r="A1788" s="120" t="s">
        <v>6277</v>
      </c>
      <c r="B1788" s="120" t="s">
        <v>5198</v>
      </c>
      <c r="C1788" s="98" t="s">
        <v>3533</v>
      </c>
      <c r="D1788" s="120" t="s">
        <v>3563</v>
      </c>
      <c r="E1788" s="98">
        <v>0.53</v>
      </c>
      <c r="F1788" s="120">
        <v>0</v>
      </c>
      <c r="G1788" s="121">
        <v>25000</v>
      </c>
      <c r="H1788" s="123">
        <v>0.53</v>
      </c>
      <c r="I1788" s="122">
        <v>13250</v>
      </c>
      <c r="J1788" s="124">
        <f t="shared" si="27"/>
        <v>530</v>
      </c>
    </row>
    <row r="1789" spans="1:11" ht="15" customHeight="1" x14ac:dyDescent="0.2">
      <c r="A1789" s="120" t="s">
        <v>6278</v>
      </c>
      <c r="B1789" s="120" t="s">
        <v>4720</v>
      </c>
      <c r="C1789" s="98" t="s">
        <v>3533</v>
      </c>
      <c r="D1789" s="120" t="s">
        <v>3563</v>
      </c>
      <c r="E1789" s="98">
        <v>2.2927689594356301E-2</v>
      </c>
      <c r="F1789" s="120">
        <v>0</v>
      </c>
      <c r="G1789" s="121">
        <v>48050</v>
      </c>
      <c r="H1789" s="123">
        <v>2.2928E-2</v>
      </c>
      <c r="I1789" s="122">
        <v>1101.6904</v>
      </c>
      <c r="J1789" s="124">
        <f t="shared" si="27"/>
        <v>22.927689594356302</v>
      </c>
      <c r="K1789" s="98" t="s">
        <v>6279</v>
      </c>
    </row>
    <row r="1790" spans="1:11" ht="15" customHeight="1" x14ac:dyDescent="0.2">
      <c r="A1790" s="120" t="s">
        <v>6280</v>
      </c>
      <c r="B1790" s="120" t="s">
        <v>6246</v>
      </c>
      <c r="C1790" s="98" t="s">
        <v>3533</v>
      </c>
      <c r="D1790" s="120" t="s">
        <v>3563</v>
      </c>
      <c r="E1790" s="98">
        <v>0.26</v>
      </c>
      <c r="F1790" s="120">
        <v>0</v>
      </c>
      <c r="G1790" s="121">
        <v>0</v>
      </c>
      <c r="H1790" s="123">
        <v>0.26</v>
      </c>
      <c r="I1790" s="122">
        <v>0</v>
      </c>
      <c r="J1790" s="124">
        <f t="shared" si="27"/>
        <v>260</v>
      </c>
    </row>
    <row r="1791" spans="1:11" ht="15" customHeight="1" x14ac:dyDescent="0.2">
      <c r="A1791" s="120" t="s">
        <v>6281</v>
      </c>
      <c r="B1791" s="120" t="s">
        <v>6282</v>
      </c>
      <c r="C1791" s="98" t="s">
        <v>3532</v>
      </c>
      <c r="D1791" s="120" t="s">
        <v>3563</v>
      </c>
      <c r="E1791" s="98">
        <v>0.25</v>
      </c>
      <c r="F1791" s="120">
        <v>0</v>
      </c>
      <c r="G1791" s="121">
        <v>0</v>
      </c>
      <c r="H1791" s="123">
        <v>0.25</v>
      </c>
      <c r="I1791" s="122">
        <v>0</v>
      </c>
      <c r="J1791" s="124">
        <f t="shared" si="27"/>
        <v>250</v>
      </c>
    </row>
    <row r="1792" spans="1:11" ht="15" customHeight="1" x14ac:dyDescent="0.2">
      <c r="A1792" s="120" t="s">
        <v>6283</v>
      </c>
      <c r="B1792" s="120" t="s">
        <v>5906</v>
      </c>
      <c r="C1792" s="98" t="s">
        <v>3533</v>
      </c>
      <c r="D1792" s="120" t="s">
        <v>3563</v>
      </c>
      <c r="E1792" s="98">
        <v>1.7899999999999999E-2</v>
      </c>
      <c r="F1792" s="120">
        <v>0</v>
      </c>
      <c r="G1792" s="121">
        <v>0</v>
      </c>
      <c r="H1792" s="123">
        <v>1.7899999999999999E-2</v>
      </c>
      <c r="I1792" s="122">
        <v>0</v>
      </c>
      <c r="J1792" s="124">
        <f t="shared" si="27"/>
        <v>17.899999999999999</v>
      </c>
      <c r="K1792" s="98" t="s">
        <v>6284</v>
      </c>
    </row>
    <row r="1793" spans="1:11" ht="15" customHeight="1" x14ac:dyDescent="0.2">
      <c r="A1793" s="120" t="s">
        <v>6285</v>
      </c>
      <c r="B1793" s="120" t="s">
        <v>2198</v>
      </c>
      <c r="C1793" s="98" t="s">
        <v>3533</v>
      </c>
      <c r="D1793" s="120" t="s">
        <v>3563</v>
      </c>
      <c r="E1793" s="98">
        <v>1.54411764705882E-2</v>
      </c>
      <c r="F1793" s="120">
        <v>10000</v>
      </c>
      <c r="G1793" s="121">
        <v>167119</v>
      </c>
      <c r="H1793" s="123">
        <v>1.5441E-2</v>
      </c>
      <c r="I1793" s="122">
        <v>2580.4844790000002</v>
      </c>
      <c r="J1793" s="124">
        <f t="shared" si="27"/>
        <v>15.4411764705882</v>
      </c>
      <c r="K1793" s="98" t="s">
        <v>6286</v>
      </c>
    </row>
    <row r="1794" spans="1:11" ht="15" customHeight="1" x14ac:dyDescent="0.2">
      <c r="A1794" s="120" t="s">
        <v>6287</v>
      </c>
      <c r="B1794" s="120" t="s">
        <v>4984</v>
      </c>
      <c r="C1794" s="98" t="s">
        <v>3533</v>
      </c>
      <c r="D1794" s="120" t="s">
        <v>3563</v>
      </c>
      <c r="E1794" s="98">
        <v>1.1499999999999999</v>
      </c>
      <c r="F1794" s="120">
        <v>0</v>
      </c>
      <c r="G1794" s="121">
        <v>875</v>
      </c>
      <c r="H1794" s="123">
        <v>1.1499999999999999</v>
      </c>
      <c r="I1794" s="122">
        <v>1006.2499999999999</v>
      </c>
      <c r="J1794" s="124">
        <f t="shared" ref="J1794:J1857" si="28">IF(D1794="gm", E1794*1000,+E1794)</f>
        <v>1150</v>
      </c>
      <c r="K1794" s="98" t="s">
        <v>6288</v>
      </c>
    </row>
    <row r="1795" spans="1:11" ht="15" customHeight="1" x14ac:dyDescent="0.2">
      <c r="A1795" s="120" t="s">
        <v>6289</v>
      </c>
      <c r="B1795" s="120" t="s">
        <v>4787</v>
      </c>
      <c r="C1795" s="98" t="s">
        <v>3533</v>
      </c>
      <c r="D1795" s="120" t="s">
        <v>3563</v>
      </c>
      <c r="E1795" s="98">
        <v>6.4369999999999997E-2</v>
      </c>
      <c r="F1795" s="120">
        <v>0</v>
      </c>
      <c r="G1795" s="121">
        <v>33525</v>
      </c>
      <c r="H1795" s="123">
        <v>6.4369999999999997E-2</v>
      </c>
      <c r="I1795" s="122">
        <v>2158.00425</v>
      </c>
      <c r="J1795" s="124">
        <f t="shared" si="28"/>
        <v>64.36999999999999</v>
      </c>
    </row>
    <row r="1796" spans="1:11" ht="15" customHeight="1" x14ac:dyDescent="0.2">
      <c r="A1796" s="120" t="s">
        <v>6290</v>
      </c>
      <c r="B1796" s="120" t="s">
        <v>6149</v>
      </c>
      <c r="C1796" s="98" t="s">
        <v>3533</v>
      </c>
      <c r="D1796" s="120" t="s">
        <v>3563</v>
      </c>
      <c r="E1796" s="98">
        <v>2.51322751322751E-2</v>
      </c>
      <c r="F1796" s="120">
        <v>0</v>
      </c>
      <c r="G1796" s="121">
        <v>30375</v>
      </c>
      <c r="H1796" s="123">
        <v>2.5132000000000002E-2</v>
      </c>
      <c r="I1796" s="122">
        <v>763.3845</v>
      </c>
      <c r="J1796" s="124">
        <f t="shared" si="28"/>
        <v>25.132275132275101</v>
      </c>
      <c r="K1796" s="98" t="s">
        <v>6291</v>
      </c>
    </row>
    <row r="1797" spans="1:11" ht="15" customHeight="1" x14ac:dyDescent="0.2">
      <c r="A1797" s="120" t="s">
        <v>6292</v>
      </c>
      <c r="B1797" s="120" t="s">
        <v>4833</v>
      </c>
      <c r="C1797" s="98" t="s">
        <v>3533</v>
      </c>
      <c r="D1797" s="120" t="s">
        <v>3563</v>
      </c>
      <c r="E1797" s="98">
        <v>3.3840388007054703E-2</v>
      </c>
      <c r="F1797" s="120">
        <v>0</v>
      </c>
      <c r="G1797" s="121">
        <v>42035</v>
      </c>
      <c r="H1797" s="123">
        <v>3.3840000000000002E-2</v>
      </c>
      <c r="I1797" s="122">
        <v>1422.4644000000001</v>
      </c>
      <c r="J1797" s="124">
        <f t="shared" si="28"/>
        <v>33.840388007054706</v>
      </c>
    </row>
    <row r="1798" spans="1:11" ht="15" customHeight="1" x14ac:dyDescent="0.2">
      <c r="A1798" s="120" t="s">
        <v>6293</v>
      </c>
      <c r="B1798" s="120" t="s">
        <v>4720</v>
      </c>
      <c r="C1798" s="98" t="s">
        <v>3533</v>
      </c>
      <c r="D1798" s="120" t="s">
        <v>3563</v>
      </c>
      <c r="E1798" s="98">
        <v>3.6596119929453295E-2</v>
      </c>
      <c r="F1798" s="120">
        <v>0</v>
      </c>
      <c r="G1798" s="121">
        <v>2880</v>
      </c>
      <c r="H1798" s="123">
        <v>3.6595999999999997E-2</v>
      </c>
      <c r="I1798" s="122">
        <v>105.39648</v>
      </c>
      <c r="J1798" s="124">
        <f t="shared" si="28"/>
        <v>36.596119929453295</v>
      </c>
      <c r="K1798" s="98" t="s">
        <v>5298</v>
      </c>
    </row>
    <row r="1799" spans="1:11" ht="15" customHeight="1" x14ac:dyDescent="0.2">
      <c r="A1799" s="120" t="s">
        <v>2179</v>
      </c>
      <c r="B1799" s="120" t="s">
        <v>5198</v>
      </c>
      <c r="C1799" s="98" t="s">
        <v>3533</v>
      </c>
      <c r="D1799" s="120" t="s">
        <v>3563</v>
      </c>
      <c r="E1799" s="98">
        <v>5.1999999999999998E-2</v>
      </c>
      <c r="F1799" s="120">
        <v>0</v>
      </c>
      <c r="G1799" s="121">
        <v>52710</v>
      </c>
      <c r="H1799" s="123">
        <v>5.1999999999999998E-2</v>
      </c>
      <c r="I1799" s="122">
        <v>2740.92</v>
      </c>
      <c r="J1799" s="124">
        <f t="shared" si="28"/>
        <v>52</v>
      </c>
      <c r="K1799" s="98" t="s">
        <v>6236</v>
      </c>
    </row>
    <row r="1800" spans="1:11" ht="15" customHeight="1" x14ac:dyDescent="0.2">
      <c r="A1800" s="120" t="s">
        <v>6294</v>
      </c>
      <c r="B1800" s="120" t="s">
        <v>2184</v>
      </c>
      <c r="C1800" s="98" t="s">
        <v>3533</v>
      </c>
      <c r="D1800" s="120" t="s">
        <v>3563</v>
      </c>
      <c r="E1800" s="98">
        <v>0.47399999999999998</v>
      </c>
      <c r="F1800" s="120">
        <v>0</v>
      </c>
      <c r="G1800" s="121">
        <v>1330</v>
      </c>
      <c r="H1800" s="123">
        <v>0.47399999999999998</v>
      </c>
      <c r="I1800" s="122">
        <v>630.41999999999996</v>
      </c>
      <c r="J1800" s="124">
        <f t="shared" si="28"/>
        <v>474</v>
      </c>
      <c r="K1800" s="98" t="s">
        <v>6295</v>
      </c>
    </row>
    <row r="1801" spans="1:11" ht="15" customHeight="1" x14ac:dyDescent="0.2">
      <c r="A1801" s="120" t="s">
        <v>6296</v>
      </c>
      <c r="B1801" s="120" t="s">
        <v>6297</v>
      </c>
      <c r="C1801" s="98" t="s">
        <v>3533</v>
      </c>
      <c r="D1801" s="120" t="s">
        <v>3563</v>
      </c>
      <c r="E1801" s="98">
        <v>2.775E-2</v>
      </c>
      <c r="F1801" s="120">
        <v>0</v>
      </c>
      <c r="G1801" s="121">
        <v>0</v>
      </c>
      <c r="H1801" s="123">
        <v>2.775E-2</v>
      </c>
      <c r="I1801" s="122">
        <v>0</v>
      </c>
      <c r="J1801" s="124">
        <f t="shared" si="28"/>
        <v>27.75</v>
      </c>
    </row>
    <row r="1802" spans="1:11" ht="15" customHeight="1" x14ac:dyDescent="0.2">
      <c r="A1802" s="120" t="s">
        <v>6298</v>
      </c>
      <c r="B1802" s="120" t="s">
        <v>6297</v>
      </c>
      <c r="C1802" s="98" t="s">
        <v>3533</v>
      </c>
      <c r="D1802" s="120" t="s">
        <v>3563</v>
      </c>
      <c r="E1802" s="98">
        <v>2.1979955947136601E-2</v>
      </c>
      <c r="F1802" s="120">
        <v>45000</v>
      </c>
      <c r="G1802" s="121">
        <v>90710</v>
      </c>
      <c r="H1802" s="123">
        <v>2.198E-2</v>
      </c>
      <c r="I1802" s="122">
        <v>1993.8057999999999</v>
      </c>
      <c r="J1802" s="124">
        <f t="shared" si="28"/>
        <v>21.979955947136602</v>
      </c>
      <c r="K1802" s="98" t="s">
        <v>6299</v>
      </c>
    </row>
    <row r="1803" spans="1:11" ht="15" customHeight="1" x14ac:dyDescent="0.2">
      <c r="A1803" s="120" t="s">
        <v>6300</v>
      </c>
      <c r="B1803" s="120" t="s">
        <v>2254</v>
      </c>
      <c r="C1803" s="98" t="s">
        <v>3533</v>
      </c>
      <c r="D1803" s="120" t="s">
        <v>3563</v>
      </c>
      <c r="E1803" s="98">
        <v>2.5999999999999999E-2</v>
      </c>
      <c r="F1803" s="120">
        <v>0</v>
      </c>
      <c r="G1803" s="121">
        <v>37997</v>
      </c>
      <c r="H1803" s="123">
        <v>2.5999999999999999E-2</v>
      </c>
      <c r="I1803" s="122">
        <v>987.92199999999991</v>
      </c>
      <c r="J1803" s="124">
        <f t="shared" si="28"/>
        <v>26</v>
      </c>
      <c r="K1803" s="98" t="s">
        <v>5189</v>
      </c>
    </row>
    <row r="1804" spans="1:11" ht="15" customHeight="1" x14ac:dyDescent="0.2">
      <c r="A1804" s="120" t="s">
        <v>6301</v>
      </c>
      <c r="B1804" s="120" t="s">
        <v>5239</v>
      </c>
      <c r="C1804" s="98" t="s">
        <v>3533</v>
      </c>
      <c r="D1804" s="120" t="s">
        <v>3563</v>
      </c>
      <c r="E1804" s="98">
        <v>8.0000000000000002E-3</v>
      </c>
      <c r="F1804" s="120">
        <v>0</v>
      </c>
      <c r="G1804" s="121">
        <v>0</v>
      </c>
      <c r="H1804" s="123">
        <v>8.0000000000000002E-3</v>
      </c>
      <c r="I1804" s="122">
        <v>0</v>
      </c>
      <c r="J1804" s="124">
        <f t="shared" si="28"/>
        <v>8</v>
      </c>
      <c r="K1804" s="98" t="s">
        <v>6302</v>
      </c>
    </row>
    <row r="1805" spans="1:11" ht="15" customHeight="1" x14ac:dyDescent="0.2">
      <c r="A1805" s="120" t="s">
        <v>6303</v>
      </c>
      <c r="B1805" s="120" t="s">
        <v>4720</v>
      </c>
      <c r="C1805" s="98" t="s">
        <v>3533</v>
      </c>
      <c r="D1805" s="120" t="s">
        <v>3563</v>
      </c>
      <c r="E1805" s="98">
        <v>4.18871252204586E-2</v>
      </c>
      <c r="F1805" s="120">
        <v>0</v>
      </c>
      <c r="G1805" s="121">
        <v>33915</v>
      </c>
      <c r="H1805" s="123">
        <v>4.1887000000000001E-2</v>
      </c>
      <c r="I1805" s="122">
        <v>1420.5976049999999</v>
      </c>
      <c r="J1805" s="124">
        <f t="shared" si="28"/>
        <v>41.8871252204586</v>
      </c>
      <c r="K1805" s="98" t="s">
        <v>5298</v>
      </c>
    </row>
    <row r="1806" spans="1:11" ht="15" customHeight="1" x14ac:dyDescent="0.2">
      <c r="A1806" s="120" t="s">
        <v>6304</v>
      </c>
      <c r="B1806" s="120" t="s">
        <v>5072</v>
      </c>
      <c r="C1806" s="98" t="s">
        <v>3533</v>
      </c>
      <c r="D1806" s="120" t="s">
        <v>3563</v>
      </c>
      <c r="E1806" s="98">
        <v>0.19</v>
      </c>
      <c r="F1806" s="120">
        <v>100000</v>
      </c>
      <c r="G1806" s="121">
        <v>183395</v>
      </c>
      <c r="H1806" s="123">
        <v>0.19</v>
      </c>
      <c r="I1806" s="122">
        <v>34845.050000000003</v>
      </c>
      <c r="J1806" s="124">
        <f t="shared" si="28"/>
        <v>190</v>
      </c>
      <c r="K1806" s="98" t="s">
        <v>6305</v>
      </c>
    </row>
    <row r="1807" spans="1:11" ht="15" customHeight="1" x14ac:dyDescent="0.2">
      <c r="A1807" s="120" t="s">
        <v>6306</v>
      </c>
      <c r="B1807" s="120" t="s">
        <v>5142</v>
      </c>
      <c r="C1807" s="98" t="s">
        <v>3533</v>
      </c>
      <c r="D1807" s="120" t="s">
        <v>3563</v>
      </c>
      <c r="E1807" s="98">
        <v>0.13</v>
      </c>
      <c r="F1807" s="120">
        <v>0</v>
      </c>
      <c r="G1807" s="121">
        <v>400</v>
      </c>
      <c r="H1807" s="123">
        <v>0.13</v>
      </c>
      <c r="I1807" s="122">
        <v>52</v>
      </c>
      <c r="J1807" s="124">
        <f t="shared" si="28"/>
        <v>130</v>
      </c>
    </row>
    <row r="1808" spans="1:11" ht="15" customHeight="1" x14ac:dyDescent="0.2">
      <c r="A1808" s="120" t="s">
        <v>6307</v>
      </c>
      <c r="B1808" s="120" t="s">
        <v>5358</v>
      </c>
      <c r="C1808" s="98" t="s">
        <v>3533</v>
      </c>
      <c r="D1808" s="120" t="s">
        <v>3563</v>
      </c>
      <c r="E1808" s="98">
        <v>7.6099999999999996E-3</v>
      </c>
      <c r="F1808" s="120">
        <v>0</v>
      </c>
      <c r="G1808" s="121">
        <v>0</v>
      </c>
      <c r="H1808" s="123">
        <v>7.6099999999999996E-3</v>
      </c>
      <c r="I1808" s="122">
        <v>0</v>
      </c>
      <c r="J1808" s="124">
        <f t="shared" si="28"/>
        <v>7.6099999999999994</v>
      </c>
      <c r="K1808" s="98" t="s">
        <v>6308</v>
      </c>
    </row>
    <row r="1809" spans="1:11" ht="15" customHeight="1" x14ac:dyDescent="0.2">
      <c r="A1809" s="120" t="s">
        <v>6309</v>
      </c>
      <c r="B1809" s="120" t="s">
        <v>4720</v>
      </c>
      <c r="C1809" s="98" t="s">
        <v>3533</v>
      </c>
      <c r="D1809" s="120" t="s">
        <v>3563</v>
      </c>
      <c r="E1809" s="98">
        <v>4.0969999999999999E-2</v>
      </c>
      <c r="F1809" s="120">
        <v>0</v>
      </c>
      <c r="G1809" s="121">
        <v>0</v>
      </c>
      <c r="H1809" s="123">
        <v>4.0969999999999999E-2</v>
      </c>
      <c r="I1809" s="122">
        <v>0</v>
      </c>
      <c r="J1809" s="124">
        <f t="shared" si="28"/>
        <v>40.97</v>
      </c>
    </row>
    <row r="1810" spans="1:11" ht="15" customHeight="1" x14ac:dyDescent="0.2">
      <c r="A1810" s="120" t="s">
        <v>6310</v>
      </c>
      <c r="B1810" s="120" t="s">
        <v>4720</v>
      </c>
      <c r="C1810" s="98" t="s">
        <v>3533</v>
      </c>
      <c r="D1810" s="120" t="s">
        <v>3563</v>
      </c>
      <c r="E1810" s="98">
        <v>6.5629999999999994E-2</v>
      </c>
      <c r="F1810" s="120">
        <v>0</v>
      </c>
      <c r="G1810" s="121">
        <v>0</v>
      </c>
      <c r="H1810" s="123">
        <v>6.5629999999999994E-2</v>
      </c>
      <c r="I1810" s="122">
        <v>0</v>
      </c>
      <c r="J1810" s="124">
        <f t="shared" si="28"/>
        <v>65.63</v>
      </c>
    </row>
    <row r="1811" spans="1:11" ht="15" customHeight="1" x14ac:dyDescent="0.2">
      <c r="A1811" s="120" t="s">
        <v>6311</v>
      </c>
      <c r="B1811" s="120" t="s">
        <v>4720</v>
      </c>
      <c r="C1811" s="98" t="s">
        <v>3533</v>
      </c>
      <c r="D1811" s="120" t="s">
        <v>3563</v>
      </c>
      <c r="E1811" s="98">
        <v>0</v>
      </c>
      <c r="F1811" s="120">
        <v>0</v>
      </c>
      <c r="G1811" s="121">
        <v>0</v>
      </c>
      <c r="H1811" s="123">
        <v>0</v>
      </c>
      <c r="I1811" s="122">
        <v>0</v>
      </c>
      <c r="J1811" s="124">
        <f t="shared" si="28"/>
        <v>0</v>
      </c>
    </row>
    <row r="1812" spans="1:11" ht="15" customHeight="1" x14ac:dyDescent="0.2">
      <c r="A1812" s="120" t="s">
        <v>6312</v>
      </c>
      <c r="B1812" s="120" t="s">
        <v>4924</v>
      </c>
      <c r="C1812" s="98" t="s">
        <v>3533</v>
      </c>
      <c r="D1812" s="120" t="s">
        <v>3563</v>
      </c>
      <c r="E1812" s="98">
        <v>6.6750000000000004E-2</v>
      </c>
      <c r="F1812" s="120">
        <v>0</v>
      </c>
      <c r="G1812" s="121">
        <v>2010</v>
      </c>
      <c r="H1812" s="123">
        <v>6.6750000000000004E-2</v>
      </c>
      <c r="I1812" s="122">
        <v>134.16750000000002</v>
      </c>
      <c r="J1812" s="124">
        <f t="shared" si="28"/>
        <v>66.75</v>
      </c>
      <c r="K1812" s="98" t="s">
        <v>6313</v>
      </c>
    </row>
    <row r="1813" spans="1:11" ht="15" customHeight="1" x14ac:dyDescent="0.2">
      <c r="A1813" s="120" t="s">
        <v>6314</v>
      </c>
      <c r="B1813" s="120" t="s">
        <v>6315</v>
      </c>
      <c r="C1813" s="98" t="s">
        <v>3533</v>
      </c>
      <c r="D1813" s="120" t="s">
        <v>3563</v>
      </c>
      <c r="E1813" s="98">
        <v>5.8020000000000002E-2</v>
      </c>
      <c r="F1813" s="120">
        <v>0</v>
      </c>
      <c r="G1813" s="121">
        <v>0</v>
      </c>
      <c r="H1813" s="123">
        <v>5.8020000000000002E-2</v>
      </c>
      <c r="I1813" s="122">
        <v>0</v>
      </c>
      <c r="J1813" s="124">
        <f t="shared" si="28"/>
        <v>58.02</v>
      </c>
    </row>
    <row r="1814" spans="1:11" ht="15" customHeight="1" x14ac:dyDescent="0.2">
      <c r="A1814" s="120" t="s">
        <v>6316</v>
      </c>
      <c r="B1814" s="120" t="s">
        <v>4764</v>
      </c>
      <c r="C1814" s="98" t="s">
        <v>3533</v>
      </c>
      <c r="D1814" s="120" t="s">
        <v>3563</v>
      </c>
      <c r="E1814" s="98">
        <v>2.5999999999999999E-3</v>
      </c>
      <c r="F1814" s="120">
        <v>0</v>
      </c>
      <c r="G1814" s="121">
        <v>0</v>
      </c>
      <c r="H1814" s="123">
        <v>2.5999999999999999E-3</v>
      </c>
      <c r="I1814" s="122">
        <v>0</v>
      </c>
      <c r="J1814" s="124">
        <f t="shared" si="28"/>
        <v>2.6</v>
      </c>
    </row>
    <row r="1815" spans="1:11" ht="15" customHeight="1" x14ac:dyDescent="0.2">
      <c r="A1815" s="120" t="s">
        <v>6317</v>
      </c>
      <c r="B1815" s="120" t="s">
        <v>5072</v>
      </c>
      <c r="C1815" s="98" t="s">
        <v>3533</v>
      </c>
      <c r="D1815" s="120" t="s">
        <v>3563</v>
      </c>
      <c r="E1815" s="98">
        <v>0.23499999999999999</v>
      </c>
      <c r="F1815" s="120">
        <v>0</v>
      </c>
      <c r="G1815" s="121">
        <v>0</v>
      </c>
      <c r="H1815" s="123">
        <v>0.23499999999999999</v>
      </c>
      <c r="I1815" s="122">
        <v>0</v>
      </c>
      <c r="J1815" s="124">
        <f t="shared" si="28"/>
        <v>235</v>
      </c>
    </row>
    <row r="1816" spans="1:11" ht="15" customHeight="1" x14ac:dyDescent="0.2">
      <c r="A1816" s="120" t="s">
        <v>6318</v>
      </c>
      <c r="B1816" s="120" t="s">
        <v>4873</v>
      </c>
      <c r="C1816" s="98" t="s">
        <v>3533</v>
      </c>
      <c r="D1816" s="120" t="s">
        <v>3563</v>
      </c>
      <c r="E1816" s="98">
        <v>2.8799999999999999E-2</v>
      </c>
      <c r="F1816" s="120">
        <v>0</v>
      </c>
      <c r="G1816" s="121">
        <v>726585</v>
      </c>
      <c r="H1816" s="123">
        <v>2.8799999999999999E-2</v>
      </c>
      <c r="I1816" s="122">
        <v>20925.648000000001</v>
      </c>
      <c r="J1816" s="124">
        <f t="shared" si="28"/>
        <v>28.8</v>
      </c>
      <c r="K1816" s="98" t="s">
        <v>6319</v>
      </c>
    </row>
    <row r="1817" spans="1:11" ht="15" customHeight="1" x14ac:dyDescent="0.2">
      <c r="A1817" s="120" t="s">
        <v>6320</v>
      </c>
      <c r="B1817" s="120" t="s">
        <v>4720</v>
      </c>
      <c r="C1817" s="98" t="s">
        <v>3533</v>
      </c>
      <c r="D1817" s="120" t="s">
        <v>3563</v>
      </c>
      <c r="E1817" s="98">
        <v>2.75573192239859E-2</v>
      </c>
      <c r="F1817" s="120">
        <v>0</v>
      </c>
      <c r="G1817" s="121">
        <v>31540</v>
      </c>
      <c r="H1817" s="123">
        <v>2.7557000000000002E-2</v>
      </c>
      <c r="I1817" s="122">
        <v>869.14778000000001</v>
      </c>
      <c r="J1817" s="124">
        <f t="shared" si="28"/>
        <v>27.5573192239859</v>
      </c>
    </row>
    <row r="1818" spans="1:11" ht="15" customHeight="1" x14ac:dyDescent="0.2">
      <c r="A1818" s="120" t="s">
        <v>6321</v>
      </c>
      <c r="B1818" s="120" t="s">
        <v>4720</v>
      </c>
      <c r="C1818" s="98" t="s">
        <v>3533</v>
      </c>
      <c r="D1818" s="120" t="s">
        <v>3563</v>
      </c>
      <c r="E1818" s="98">
        <v>2.5794000000000001E-2</v>
      </c>
      <c r="F1818" s="120">
        <v>0</v>
      </c>
      <c r="G1818" s="121">
        <v>13960</v>
      </c>
      <c r="H1818" s="123">
        <v>2.5794000000000001E-2</v>
      </c>
      <c r="I1818" s="122">
        <v>360.08424000000002</v>
      </c>
      <c r="J1818" s="124">
        <f t="shared" si="28"/>
        <v>25.794</v>
      </c>
    </row>
    <row r="1819" spans="1:11" ht="15" customHeight="1" x14ac:dyDescent="0.2">
      <c r="A1819" s="120" t="s">
        <v>6322</v>
      </c>
      <c r="B1819" s="120" t="s">
        <v>4720</v>
      </c>
      <c r="C1819" s="98" t="s">
        <v>3533</v>
      </c>
      <c r="D1819" s="120" t="s">
        <v>3563</v>
      </c>
      <c r="E1819" s="98">
        <v>2.0503E-2</v>
      </c>
      <c r="F1819" s="120">
        <v>0</v>
      </c>
      <c r="G1819" s="121">
        <v>18920</v>
      </c>
      <c r="H1819" s="123">
        <v>2.0503E-2</v>
      </c>
      <c r="I1819" s="122">
        <v>387.91676000000001</v>
      </c>
      <c r="J1819" s="124">
        <f t="shared" si="28"/>
        <v>20.503</v>
      </c>
    </row>
    <row r="1820" spans="1:11" ht="15" customHeight="1" x14ac:dyDescent="0.2">
      <c r="A1820" s="120" t="s">
        <v>6323</v>
      </c>
      <c r="B1820" s="120" t="s">
        <v>4873</v>
      </c>
      <c r="C1820" s="98" t="s">
        <v>3533</v>
      </c>
      <c r="D1820" s="120" t="s">
        <v>3563</v>
      </c>
      <c r="E1820" s="98">
        <v>2.8000000000000001E-2</v>
      </c>
      <c r="F1820" s="120">
        <v>0</v>
      </c>
      <c r="G1820" s="121">
        <v>27880</v>
      </c>
      <c r="H1820" s="123">
        <v>2.8000000000000001E-2</v>
      </c>
      <c r="I1820" s="122">
        <v>780.64</v>
      </c>
      <c r="J1820" s="124">
        <f t="shared" si="28"/>
        <v>28</v>
      </c>
      <c r="K1820" s="98" t="s">
        <v>6324</v>
      </c>
    </row>
    <row r="1821" spans="1:11" ht="15" customHeight="1" x14ac:dyDescent="0.2">
      <c r="A1821" s="120" t="s">
        <v>6325</v>
      </c>
      <c r="B1821" s="120" t="s">
        <v>6060</v>
      </c>
      <c r="C1821" s="98" t="s">
        <v>3533</v>
      </c>
      <c r="D1821" s="120" t="s">
        <v>3563</v>
      </c>
      <c r="E1821" s="98">
        <v>1.8453000000000001E-2</v>
      </c>
      <c r="F1821" s="120">
        <v>0</v>
      </c>
      <c r="G1821" s="121">
        <v>14300</v>
      </c>
      <c r="H1821" s="123">
        <v>1.8453000000000001E-2</v>
      </c>
      <c r="I1821" s="122">
        <v>263.87790000000001</v>
      </c>
      <c r="J1821" s="124">
        <f t="shared" si="28"/>
        <v>18.452999999999999</v>
      </c>
      <c r="K1821" s="98" t="s">
        <v>6326</v>
      </c>
    </row>
    <row r="1822" spans="1:11" ht="15" customHeight="1" x14ac:dyDescent="0.2">
      <c r="A1822" s="120" t="s">
        <v>6327</v>
      </c>
      <c r="B1822" s="120" t="s">
        <v>5939</v>
      </c>
      <c r="C1822" s="98" t="s">
        <v>3532</v>
      </c>
      <c r="D1822" s="120" t="s">
        <v>3563</v>
      </c>
      <c r="E1822" s="98">
        <v>0.108</v>
      </c>
      <c r="F1822" s="120">
        <v>0</v>
      </c>
      <c r="G1822" s="121">
        <v>0</v>
      </c>
      <c r="H1822" s="123">
        <v>0.108</v>
      </c>
      <c r="I1822" s="122">
        <v>0</v>
      </c>
      <c r="J1822" s="124">
        <f t="shared" si="28"/>
        <v>108</v>
      </c>
    </row>
    <row r="1823" spans="1:11" ht="15" customHeight="1" x14ac:dyDescent="0.2">
      <c r="A1823" s="120" t="s">
        <v>6328</v>
      </c>
      <c r="B1823" s="120" t="s">
        <v>5082</v>
      </c>
      <c r="C1823" s="98" t="s">
        <v>3532</v>
      </c>
      <c r="D1823" s="120" t="s">
        <v>3563</v>
      </c>
      <c r="E1823" s="98">
        <v>2.8000000000000001E-2</v>
      </c>
      <c r="F1823" s="120">
        <v>0</v>
      </c>
      <c r="G1823" s="121">
        <v>0</v>
      </c>
      <c r="H1823" s="123">
        <v>2.8000000000000001E-2</v>
      </c>
      <c r="I1823" s="122">
        <v>0</v>
      </c>
      <c r="J1823" s="124">
        <f t="shared" si="28"/>
        <v>28</v>
      </c>
    </row>
    <row r="1824" spans="1:11" ht="15" customHeight="1" x14ac:dyDescent="0.2">
      <c r="A1824" s="120" t="s">
        <v>6329</v>
      </c>
      <c r="B1824" s="120" t="s">
        <v>6021</v>
      </c>
      <c r="C1824" s="98" t="s">
        <v>3532</v>
      </c>
      <c r="D1824" s="120" t="s">
        <v>3563</v>
      </c>
      <c r="E1824" s="98">
        <v>6.7699999999999996E-2</v>
      </c>
      <c r="F1824" s="120">
        <v>0</v>
      </c>
      <c r="G1824" s="121">
        <v>0</v>
      </c>
      <c r="H1824" s="123">
        <v>6.7699999999999996E-2</v>
      </c>
      <c r="I1824" s="122">
        <v>0</v>
      </c>
      <c r="J1824" s="124">
        <f t="shared" si="28"/>
        <v>67.7</v>
      </c>
    </row>
    <row r="1825" spans="1:11" ht="15" customHeight="1" x14ac:dyDescent="0.2">
      <c r="A1825" s="120" t="s">
        <v>6330</v>
      </c>
      <c r="B1825" s="120" t="s">
        <v>2100</v>
      </c>
      <c r="C1825" s="98" t="s">
        <v>3533</v>
      </c>
      <c r="D1825" s="120" t="s">
        <v>3563</v>
      </c>
      <c r="E1825" s="98">
        <v>6.9699999999999996E-3</v>
      </c>
      <c r="F1825" s="120">
        <v>0</v>
      </c>
      <c r="G1825" s="121">
        <v>236980</v>
      </c>
      <c r="H1825" s="123">
        <v>6.9699999999999996E-3</v>
      </c>
      <c r="I1825" s="122">
        <v>1651.7505999999998</v>
      </c>
      <c r="J1825" s="124">
        <f t="shared" si="28"/>
        <v>6.97</v>
      </c>
      <c r="K1825" s="98" t="s">
        <v>6331</v>
      </c>
    </row>
    <row r="1826" spans="1:11" ht="15" customHeight="1" x14ac:dyDescent="0.2">
      <c r="A1826" s="120" t="s">
        <v>6332</v>
      </c>
      <c r="B1826" s="120" t="s">
        <v>4699</v>
      </c>
      <c r="C1826" s="98" t="s">
        <v>3533</v>
      </c>
      <c r="D1826" s="120" t="s">
        <v>3563</v>
      </c>
      <c r="E1826" s="98">
        <v>3.5929999999999998E-3</v>
      </c>
      <c r="F1826" s="120">
        <v>0</v>
      </c>
      <c r="G1826" s="121">
        <v>366580</v>
      </c>
      <c r="H1826" s="123">
        <v>3.5929999999999998E-3</v>
      </c>
      <c r="I1826" s="122">
        <v>1317.12194</v>
      </c>
      <c r="J1826" s="124">
        <f t="shared" si="28"/>
        <v>3.593</v>
      </c>
      <c r="K1826" s="98" t="s">
        <v>6333</v>
      </c>
    </row>
    <row r="1827" spans="1:11" ht="15" customHeight="1" x14ac:dyDescent="0.2">
      <c r="A1827" s="120" t="s">
        <v>6334</v>
      </c>
      <c r="B1827" s="120" t="s">
        <v>6006</v>
      </c>
      <c r="C1827" s="98" t="s">
        <v>3533</v>
      </c>
      <c r="D1827" s="120" t="s">
        <v>3563</v>
      </c>
      <c r="E1827" s="98">
        <v>3.8280000000000002E-2</v>
      </c>
      <c r="F1827" s="120">
        <v>0</v>
      </c>
      <c r="G1827" s="121">
        <v>21394</v>
      </c>
      <c r="H1827" s="123">
        <v>3.8280000000000002E-2</v>
      </c>
      <c r="I1827" s="122">
        <v>818.96231999999998</v>
      </c>
      <c r="J1827" s="124">
        <f t="shared" si="28"/>
        <v>38.28</v>
      </c>
      <c r="K1827" s="98" t="s">
        <v>6335</v>
      </c>
    </row>
    <row r="1828" spans="1:11" ht="15" customHeight="1" x14ac:dyDescent="0.2">
      <c r="A1828" s="120" t="s">
        <v>6336</v>
      </c>
      <c r="B1828" s="120" t="s">
        <v>4873</v>
      </c>
      <c r="C1828" s="98" t="s">
        <v>3533</v>
      </c>
      <c r="D1828" s="120" t="s">
        <v>3563</v>
      </c>
      <c r="E1828" s="98">
        <v>2.1850000000000001E-2</v>
      </c>
      <c r="F1828" s="120">
        <v>0</v>
      </c>
      <c r="G1828" s="121">
        <v>20650</v>
      </c>
      <c r="H1828" s="123">
        <v>2.1850000000000001E-2</v>
      </c>
      <c r="I1828" s="122">
        <v>451.20250000000004</v>
      </c>
      <c r="J1828" s="124">
        <f t="shared" si="28"/>
        <v>21.85</v>
      </c>
      <c r="K1828" s="98" t="s">
        <v>6337</v>
      </c>
    </row>
    <row r="1829" spans="1:11" ht="15" customHeight="1" x14ac:dyDescent="0.2">
      <c r="A1829" s="120" t="s">
        <v>6338</v>
      </c>
      <c r="B1829" s="120" t="s">
        <v>4873</v>
      </c>
      <c r="C1829" s="98" t="s">
        <v>3533</v>
      </c>
      <c r="D1829" s="120" t="s">
        <v>3563</v>
      </c>
      <c r="E1829" s="98">
        <v>2.92E-2</v>
      </c>
      <c r="F1829" s="120">
        <v>0</v>
      </c>
      <c r="G1829" s="121">
        <v>199197</v>
      </c>
      <c r="H1829" s="123">
        <v>2.92E-2</v>
      </c>
      <c r="I1829" s="122">
        <v>5816.5524000000005</v>
      </c>
      <c r="J1829" s="124">
        <f t="shared" si="28"/>
        <v>29.2</v>
      </c>
      <c r="K1829" s="98" t="s">
        <v>6339</v>
      </c>
    </row>
    <row r="1830" spans="1:11" ht="15" customHeight="1" x14ac:dyDescent="0.2">
      <c r="A1830" s="120" t="s">
        <v>6340</v>
      </c>
      <c r="B1830" s="120" t="s">
        <v>4720</v>
      </c>
      <c r="C1830" s="98" t="s">
        <v>3533</v>
      </c>
      <c r="D1830" s="120" t="s">
        <v>3563</v>
      </c>
      <c r="E1830" s="98">
        <v>3.2627999999999997E-2</v>
      </c>
      <c r="F1830" s="120">
        <v>0</v>
      </c>
      <c r="G1830" s="121">
        <v>22045</v>
      </c>
      <c r="H1830" s="123">
        <v>3.2627999999999997E-2</v>
      </c>
      <c r="I1830" s="122">
        <v>719.2842599999999</v>
      </c>
      <c r="J1830" s="124">
        <f t="shared" si="28"/>
        <v>32.628</v>
      </c>
      <c r="K1830" s="98" t="s">
        <v>6341</v>
      </c>
    </row>
    <row r="1831" spans="1:11" ht="15" customHeight="1" x14ac:dyDescent="0.2">
      <c r="A1831" s="120" t="s">
        <v>6342</v>
      </c>
      <c r="B1831" s="120" t="s">
        <v>4879</v>
      </c>
      <c r="C1831" s="98" t="s">
        <v>3533</v>
      </c>
      <c r="D1831" s="120" t="s">
        <v>3563</v>
      </c>
      <c r="E1831" s="98">
        <v>9.75E-3</v>
      </c>
      <c r="F1831" s="120">
        <v>0</v>
      </c>
      <c r="G1831" s="121">
        <v>17280</v>
      </c>
      <c r="H1831" s="123">
        <v>9.75E-3</v>
      </c>
      <c r="I1831" s="122">
        <v>168.48</v>
      </c>
      <c r="J1831" s="124">
        <f t="shared" si="28"/>
        <v>9.75</v>
      </c>
    </row>
    <row r="1832" spans="1:11" ht="15" customHeight="1" x14ac:dyDescent="0.2">
      <c r="A1832" s="120" t="s">
        <v>6343</v>
      </c>
      <c r="B1832" s="120" t="s">
        <v>5082</v>
      </c>
      <c r="C1832" s="98" t="s">
        <v>3533</v>
      </c>
      <c r="D1832" s="120" t="s">
        <v>3563</v>
      </c>
      <c r="E1832" s="98">
        <v>0.69499999999999995</v>
      </c>
      <c r="F1832" s="120">
        <v>20000</v>
      </c>
      <c r="G1832" s="121">
        <v>42122</v>
      </c>
      <c r="H1832" s="123">
        <v>0.69499999999999995</v>
      </c>
      <c r="I1832" s="122">
        <v>29274.789999999997</v>
      </c>
      <c r="J1832" s="124">
        <f t="shared" si="28"/>
        <v>695</v>
      </c>
      <c r="K1832" s="98" t="s">
        <v>6344</v>
      </c>
    </row>
    <row r="1833" spans="1:11" ht="15" customHeight="1" x14ac:dyDescent="0.2">
      <c r="A1833" s="120" t="s">
        <v>6345</v>
      </c>
      <c r="B1833" s="120" t="s">
        <v>4720</v>
      </c>
      <c r="C1833" s="98" t="s">
        <v>3533</v>
      </c>
      <c r="D1833" s="120" t="s">
        <v>3563</v>
      </c>
      <c r="E1833" s="98">
        <v>3.9902998236331602E-2</v>
      </c>
      <c r="F1833" s="120">
        <v>0</v>
      </c>
      <c r="G1833" s="121">
        <v>20345</v>
      </c>
      <c r="H1833" s="123">
        <v>3.9903000000000001E-2</v>
      </c>
      <c r="I1833" s="122">
        <v>811.82653500000004</v>
      </c>
      <c r="J1833" s="124">
        <f t="shared" si="28"/>
        <v>39.902998236331605</v>
      </c>
      <c r="K1833" s="98" t="s">
        <v>6346</v>
      </c>
    </row>
    <row r="1834" spans="1:11" ht="15" customHeight="1" x14ac:dyDescent="0.2">
      <c r="A1834" s="120" t="s">
        <v>6347</v>
      </c>
      <c r="B1834" s="120" t="s">
        <v>4720</v>
      </c>
      <c r="C1834" s="98" t="s">
        <v>3533</v>
      </c>
      <c r="D1834" s="120" t="s">
        <v>3563</v>
      </c>
      <c r="E1834" s="98">
        <v>4.4973544973544999E-2</v>
      </c>
      <c r="F1834" s="120">
        <v>0</v>
      </c>
      <c r="G1834" s="121">
        <v>13420</v>
      </c>
      <c r="H1834" s="123">
        <v>4.4974E-2</v>
      </c>
      <c r="I1834" s="122">
        <v>603.55107999999996</v>
      </c>
      <c r="J1834" s="124">
        <f t="shared" si="28"/>
        <v>44.973544973544996</v>
      </c>
      <c r="K1834" s="98" t="s">
        <v>5298</v>
      </c>
    </row>
    <row r="1835" spans="1:11" ht="15" customHeight="1" x14ac:dyDescent="0.2">
      <c r="A1835" s="120" t="s">
        <v>6348</v>
      </c>
      <c r="B1835" s="120" t="s">
        <v>4879</v>
      </c>
      <c r="C1835" s="98" t="s">
        <v>3533</v>
      </c>
      <c r="D1835" s="120" t="s">
        <v>3563</v>
      </c>
      <c r="E1835" s="98">
        <v>1.5453E-2</v>
      </c>
      <c r="F1835" s="120">
        <v>0</v>
      </c>
      <c r="G1835" s="121">
        <v>19916</v>
      </c>
      <c r="H1835" s="123">
        <v>1.5453E-2</v>
      </c>
      <c r="I1835" s="122">
        <v>307.76194800000002</v>
      </c>
      <c r="J1835" s="124">
        <f t="shared" si="28"/>
        <v>15.452999999999999</v>
      </c>
    </row>
    <row r="1836" spans="1:11" ht="15" customHeight="1" x14ac:dyDescent="0.2">
      <c r="A1836" s="120" t="s">
        <v>6349</v>
      </c>
      <c r="B1836" s="120" t="s">
        <v>6350</v>
      </c>
      <c r="C1836" s="98" t="s">
        <v>3533</v>
      </c>
      <c r="D1836" s="120" t="s">
        <v>3563</v>
      </c>
      <c r="E1836" s="98">
        <v>0.12</v>
      </c>
      <c r="F1836" s="120">
        <v>0</v>
      </c>
      <c r="G1836" s="121">
        <v>18220</v>
      </c>
      <c r="H1836" s="123">
        <v>0.12</v>
      </c>
      <c r="I1836" s="122">
        <v>2186.4</v>
      </c>
      <c r="J1836" s="124">
        <f t="shared" si="28"/>
        <v>120</v>
      </c>
      <c r="K1836" s="98" t="s">
        <v>6351</v>
      </c>
    </row>
    <row r="1837" spans="1:11" ht="15" customHeight="1" x14ac:dyDescent="0.2">
      <c r="A1837" s="120" t="s">
        <v>6352</v>
      </c>
      <c r="B1837" s="120" t="s">
        <v>3532</v>
      </c>
      <c r="C1837" s="98" t="s">
        <v>3533</v>
      </c>
      <c r="D1837" s="120" t="s">
        <v>3563</v>
      </c>
      <c r="E1837" s="98">
        <v>0.22046499999999999</v>
      </c>
      <c r="F1837" s="120">
        <v>0</v>
      </c>
      <c r="G1837" s="121">
        <v>253105</v>
      </c>
      <c r="H1837" s="123">
        <v>0.22046499999999999</v>
      </c>
      <c r="I1837" s="122">
        <v>55800.793825000001</v>
      </c>
      <c r="J1837" s="124">
        <f t="shared" si="28"/>
        <v>220.465</v>
      </c>
    </row>
    <row r="1838" spans="1:11" ht="15" customHeight="1" x14ac:dyDescent="0.2">
      <c r="A1838" s="120" t="s">
        <v>6353</v>
      </c>
      <c r="B1838" s="120" t="s">
        <v>2198</v>
      </c>
      <c r="C1838" s="98" t="s">
        <v>3533</v>
      </c>
      <c r="D1838" s="120" t="s">
        <v>3563</v>
      </c>
      <c r="E1838" s="98">
        <v>2.4250000000000001E-3</v>
      </c>
      <c r="F1838" s="120">
        <v>0</v>
      </c>
      <c r="G1838" s="121">
        <v>22680</v>
      </c>
      <c r="H1838" s="123">
        <v>2.4250000000000001E-3</v>
      </c>
      <c r="I1838" s="122">
        <v>54.999000000000002</v>
      </c>
      <c r="J1838" s="124">
        <f t="shared" si="28"/>
        <v>2.4250000000000003</v>
      </c>
      <c r="K1838" s="98" t="s">
        <v>6354</v>
      </c>
    </row>
    <row r="1839" spans="1:11" ht="15" customHeight="1" x14ac:dyDescent="0.2">
      <c r="A1839" s="120" t="s">
        <v>6355</v>
      </c>
      <c r="B1839" s="120" t="s">
        <v>4720</v>
      </c>
      <c r="C1839" s="98" t="s">
        <v>3533</v>
      </c>
      <c r="D1839" s="120" t="s">
        <v>3563</v>
      </c>
      <c r="E1839" s="98">
        <v>5.4673721340387997E-2</v>
      </c>
      <c r="F1839" s="120">
        <v>0</v>
      </c>
      <c r="G1839" s="121">
        <v>18225</v>
      </c>
      <c r="H1839" s="123">
        <v>5.4674E-2</v>
      </c>
      <c r="I1839" s="122">
        <v>996.43365000000006</v>
      </c>
      <c r="J1839" s="124">
        <f t="shared" si="28"/>
        <v>54.673721340387999</v>
      </c>
      <c r="K1839" s="98" t="s">
        <v>5298</v>
      </c>
    </row>
    <row r="1840" spans="1:11" ht="15" customHeight="1" x14ac:dyDescent="0.2">
      <c r="A1840" s="120" t="s">
        <v>6356</v>
      </c>
      <c r="B1840" s="120" t="s">
        <v>5939</v>
      </c>
      <c r="C1840" s="98" t="s">
        <v>3533</v>
      </c>
      <c r="D1840" s="120" t="s">
        <v>3563</v>
      </c>
      <c r="E1840" s="98">
        <v>2.8500000000000001E-2</v>
      </c>
      <c r="F1840" s="120">
        <v>0</v>
      </c>
      <c r="G1840" s="121">
        <v>25000</v>
      </c>
      <c r="H1840" s="123">
        <v>2.8500000000000001E-2</v>
      </c>
      <c r="I1840" s="122">
        <v>712.5</v>
      </c>
      <c r="J1840" s="124">
        <f t="shared" si="28"/>
        <v>28.5</v>
      </c>
      <c r="K1840" s="98" t="s">
        <v>6357</v>
      </c>
    </row>
    <row r="1841" spans="1:11" ht="15" customHeight="1" x14ac:dyDescent="0.2">
      <c r="A1841" s="120" t="s">
        <v>6358</v>
      </c>
      <c r="B1841" s="120" t="s">
        <v>6359</v>
      </c>
      <c r="C1841" s="98" t="s">
        <v>3533</v>
      </c>
      <c r="D1841" s="120" t="s">
        <v>3563</v>
      </c>
      <c r="E1841" s="98">
        <v>0.06</v>
      </c>
      <c r="F1841" s="120">
        <v>0</v>
      </c>
      <c r="G1841" s="121">
        <v>140000</v>
      </c>
      <c r="H1841" s="123">
        <v>0.06</v>
      </c>
      <c r="I1841" s="122">
        <v>8400</v>
      </c>
      <c r="J1841" s="124">
        <f t="shared" si="28"/>
        <v>60</v>
      </c>
      <c r="K1841" s="98" t="s">
        <v>6360</v>
      </c>
    </row>
    <row r="1842" spans="1:11" ht="15" customHeight="1" x14ac:dyDescent="0.2">
      <c r="A1842" s="120" t="s">
        <v>6361</v>
      </c>
      <c r="B1842" s="120" t="s">
        <v>6359</v>
      </c>
      <c r="C1842" s="98" t="s">
        <v>3533</v>
      </c>
      <c r="D1842" s="120" t="s">
        <v>3563</v>
      </c>
      <c r="E1842" s="98">
        <v>0.155</v>
      </c>
      <c r="F1842" s="120">
        <v>0</v>
      </c>
      <c r="G1842" s="121">
        <v>19428</v>
      </c>
      <c r="H1842" s="123">
        <v>0.155</v>
      </c>
      <c r="I1842" s="122">
        <v>3011.34</v>
      </c>
      <c r="J1842" s="124">
        <f t="shared" si="28"/>
        <v>155</v>
      </c>
      <c r="K1842" s="98" t="s">
        <v>6362</v>
      </c>
    </row>
    <row r="1843" spans="1:11" ht="15" customHeight="1" x14ac:dyDescent="0.2">
      <c r="A1843" s="120" t="s">
        <v>6363</v>
      </c>
      <c r="B1843" s="120" t="s">
        <v>5768</v>
      </c>
      <c r="C1843" s="98" t="s">
        <v>3533</v>
      </c>
      <c r="D1843" s="120" t="s">
        <v>3563</v>
      </c>
      <c r="E1843" s="98">
        <v>2.5000000000000001E-2</v>
      </c>
      <c r="F1843" s="120">
        <v>0</v>
      </c>
      <c r="G1843" s="121">
        <v>16900</v>
      </c>
      <c r="H1843" s="123">
        <v>2.5000000000000001E-2</v>
      </c>
      <c r="I1843" s="122">
        <v>422.5</v>
      </c>
      <c r="J1843" s="124">
        <f t="shared" si="28"/>
        <v>25</v>
      </c>
      <c r="K1843" s="98" t="s">
        <v>6364</v>
      </c>
    </row>
    <row r="1844" spans="1:11" ht="15" customHeight="1" x14ac:dyDescent="0.2">
      <c r="A1844" s="120" t="s">
        <v>6365</v>
      </c>
      <c r="B1844" s="120" t="s">
        <v>5438</v>
      </c>
      <c r="C1844" s="98" t="s">
        <v>3533</v>
      </c>
      <c r="D1844" s="120" t="s">
        <v>3563</v>
      </c>
      <c r="E1844" s="98">
        <v>4.5999999999999999E-2</v>
      </c>
      <c r="F1844" s="120">
        <v>0</v>
      </c>
      <c r="G1844" s="121">
        <v>0</v>
      </c>
      <c r="H1844" s="123">
        <v>4.5999999999999999E-2</v>
      </c>
      <c r="I1844" s="122">
        <v>0</v>
      </c>
      <c r="J1844" s="124">
        <f t="shared" si="28"/>
        <v>46</v>
      </c>
      <c r="K1844" s="98" t="s">
        <v>6366</v>
      </c>
    </row>
    <row r="1845" spans="1:11" ht="15" customHeight="1" x14ac:dyDescent="0.2">
      <c r="A1845" s="120" t="s">
        <v>6367</v>
      </c>
      <c r="B1845" s="120" t="s">
        <v>5438</v>
      </c>
      <c r="C1845" s="98" t="s">
        <v>3533</v>
      </c>
      <c r="D1845" s="120" t="s">
        <v>3563</v>
      </c>
      <c r="E1845" s="98">
        <v>5.5E-2</v>
      </c>
      <c r="F1845" s="120">
        <v>0</v>
      </c>
      <c r="G1845" s="121">
        <v>0</v>
      </c>
      <c r="H1845" s="123">
        <v>5.5E-2</v>
      </c>
      <c r="I1845" s="122">
        <v>0</v>
      </c>
      <c r="J1845" s="124">
        <f t="shared" si="28"/>
        <v>55</v>
      </c>
      <c r="K1845" s="98" t="s">
        <v>6368</v>
      </c>
    </row>
    <row r="1846" spans="1:11" ht="15" customHeight="1" x14ac:dyDescent="0.2">
      <c r="A1846" s="120" t="s">
        <v>6369</v>
      </c>
      <c r="B1846" s="120" t="s">
        <v>6370</v>
      </c>
      <c r="C1846" s="98" t="s">
        <v>3533</v>
      </c>
      <c r="D1846" s="120" t="s">
        <v>3563</v>
      </c>
      <c r="E1846" s="98">
        <v>0</v>
      </c>
      <c r="F1846" s="120">
        <v>0</v>
      </c>
      <c r="G1846" s="121">
        <v>0</v>
      </c>
      <c r="H1846" s="123">
        <v>0</v>
      </c>
      <c r="I1846" s="122">
        <v>0</v>
      </c>
      <c r="J1846" s="124">
        <f t="shared" si="28"/>
        <v>0</v>
      </c>
      <c r="K1846" s="98" t="s">
        <v>6371</v>
      </c>
    </row>
    <row r="1847" spans="1:11" ht="15" customHeight="1" x14ac:dyDescent="0.2">
      <c r="A1847" s="120" t="s">
        <v>6372</v>
      </c>
      <c r="B1847" s="120" t="s">
        <v>4720</v>
      </c>
      <c r="C1847" s="98" t="s">
        <v>3533</v>
      </c>
      <c r="D1847" s="120" t="s">
        <v>3563</v>
      </c>
      <c r="E1847" s="98">
        <v>3.8800705467372097E-2</v>
      </c>
      <c r="F1847" s="120">
        <v>0</v>
      </c>
      <c r="G1847" s="121">
        <v>15010</v>
      </c>
      <c r="H1847" s="123">
        <v>3.8801000000000002E-2</v>
      </c>
      <c r="I1847" s="122">
        <v>582.40300999999999</v>
      </c>
      <c r="J1847" s="124">
        <f t="shared" si="28"/>
        <v>38.800705467372097</v>
      </c>
    </row>
    <row r="1848" spans="1:11" ht="15" customHeight="1" x14ac:dyDescent="0.2">
      <c r="A1848" s="120" t="s">
        <v>6373</v>
      </c>
      <c r="B1848" s="120" t="s">
        <v>4720</v>
      </c>
      <c r="C1848" s="98" t="s">
        <v>3533</v>
      </c>
      <c r="D1848" s="120" t="s">
        <v>3563</v>
      </c>
      <c r="E1848" s="98">
        <v>2.5329999999999998E-2</v>
      </c>
      <c r="F1848" s="120">
        <v>0</v>
      </c>
      <c r="G1848" s="121">
        <v>0</v>
      </c>
      <c r="H1848" s="123">
        <v>2.5329999999999998E-2</v>
      </c>
      <c r="I1848" s="122">
        <v>0</v>
      </c>
      <c r="J1848" s="124">
        <f t="shared" si="28"/>
        <v>25.33</v>
      </c>
    </row>
    <row r="1849" spans="1:11" ht="15" customHeight="1" x14ac:dyDescent="0.2">
      <c r="A1849" s="120" t="s">
        <v>6374</v>
      </c>
      <c r="B1849" s="120" t="s">
        <v>4720</v>
      </c>
      <c r="C1849" s="98" t="s">
        <v>3533</v>
      </c>
      <c r="D1849" s="120" t="s">
        <v>3563</v>
      </c>
      <c r="E1849" s="98">
        <v>3.7879999999999997E-2</v>
      </c>
      <c r="F1849" s="120">
        <v>0</v>
      </c>
      <c r="G1849" s="121">
        <v>0</v>
      </c>
      <c r="H1849" s="123">
        <v>3.7879999999999997E-2</v>
      </c>
      <c r="I1849" s="122">
        <v>0</v>
      </c>
      <c r="J1849" s="124">
        <f t="shared" si="28"/>
        <v>37.879999999999995</v>
      </c>
      <c r="K1849" s="98" t="s">
        <v>6375</v>
      </c>
    </row>
    <row r="1850" spans="1:11" ht="15" customHeight="1" x14ac:dyDescent="0.2">
      <c r="A1850" s="120" t="s">
        <v>6376</v>
      </c>
      <c r="B1850" s="120" t="s">
        <v>2215</v>
      </c>
      <c r="C1850" s="98" t="s">
        <v>3533</v>
      </c>
      <c r="D1850" s="120" t="s">
        <v>3563</v>
      </c>
      <c r="E1850" s="98">
        <v>0.19</v>
      </c>
      <c r="F1850" s="120">
        <v>0</v>
      </c>
      <c r="G1850" s="121">
        <v>39390</v>
      </c>
      <c r="H1850" s="123">
        <v>0.19</v>
      </c>
      <c r="I1850" s="122">
        <v>7484.1</v>
      </c>
      <c r="J1850" s="124">
        <f t="shared" si="28"/>
        <v>190</v>
      </c>
      <c r="K1850" s="98" t="s">
        <v>6026</v>
      </c>
    </row>
    <row r="1851" spans="1:11" ht="15" customHeight="1" x14ac:dyDescent="0.2">
      <c r="A1851" s="120" t="s">
        <v>6377</v>
      </c>
      <c r="B1851" s="120" t="s">
        <v>3532</v>
      </c>
      <c r="C1851" s="98" t="s">
        <v>3533</v>
      </c>
      <c r="D1851" s="120" t="s">
        <v>3563</v>
      </c>
      <c r="E1851" s="98">
        <v>4.9869999999999998E-2</v>
      </c>
      <c r="F1851" s="120">
        <v>0</v>
      </c>
      <c r="G1851" s="121">
        <v>0</v>
      </c>
      <c r="H1851" s="123">
        <v>4.9869999999999998E-2</v>
      </c>
      <c r="I1851" s="122">
        <v>0</v>
      </c>
      <c r="J1851" s="124">
        <f t="shared" si="28"/>
        <v>49.87</v>
      </c>
    </row>
    <row r="1852" spans="1:11" ht="15" customHeight="1" x14ac:dyDescent="0.2">
      <c r="A1852" s="120" t="s">
        <v>6378</v>
      </c>
      <c r="B1852" s="120" t="s">
        <v>2215</v>
      </c>
      <c r="C1852" s="98" t="s">
        <v>3533</v>
      </c>
      <c r="D1852" s="120" t="s">
        <v>3563</v>
      </c>
      <c r="E1852" s="98">
        <v>0.18</v>
      </c>
      <c r="F1852" s="120">
        <v>0</v>
      </c>
      <c r="G1852" s="121">
        <v>1382</v>
      </c>
      <c r="H1852" s="123">
        <v>0.18</v>
      </c>
      <c r="I1852" s="122">
        <v>248.76</v>
      </c>
      <c r="J1852" s="124">
        <f t="shared" si="28"/>
        <v>180</v>
      </c>
      <c r="K1852" s="98" t="s">
        <v>6379</v>
      </c>
    </row>
    <row r="1853" spans="1:11" ht="15" customHeight="1" x14ac:dyDescent="0.2">
      <c r="A1853" s="120" t="s">
        <v>6380</v>
      </c>
      <c r="B1853" s="120" t="s">
        <v>6381</v>
      </c>
      <c r="C1853" s="98" t="s">
        <v>3533</v>
      </c>
      <c r="D1853" s="120" t="s">
        <v>3563</v>
      </c>
      <c r="E1853" s="98">
        <v>0.15</v>
      </c>
      <c r="F1853" s="120">
        <v>0</v>
      </c>
      <c r="G1853" s="121">
        <v>18240</v>
      </c>
      <c r="H1853" s="123">
        <v>0.15</v>
      </c>
      <c r="I1853" s="122">
        <v>2736</v>
      </c>
      <c r="J1853" s="124">
        <f t="shared" si="28"/>
        <v>150</v>
      </c>
      <c r="K1853" s="98" t="s">
        <v>6382</v>
      </c>
    </row>
    <row r="1854" spans="1:11" ht="15" customHeight="1" x14ac:dyDescent="0.2">
      <c r="A1854" s="120" t="s">
        <v>6383</v>
      </c>
      <c r="B1854" s="120" t="s">
        <v>5076</v>
      </c>
      <c r="C1854" s="98" t="s">
        <v>3533</v>
      </c>
      <c r="D1854" s="120" t="s">
        <v>3563</v>
      </c>
      <c r="E1854" s="98">
        <v>5.4012345679012299E-3</v>
      </c>
      <c r="F1854" s="120">
        <v>0</v>
      </c>
      <c r="G1854" s="121">
        <v>173890</v>
      </c>
      <c r="H1854" s="123">
        <v>5.4010000000000004E-3</v>
      </c>
      <c r="I1854" s="122">
        <v>939.17989000000011</v>
      </c>
      <c r="J1854" s="124">
        <f t="shared" si="28"/>
        <v>5.4012345679012297</v>
      </c>
    </row>
    <row r="1855" spans="1:11" ht="15" customHeight="1" x14ac:dyDescent="0.2">
      <c r="A1855" s="120" t="s">
        <v>6384</v>
      </c>
      <c r="B1855" s="120" t="s">
        <v>6149</v>
      </c>
      <c r="C1855" s="98" t="s">
        <v>3533</v>
      </c>
      <c r="D1855" s="120" t="s">
        <v>3563</v>
      </c>
      <c r="E1855" s="98">
        <v>5.9069999999999998E-2</v>
      </c>
      <c r="F1855" s="120">
        <v>0</v>
      </c>
      <c r="G1855" s="121">
        <v>16690</v>
      </c>
      <c r="H1855" s="123">
        <v>5.9069999999999998E-2</v>
      </c>
      <c r="I1855" s="122">
        <v>985.87829999999997</v>
      </c>
      <c r="J1855" s="124">
        <f t="shared" si="28"/>
        <v>59.07</v>
      </c>
      <c r="K1855" s="98" t="s">
        <v>6385</v>
      </c>
    </row>
    <row r="1856" spans="1:11" ht="15" customHeight="1" x14ac:dyDescent="0.2">
      <c r="A1856" s="120" t="s">
        <v>6386</v>
      </c>
      <c r="B1856" s="120" t="s">
        <v>6387</v>
      </c>
      <c r="C1856" s="98" t="s">
        <v>3533</v>
      </c>
      <c r="D1856" s="120" t="s">
        <v>3563</v>
      </c>
      <c r="E1856" s="98">
        <v>0.188</v>
      </c>
      <c r="F1856" s="120">
        <v>0</v>
      </c>
      <c r="G1856" s="121">
        <v>0</v>
      </c>
      <c r="H1856" s="123">
        <v>0.188</v>
      </c>
      <c r="I1856" s="122">
        <v>0</v>
      </c>
      <c r="J1856" s="124">
        <f t="shared" si="28"/>
        <v>188</v>
      </c>
    </row>
    <row r="1857" spans="1:11" ht="15" customHeight="1" x14ac:dyDescent="0.2">
      <c r="A1857" s="120" t="s">
        <v>6388</v>
      </c>
      <c r="B1857" s="120" t="s">
        <v>4720</v>
      </c>
      <c r="C1857" s="98" t="s">
        <v>3533</v>
      </c>
      <c r="D1857" s="120" t="s">
        <v>3563</v>
      </c>
      <c r="E1857" s="98">
        <v>0</v>
      </c>
      <c r="F1857" s="120">
        <v>0</v>
      </c>
      <c r="G1857" s="121">
        <v>0</v>
      </c>
      <c r="H1857" s="123">
        <v>0</v>
      </c>
      <c r="I1857" s="122">
        <v>0</v>
      </c>
      <c r="J1857" s="124">
        <f t="shared" si="28"/>
        <v>0</v>
      </c>
    </row>
    <row r="1858" spans="1:11" ht="15" customHeight="1" x14ac:dyDescent="0.2">
      <c r="A1858" s="120" t="s">
        <v>6389</v>
      </c>
      <c r="B1858" s="120" t="s">
        <v>6390</v>
      </c>
      <c r="C1858" s="98" t="s">
        <v>3533</v>
      </c>
      <c r="D1858" s="120" t="s">
        <v>3563</v>
      </c>
      <c r="E1858" s="98">
        <v>8.4799999999999997E-3</v>
      </c>
      <c r="F1858" s="120">
        <v>0</v>
      </c>
      <c r="G1858" s="121">
        <v>0</v>
      </c>
      <c r="H1858" s="123">
        <v>8.4799999999999997E-3</v>
      </c>
      <c r="I1858" s="122">
        <v>0</v>
      </c>
      <c r="J1858" s="124">
        <f t="shared" ref="J1858:J1921" si="29">IF(D1858="gm", E1858*1000,+E1858)</f>
        <v>8.48</v>
      </c>
    </row>
    <row r="1859" spans="1:11" ht="15" customHeight="1" x14ac:dyDescent="0.2">
      <c r="A1859" s="120" t="s">
        <v>6391</v>
      </c>
      <c r="B1859" s="120" t="s">
        <v>6080</v>
      </c>
      <c r="C1859" s="98" t="s">
        <v>3533</v>
      </c>
      <c r="D1859" s="120" t="s">
        <v>3563</v>
      </c>
      <c r="E1859" s="98">
        <v>1.116E-2</v>
      </c>
      <c r="F1859" s="120">
        <v>0</v>
      </c>
      <c r="G1859" s="121">
        <v>107875</v>
      </c>
      <c r="H1859" s="123">
        <v>1.116E-2</v>
      </c>
      <c r="I1859" s="122">
        <v>1203.885</v>
      </c>
      <c r="J1859" s="124">
        <f t="shared" si="29"/>
        <v>11.16</v>
      </c>
      <c r="K1859" s="98" t="s">
        <v>6392</v>
      </c>
    </row>
    <row r="1860" spans="1:11" ht="15" customHeight="1" x14ac:dyDescent="0.2">
      <c r="A1860" s="120" t="s">
        <v>6393</v>
      </c>
      <c r="B1860" s="120" t="s">
        <v>5768</v>
      </c>
      <c r="C1860" s="98" t="s">
        <v>3533</v>
      </c>
      <c r="D1860" s="120" t="s">
        <v>3563</v>
      </c>
      <c r="E1860" s="98">
        <v>1.7999999999999999E-2</v>
      </c>
      <c r="F1860" s="120">
        <v>0</v>
      </c>
      <c r="G1860" s="121">
        <v>3465</v>
      </c>
      <c r="H1860" s="123">
        <v>1.7999999999999999E-2</v>
      </c>
      <c r="I1860" s="122">
        <v>62.37</v>
      </c>
      <c r="J1860" s="124">
        <f t="shared" si="29"/>
        <v>18</v>
      </c>
    </row>
    <row r="1861" spans="1:11" ht="15" customHeight="1" x14ac:dyDescent="0.2">
      <c r="A1861" s="120" t="s">
        <v>6394</v>
      </c>
      <c r="B1861" s="120" t="s">
        <v>2254</v>
      </c>
      <c r="C1861" s="98" t="s">
        <v>3532</v>
      </c>
      <c r="D1861" s="120" t="s">
        <v>3563</v>
      </c>
      <c r="E1861" s="98">
        <v>4.5499999999999999E-2</v>
      </c>
      <c r="F1861" s="120">
        <v>0</v>
      </c>
      <c r="G1861" s="121">
        <v>28775</v>
      </c>
      <c r="H1861" s="123">
        <v>4.5499999999999999E-2</v>
      </c>
      <c r="I1861" s="122">
        <v>1309.2625</v>
      </c>
      <c r="J1861" s="124">
        <f t="shared" si="29"/>
        <v>45.5</v>
      </c>
    </row>
    <row r="1862" spans="1:11" ht="15" customHeight="1" x14ac:dyDescent="0.2">
      <c r="A1862" s="120" t="s">
        <v>6395</v>
      </c>
      <c r="B1862" s="120" t="s">
        <v>2198</v>
      </c>
      <c r="C1862" s="98" t="s">
        <v>3533</v>
      </c>
      <c r="D1862" s="120" t="s">
        <v>3563</v>
      </c>
      <c r="E1862" s="98">
        <v>0.125</v>
      </c>
      <c r="F1862" s="120">
        <v>0</v>
      </c>
      <c r="G1862" s="121">
        <v>18075</v>
      </c>
      <c r="H1862" s="123">
        <v>0.125</v>
      </c>
      <c r="I1862" s="122">
        <v>2259.375</v>
      </c>
      <c r="J1862" s="124">
        <f t="shared" si="29"/>
        <v>125</v>
      </c>
    </row>
    <row r="1863" spans="1:11" ht="15" customHeight="1" x14ac:dyDescent="0.2">
      <c r="A1863" s="120" t="s">
        <v>6396</v>
      </c>
      <c r="B1863" s="120" t="s">
        <v>5768</v>
      </c>
      <c r="C1863" s="98" t="s">
        <v>3533</v>
      </c>
      <c r="D1863" s="120" t="s">
        <v>3563</v>
      </c>
      <c r="E1863" s="98">
        <v>0</v>
      </c>
      <c r="F1863" s="120">
        <v>0</v>
      </c>
      <c r="G1863" s="121">
        <v>1901</v>
      </c>
      <c r="H1863" s="123">
        <v>0</v>
      </c>
      <c r="I1863" s="122">
        <v>0</v>
      </c>
      <c r="J1863" s="124">
        <f t="shared" si="29"/>
        <v>0</v>
      </c>
      <c r="K1863" s="98" t="s">
        <v>6397</v>
      </c>
    </row>
    <row r="1864" spans="1:11" ht="15" customHeight="1" x14ac:dyDescent="0.2">
      <c r="A1864" s="120" t="s">
        <v>6398</v>
      </c>
      <c r="B1864" s="120" t="s">
        <v>4688</v>
      </c>
      <c r="C1864" s="98" t="s">
        <v>3533</v>
      </c>
      <c r="D1864" s="120" t="s">
        <v>3563</v>
      </c>
      <c r="E1864" s="98">
        <v>4.6772000000000001E-2</v>
      </c>
      <c r="F1864" s="120">
        <v>0</v>
      </c>
      <c r="G1864" s="121">
        <v>57098</v>
      </c>
      <c r="H1864" s="123">
        <v>4.6772000000000001E-2</v>
      </c>
      <c r="I1864" s="122">
        <v>2670.5876560000002</v>
      </c>
      <c r="J1864" s="124">
        <f t="shared" si="29"/>
        <v>46.771999999999998</v>
      </c>
      <c r="K1864" s="98" t="s">
        <v>6399</v>
      </c>
    </row>
    <row r="1865" spans="1:11" ht="15" customHeight="1" x14ac:dyDescent="0.2">
      <c r="A1865" s="120" t="s">
        <v>6400</v>
      </c>
      <c r="B1865" s="120" t="s">
        <v>4720</v>
      </c>
      <c r="C1865" s="98" t="s">
        <v>3533</v>
      </c>
      <c r="D1865" s="120" t="s">
        <v>3563</v>
      </c>
      <c r="E1865" s="98">
        <v>3.7919000000000001E-2</v>
      </c>
      <c r="F1865" s="120">
        <v>0</v>
      </c>
      <c r="G1865" s="121">
        <v>22480</v>
      </c>
      <c r="H1865" s="123">
        <v>3.7919000000000001E-2</v>
      </c>
      <c r="I1865" s="122">
        <v>852.41912000000002</v>
      </c>
      <c r="J1865" s="124">
        <f t="shared" si="29"/>
        <v>37.919000000000004</v>
      </c>
      <c r="K1865" s="98" t="s">
        <v>6401</v>
      </c>
    </row>
    <row r="1866" spans="1:11" ht="15" customHeight="1" x14ac:dyDescent="0.2">
      <c r="A1866" s="120" t="s">
        <v>6402</v>
      </c>
      <c r="B1866" s="120" t="s">
        <v>2184</v>
      </c>
      <c r="C1866" s="98" t="s">
        <v>3533</v>
      </c>
      <c r="D1866" s="120" t="s">
        <v>3563</v>
      </c>
      <c r="E1866" s="98">
        <v>2.1999999999999999E-2</v>
      </c>
      <c r="F1866" s="120">
        <v>0</v>
      </c>
      <c r="G1866" s="121">
        <v>0</v>
      </c>
      <c r="H1866" s="123">
        <v>2.1999999999999999E-2</v>
      </c>
      <c r="I1866" s="122">
        <v>0</v>
      </c>
      <c r="J1866" s="124">
        <f t="shared" si="29"/>
        <v>22</v>
      </c>
      <c r="K1866" s="98" t="s">
        <v>6259</v>
      </c>
    </row>
    <row r="1867" spans="1:11" ht="15" customHeight="1" x14ac:dyDescent="0.2">
      <c r="A1867" s="120" t="s">
        <v>6403</v>
      </c>
      <c r="B1867" s="120" t="s">
        <v>6404</v>
      </c>
      <c r="C1867" s="98" t="s">
        <v>3533</v>
      </c>
      <c r="D1867" s="120" t="s">
        <v>3563</v>
      </c>
      <c r="E1867" s="98">
        <v>6.3E-3</v>
      </c>
      <c r="F1867" s="120">
        <v>0</v>
      </c>
      <c r="G1867" s="121">
        <v>0</v>
      </c>
      <c r="H1867" s="123">
        <v>6.3E-3</v>
      </c>
      <c r="I1867" s="122">
        <v>0</v>
      </c>
      <c r="J1867" s="124">
        <f t="shared" si="29"/>
        <v>6.3</v>
      </c>
      <c r="K1867" s="98" t="s">
        <v>6405</v>
      </c>
    </row>
    <row r="1868" spans="1:11" ht="15" customHeight="1" x14ac:dyDescent="0.2">
      <c r="A1868" s="120" t="s">
        <v>6406</v>
      </c>
      <c r="B1868" s="120" t="s">
        <v>5794</v>
      </c>
      <c r="C1868" s="98" t="s">
        <v>3533</v>
      </c>
      <c r="D1868" s="120" t="s">
        <v>3563</v>
      </c>
      <c r="E1868" s="98">
        <v>0.06</v>
      </c>
      <c r="F1868" s="120">
        <v>0</v>
      </c>
      <c r="G1868" s="121">
        <v>34155</v>
      </c>
      <c r="H1868" s="123">
        <v>0.06</v>
      </c>
      <c r="I1868" s="122">
        <v>2049.2999999999997</v>
      </c>
      <c r="J1868" s="124">
        <f t="shared" si="29"/>
        <v>60</v>
      </c>
      <c r="K1868" s="98" t="s">
        <v>2387</v>
      </c>
    </row>
    <row r="1869" spans="1:11" ht="15" customHeight="1" x14ac:dyDescent="0.2">
      <c r="A1869" s="120" t="s">
        <v>6407</v>
      </c>
      <c r="B1869" s="120" t="s">
        <v>6199</v>
      </c>
      <c r="C1869" s="98" t="s">
        <v>3533</v>
      </c>
      <c r="D1869" s="120" t="s">
        <v>3563</v>
      </c>
      <c r="E1869" s="98">
        <v>3.3936000000000001E-2</v>
      </c>
      <c r="F1869" s="120">
        <v>0</v>
      </c>
      <c r="G1869" s="121">
        <v>12150</v>
      </c>
      <c r="H1869" s="123">
        <v>3.3936000000000001E-2</v>
      </c>
      <c r="I1869" s="122">
        <v>412.32240000000002</v>
      </c>
      <c r="J1869" s="124">
        <f t="shared" si="29"/>
        <v>33.936</v>
      </c>
    </row>
    <row r="1870" spans="1:11" ht="15" customHeight="1" x14ac:dyDescent="0.2">
      <c r="A1870" s="120" t="s">
        <v>6408</v>
      </c>
      <c r="B1870" s="120" t="s">
        <v>5216</v>
      </c>
      <c r="C1870" s="98" t="s">
        <v>3533</v>
      </c>
      <c r="D1870" s="120" t="s">
        <v>3563</v>
      </c>
      <c r="E1870" s="98">
        <v>2.1999999999999999E-2</v>
      </c>
      <c r="F1870" s="120">
        <v>0</v>
      </c>
      <c r="G1870" s="121">
        <v>17255</v>
      </c>
      <c r="H1870" s="123">
        <v>2.1999999999999999E-2</v>
      </c>
      <c r="I1870" s="122">
        <v>379.60999999999996</v>
      </c>
      <c r="J1870" s="124">
        <f t="shared" si="29"/>
        <v>22</v>
      </c>
      <c r="K1870" s="98" t="s">
        <v>2387</v>
      </c>
    </row>
    <row r="1871" spans="1:11" ht="15" customHeight="1" x14ac:dyDescent="0.2">
      <c r="A1871" s="120" t="s">
        <v>6409</v>
      </c>
      <c r="B1871" s="120" t="s">
        <v>5072</v>
      </c>
      <c r="C1871" s="98" t="s">
        <v>3533</v>
      </c>
      <c r="D1871" s="120" t="s">
        <v>3563</v>
      </c>
      <c r="E1871" s="98">
        <v>2.9000000000000001E-2</v>
      </c>
      <c r="F1871" s="120">
        <v>0</v>
      </c>
      <c r="G1871" s="121">
        <v>260</v>
      </c>
      <c r="H1871" s="123">
        <v>2.9000000000000001E-2</v>
      </c>
      <c r="I1871" s="122">
        <v>7.54</v>
      </c>
      <c r="J1871" s="124">
        <f t="shared" si="29"/>
        <v>29</v>
      </c>
      <c r="K1871" s="98" t="s">
        <v>6410</v>
      </c>
    </row>
    <row r="1872" spans="1:11" ht="15" customHeight="1" x14ac:dyDescent="0.2">
      <c r="A1872" s="120" t="s">
        <v>6411</v>
      </c>
      <c r="B1872" s="120" t="s">
        <v>5072</v>
      </c>
      <c r="C1872" s="98" t="s">
        <v>3533</v>
      </c>
      <c r="D1872" s="120" t="s">
        <v>3563</v>
      </c>
      <c r="E1872" s="98">
        <v>2.0500000000000001E-2</v>
      </c>
      <c r="F1872" s="120">
        <v>0</v>
      </c>
      <c r="G1872" s="121">
        <v>22470</v>
      </c>
      <c r="H1872" s="123">
        <v>2.0500000000000001E-2</v>
      </c>
      <c r="I1872" s="122">
        <v>460.63499999999999</v>
      </c>
      <c r="J1872" s="124">
        <f t="shared" si="29"/>
        <v>20.5</v>
      </c>
      <c r="K1872" s="98" t="s">
        <v>6412</v>
      </c>
    </row>
    <row r="1873" spans="1:11" ht="15" customHeight="1" x14ac:dyDescent="0.2">
      <c r="A1873" s="120" t="s">
        <v>6413</v>
      </c>
      <c r="B1873" s="120" t="s">
        <v>5768</v>
      </c>
      <c r="C1873" s="98" t="s">
        <v>3533</v>
      </c>
      <c r="D1873" s="120" t="s">
        <v>3563</v>
      </c>
      <c r="E1873" s="98">
        <v>3.5000000000000003E-2</v>
      </c>
      <c r="F1873" s="120">
        <v>0</v>
      </c>
      <c r="G1873" s="121">
        <v>0</v>
      </c>
      <c r="H1873" s="123">
        <v>3.5000000000000003E-2</v>
      </c>
      <c r="I1873" s="122">
        <v>0</v>
      </c>
      <c r="J1873" s="124">
        <f t="shared" si="29"/>
        <v>35</v>
      </c>
      <c r="K1873" s="98" t="s">
        <v>6078</v>
      </c>
    </row>
    <row r="1874" spans="1:11" ht="15" customHeight="1" x14ac:dyDescent="0.2">
      <c r="A1874" s="120" t="s">
        <v>6414</v>
      </c>
      <c r="B1874" s="120" t="s">
        <v>5082</v>
      </c>
      <c r="C1874" s="98" t="s">
        <v>3533</v>
      </c>
      <c r="D1874" s="120" t="s">
        <v>3563</v>
      </c>
      <c r="E1874" s="98">
        <v>4.8000000000000001E-2</v>
      </c>
      <c r="F1874" s="120">
        <v>0</v>
      </c>
      <c r="G1874" s="121">
        <v>0</v>
      </c>
      <c r="H1874" s="123">
        <v>4.8000000000000001E-2</v>
      </c>
      <c r="I1874" s="122">
        <v>0</v>
      </c>
      <c r="J1874" s="124">
        <f t="shared" si="29"/>
        <v>48</v>
      </c>
      <c r="K1874" s="98" t="s">
        <v>6415</v>
      </c>
    </row>
    <row r="1875" spans="1:11" ht="15" customHeight="1" x14ac:dyDescent="0.2">
      <c r="A1875" s="120" t="s">
        <v>6416</v>
      </c>
      <c r="B1875" s="120" t="s">
        <v>5072</v>
      </c>
      <c r="C1875" s="98" t="s">
        <v>3533</v>
      </c>
      <c r="D1875" s="120" t="s">
        <v>3563</v>
      </c>
      <c r="E1875" s="98">
        <v>3.9E-2</v>
      </c>
      <c r="F1875" s="120">
        <v>0</v>
      </c>
      <c r="G1875" s="121">
        <v>11840</v>
      </c>
      <c r="H1875" s="123">
        <v>3.9E-2</v>
      </c>
      <c r="I1875" s="122">
        <v>461.76</v>
      </c>
      <c r="J1875" s="124">
        <f t="shared" si="29"/>
        <v>39</v>
      </c>
      <c r="K1875" s="98" t="s">
        <v>6417</v>
      </c>
    </row>
    <row r="1876" spans="1:11" ht="15" customHeight="1" x14ac:dyDescent="0.2">
      <c r="A1876" s="120" t="s">
        <v>6418</v>
      </c>
      <c r="B1876" s="120" t="s">
        <v>5580</v>
      </c>
      <c r="C1876" s="98" t="s">
        <v>3533</v>
      </c>
      <c r="D1876" s="120" t="s">
        <v>3563</v>
      </c>
      <c r="E1876" s="98">
        <v>0.31724999999999998</v>
      </c>
      <c r="F1876" s="120">
        <v>0</v>
      </c>
      <c r="G1876" s="121">
        <v>8675</v>
      </c>
      <c r="H1876" s="123">
        <v>0.31724999999999998</v>
      </c>
      <c r="I1876" s="122">
        <v>2752.1437499999997</v>
      </c>
      <c r="J1876" s="124">
        <f t="shared" si="29"/>
        <v>317.25</v>
      </c>
      <c r="K1876" s="98" t="s">
        <v>6419</v>
      </c>
    </row>
    <row r="1877" spans="1:11" ht="15" customHeight="1" x14ac:dyDescent="0.2">
      <c r="A1877" s="120" t="s">
        <v>6420</v>
      </c>
      <c r="B1877" s="120" t="s">
        <v>4720</v>
      </c>
      <c r="C1877" s="98" t="s">
        <v>3533</v>
      </c>
      <c r="D1877" s="120" t="s">
        <v>3563</v>
      </c>
      <c r="E1877" s="98">
        <v>4.1005291005291003E-2</v>
      </c>
      <c r="F1877" s="120">
        <v>0</v>
      </c>
      <c r="G1877" s="121">
        <v>61570</v>
      </c>
      <c r="H1877" s="123">
        <v>4.1005E-2</v>
      </c>
      <c r="I1877" s="122">
        <v>2524.67785</v>
      </c>
      <c r="J1877" s="124">
        <f t="shared" si="29"/>
        <v>41.005291005291006</v>
      </c>
      <c r="K1877" s="98" t="s">
        <v>6421</v>
      </c>
    </row>
    <row r="1878" spans="1:11" ht="15" customHeight="1" x14ac:dyDescent="0.2">
      <c r="A1878" s="120" t="s">
        <v>6422</v>
      </c>
      <c r="B1878" s="120" t="s">
        <v>6423</v>
      </c>
      <c r="C1878" s="98" t="s">
        <v>3533</v>
      </c>
      <c r="D1878" s="120" t="s">
        <v>3563</v>
      </c>
      <c r="E1878" s="98">
        <v>0</v>
      </c>
      <c r="F1878" s="120">
        <v>0</v>
      </c>
      <c r="G1878" s="121">
        <v>0</v>
      </c>
      <c r="H1878" s="123">
        <v>0</v>
      </c>
      <c r="I1878" s="122">
        <v>0</v>
      </c>
      <c r="J1878" s="124">
        <f t="shared" si="29"/>
        <v>0</v>
      </c>
      <c r="K1878" s="98" t="s">
        <v>6424</v>
      </c>
    </row>
    <row r="1879" spans="1:11" ht="15" customHeight="1" x14ac:dyDescent="0.2">
      <c r="A1879" s="120" t="s">
        <v>6425</v>
      </c>
      <c r="B1879" s="120" t="s">
        <v>5430</v>
      </c>
      <c r="C1879" s="98" t="s">
        <v>3533</v>
      </c>
      <c r="D1879" s="120" t="s">
        <v>3563</v>
      </c>
      <c r="E1879" s="98">
        <v>5.7999999999999996E-3</v>
      </c>
      <c r="F1879" s="120">
        <v>0</v>
      </c>
      <c r="G1879" s="121">
        <v>1510185</v>
      </c>
      <c r="H1879" s="123">
        <v>5.3439999999999998E-3</v>
      </c>
      <c r="I1879" s="122">
        <v>8070.4286400000001</v>
      </c>
      <c r="J1879" s="124">
        <f t="shared" si="29"/>
        <v>5.8</v>
      </c>
      <c r="K1879" s="98" t="s">
        <v>6426</v>
      </c>
    </row>
    <row r="1880" spans="1:11" ht="15" customHeight="1" x14ac:dyDescent="0.2">
      <c r="A1880" s="120" t="s">
        <v>6427</v>
      </c>
      <c r="B1880" s="120" t="s">
        <v>5072</v>
      </c>
      <c r="C1880" s="98" t="s">
        <v>3533</v>
      </c>
      <c r="D1880" s="120" t="s">
        <v>3563</v>
      </c>
      <c r="E1880" s="98">
        <v>2.5000000000000001E-2</v>
      </c>
      <c r="F1880" s="120">
        <v>0</v>
      </c>
      <c r="G1880" s="121">
        <v>3830</v>
      </c>
      <c r="H1880" s="123">
        <v>2.5000000000000001E-2</v>
      </c>
      <c r="I1880" s="122">
        <v>95.75</v>
      </c>
      <c r="J1880" s="124">
        <f t="shared" si="29"/>
        <v>25</v>
      </c>
      <c r="K1880" s="98" t="s">
        <v>6428</v>
      </c>
    </row>
    <row r="1881" spans="1:11" ht="15" customHeight="1" x14ac:dyDescent="0.2">
      <c r="A1881" s="120" t="s">
        <v>6429</v>
      </c>
      <c r="B1881" s="120" t="s">
        <v>5432</v>
      </c>
      <c r="C1881" s="98" t="s">
        <v>3533</v>
      </c>
      <c r="D1881" s="120" t="s">
        <v>3563</v>
      </c>
      <c r="E1881" s="98">
        <v>6.2989000000000003E-2</v>
      </c>
      <c r="F1881" s="120">
        <v>0</v>
      </c>
      <c r="G1881" s="121">
        <v>0</v>
      </c>
      <c r="H1881" s="123">
        <v>6.2989000000000003E-2</v>
      </c>
      <c r="I1881" s="122">
        <v>0</v>
      </c>
      <c r="J1881" s="124">
        <f t="shared" si="29"/>
        <v>62.989000000000004</v>
      </c>
    </row>
    <row r="1882" spans="1:11" ht="15" customHeight="1" x14ac:dyDescent="0.2">
      <c r="A1882" s="120" t="s">
        <v>6430</v>
      </c>
      <c r="B1882" s="120" t="s">
        <v>6431</v>
      </c>
      <c r="C1882" s="98" t="s">
        <v>3533</v>
      </c>
      <c r="D1882" s="120" t="s">
        <v>3563</v>
      </c>
      <c r="E1882" s="98">
        <v>0.17899999999999999</v>
      </c>
      <c r="F1882" s="120">
        <v>20000</v>
      </c>
      <c r="G1882" s="121">
        <v>85550</v>
      </c>
      <c r="H1882" s="123">
        <v>0.17899999999999999</v>
      </c>
      <c r="I1882" s="122">
        <v>15313.449999999999</v>
      </c>
      <c r="J1882" s="124">
        <f t="shared" si="29"/>
        <v>179</v>
      </c>
      <c r="K1882" s="98" t="s">
        <v>6432</v>
      </c>
    </row>
    <row r="1883" spans="1:11" ht="15" customHeight="1" x14ac:dyDescent="0.2">
      <c r="A1883" s="120" t="s">
        <v>6433</v>
      </c>
      <c r="B1883" s="120" t="s">
        <v>4720</v>
      </c>
      <c r="C1883" s="98" t="s">
        <v>3533</v>
      </c>
      <c r="D1883" s="120" t="s">
        <v>3563</v>
      </c>
      <c r="E1883" s="98">
        <v>3.6816578483245203E-2</v>
      </c>
      <c r="F1883" s="120">
        <v>0</v>
      </c>
      <c r="G1883" s="121">
        <v>50164</v>
      </c>
      <c r="H1883" s="123">
        <v>3.6817000000000003E-2</v>
      </c>
      <c r="I1883" s="122">
        <v>1846.8879880000002</v>
      </c>
      <c r="J1883" s="124">
        <f t="shared" si="29"/>
        <v>36.816578483245202</v>
      </c>
      <c r="K1883" s="98" t="s">
        <v>6434</v>
      </c>
    </row>
    <row r="1884" spans="1:11" ht="15" customHeight="1" x14ac:dyDescent="0.2">
      <c r="A1884" s="120" t="s">
        <v>6435</v>
      </c>
      <c r="B1884" s="120" t="s">
        <v>4720</v>
      </c>
      <c r="C1884" s="98" t="s">
        <v>3533</v>
      </c>
      <c r="D1884" s="120" t="s">
        <v>3563</v>
      </c>
      <c r="E1884" s="98">
        <v>3.8760000000000003E-2</v>
      </c>
      <c r="F1884" s="120">
        <v>0</v>
      </c>
      <c r="G1884" s="121">
        <v>0</v>
      </c>
      <c r="H1884" s="123">
        <v>3.8760000000000003E-2</v>
      </c>
      <c r="I1884" s="122">
        <v>0</v>
      </c>
      <c r="J1884" s="124">
        <f t="shared" si="29"/>
        <v>38.760000000000005</v>
      </c>
    </row>
    <row r="1885" spans="1:11" ht="15" customHeight="1" x14ac:dyDescent="0.2">
      <c r="A1885" s="120" t="s">
        <v>6436</v>
      </c>
      <c r="B1885" s="120" t="s">
        <v>4688</v>
      </c>
      <c r="C1885" s="98" t="s">
        <v>3533</v>
      </c>
      <c r="D1885" s="120" t="s">
        <v>3563</v>
      </c>
      <c r="E1885" s="98">
        <v>5.6382000000000002E-2</v>
      </c>
      <c r="F1885" s="120">
        <v>0</v>
      </c>
      <c r="G1885" s="121">
        <v>8630</v>
      </c>
      <c r="H1885" s="123">
        <v>5.6382000000000002E-2</v>
      </c>
      <c r="I1885" s="122">
        <v>486.57666</v>
      </c>
      <c r="J1885" s="124">
        <f t="shared" si="29"/>
        <v>56.382000000000005</v>
      </c>
    </row>
    <row r="1886" spans="1:11" ht="15" customHeight="1" x14ac:dyDescent="0.2">
      <c r="A1886" s="120" t="s">
        <v>6437</v>
      </c>
      <c r="B1886" s="120" t="s">
        <v>4688</v>
      </c>
      <c r="C1886" s="98" t="s">
        <v>3533</v>
      </c>
      <c r="D1886" s="120" t="s">
        <v>3563</v>
      </c>
      <c r="E1886" s="98">
        <v>4.2764000000000003E-2</v>
      </c>
      <c r="F1886" s="120">
        <v>0</v>
      </c>
      <c r="G1886" s="121">
        <v>10260</v>
      </c>
      <c r="H1886" s="123">
        <v>4.2764000000000003E-2</v>
      </c>
      <c r="I1886" s="122">
        <v>438.75864000000001</v>
      </c>
      <c r="J1886" s="124">
        <f t="shared" si="29"/>
        <v>42.764000000000003</v>
      </c>
      <c r="K1886" s="98" t="s">
        <v>4930</v>
      </c>
    </row>
    <row r="1887" spans="1:11" ht="15" customHeight="1" x14ac:dyDescent="0.2">
      <c r="A1887" s="120" t="s">
        <v>6438</v>
      </c>
      <c r="B1887" s="120" t="s">
        <v>6439</v>
      </c>
      <c r="C1887" s="98" t="s">
        <v>3533</v>
      </c>
      <c r="D1887" s="120" t="s">
        <v>3563</v>
      </c>
      <c r="E1887" s="98">
        <v>4.8509999999999998E-2</v>
      </c>
      <c r="F1887" s="120">
        <v>0</v>
      </c>
      <c r="G1887" s="121">
        <v>0</v>
      </c>
      <c r="H1887" s="123">
        <v>4.8509999999999998E-2</v>
      </c>
      <c r="I1887" s="122">
        <v>0</v>
      </c>
      <c r="J1887" s="124">
        <f t="shared" si="29"/>
        <v>48.51</v>
      </c>
    </row>
    <row r="1888" spans="1:11" ht="15" customHeight="1" x14ac:dyDescent="0.2">
      <c r="A1888" s="120" t="s">
        <v>6440</v>
      </c>
      <c r="B1888" s="120" t="s">
        <v>2254</v>
      </c>
      <c r="C1888" s="98" t="s">
        <v>3533</v>
      </c>
      <c r="D1888" s="120" t="s">
        <v>3563</v>
      </c>
      <c r="E1888" s="98">
        <v>7.1999999999999995E-2</v>
      </c>
      <c r="F1888" s="120">
        <v>0</v>
      </c>
      <c r="G1888" s="121">
        <v>0</v>
      </c>
      <c r="H1888" s="123">
        <v>7.1999999999999995E-2</v>
      </c>
      <c r="I1888" s="122">
        <v>0</v>
      </c>
      <c r="J1888" s="124">
        <f t="shared" si="29"/>
        <v>72</v>
      </c>
      <c r="K1888" s="98" t="s">
        <v>6441</v>
      </c>
    </row>
    <row r="1889" spans="1:11" ht="15" customHeight="1" x14ac:dyDescent="0.2">
      <c r="A1889" s="120" t="s">
        <v>6442</v>
      </c>
      <c r="B1889" s="120" t="s">
        <v>6443</v>
      </c>
      <c r="C1889" s="98" t="s">
        <v>3533</v>
      </c>
      <c r="D1889" s="120" t="s">
        <v>3563</v>
      </c>
      <c r="E1889" s="98">
        <v>1.0489999999999999E-2</v>
      </c>
      <c r="F1889" s="120">
        <v>0</v>
      </c>
      <c r="G1889" s="121">
        <v>3475</v>
      </c>
      <c r="H1889" s="123">
        <v>1.0489999999999999E-2</v>
      </c>
      <c r="I1889" s="122">
        <v>36.452749999999995</v>
      </c>
      <c r="J1889" s="124">
        <f t="shared" si="29"/>
        <v>10.489999999999998</v>
      </c>
      <c r="K1889" s="98" t="s">
        <v>6444</v>
      </c>
    </row>
    <row r="1890" spans="1:11" ht="15" customHeight="1" x14ac:dyDescent="0.2">
      <c r="A1890" s="120" t="s">
        <v>6445</v>
      </c>
      <c r="B1890" s="120" t="s">
        <v>5072</v>
      </c>
      <c r="C1890" s="98" t="s">
        <v>3533</v>
      </c>
      <c r="D1890" s="120" t="s">
        <v>3563</v>
      </c>
      <c r="E1890" s="98">
        <v>2.9000000000000001E-2</v>
      </c>
      <c r="F1890" s="120">
        <v>0</v>
      </c>
      <c r="G1890" s="121">
        <v>2585</v>
      </c>
      <c r="H1890" s="123">
        <v>2.9000000000000001E-2</v>
      </c>
      <c r="I1890" s="122">
        <v>74.965000000000003</v>
      </c>
      <c r="J1890" s="124">
        <f t="shared" si="29"/>
        <v>29</v>
      </c>
      <c r="K1890" s="98" t="s">
        <v>6446</v>
      </c>
    </row>
    <row r="1891" spans="1:11" ht="15" customHeight="1" x14ac:dyDescent="0.2">
      <c r="A1891" s="120" t="s">
        <v>6447</v>
      </c>
      <c r="B1891" s="120" t="s">
        <v>6102</v>
      </c>
      <c r="C1891" s="98" t="s">
        <v>3533</v>
      </c>
      <c r="D1891" s="120" t="s">
        <v>3563</v>
      </c>
      <c r="E1891" s="98">
        <v>0.4</v>
      </c>
      <c r="F1891" s="120">
        <v>0</v>
      </c>
      <c r="G1891" s="121">
        <v>1185</v>
      </c>
      <c r="H1891" s="123">
        <v>0.4</v>
      </c>
      <c r="I1891" s="122">
        <v>474</v>
      </c>
      <c r="J1891" s="124">
        <f t="shared" si="29"/>
        <v>400</v>
      </c>
      <c r="K1891" s="98" t="s">
        <v>6448</v>
      </c>
    </row>
    <row r="1892" spans="1:11" ht="15" customHeight="1" x14ac:dyDescent="0.2">
      <c r="A1892" s="120" t="s">
        <v>6449</v>
      </c>
      <c r="B1892" s="120" t="s">
        <v>2566</v>
      </c>
      <c r="C1892" s="98" t="s">
        <v>3533</v>
      </c>
      <c r="D1892" s="120" t="s">
        <v>3563</v>
      </c>
      <c r="E1892" s="98">
        <v>3.4099999999999998E-2</v>
      </c>
      <c r="F1892" s="120">
        <v>0</v>
      </c>
      <c r="G1892" s="121">
        <v>16135</v>
      </c>
      <c r="H1892" s="123">
        <v>3.4099999999999998E-2</v>
      </c>
      <c r="I1892" s="122">
        <v>550.20349999999996</v>
      </c>
      <c r="J1892" s="124">
        <f t="shared" si="29"/>
        <v>34.1</v>
      </c>
      <c r="K1892" s="98" t="s">
        <v>6450</v>
      </c>
    </row>
    <row r="1893" spans="1:11" ht="15" customHeight="1" x14ac:dyDescent="0.2">
      <c r="A1893" s="120" t="s">
        <v>6451</v>
      </c>
      <c r="B1893" s="120" t="s">
        <v>5182</v>
      </c>
      <c r="C1893" s="98" t="s">
        <v>3533</v>
      </c>
      <c r="D1893" s="120" t="s">
        <v>3563</v>
      </c>
      <c r="E1893" s="98">
        <v>0</v>
      </c>
      <c r="F1893" s="120">
        <v>0</v>
      </c>
      <c r="G1893" s="121">
        <v>0</v>
      </c>
      <c r="H1893" s="123">
        <v>0</v>
      </c>
      <c r="I1893" s="122">
        <v>0</v>
      </c>
      <c r="J1893" s="124">
        <f t="shared" si="29"/>
        <v>0</v>
      </c>
    </row>
    <row r="1894" spans="1:11" ht="15" customHeight="1" x14ac:dyDescent="0.2">
      <c r="A1894" s="120" t="s">
        <v>6452</v>
      </c>
      <c r="B1894" s="120" t="s">
        <v>2184</v>
      </c>
      <c r="C1894" s="98" t="s">
        <v>3533</v>
      </c>
      <c r="D1894" s="120" t="s">
        <v>3563</v>
      </c>
      <c r="E1894" s="98">
        <v>8.9999999999999993E-3</v>
      </c>
      <c r="F1894" s="120">
        <v>0</v>
      </c>
      <c r="G1894" s="121">
        <v>62485</v>
      </c>
      <c r="H1894" s="123">
        <v>8.9999999999999993E-3</v>
      </c>
      <c r="I1894" s="122">
        <v>562.36500000000001</v>
      </c>
      <c r="J1894" s="124">
        <f t="shared" si="29"/>
        <v>9</v>
      </c>
      <c r="K1894" s="98" t="s">
        <v>2387</v>
      </c>
    </row>
    <row r="1895" spans="1:11" ht="15" customHeight="1" x14ac:dyDescent="0.2">
      <c r="A1895" s="120" t="s">
        <v>6453</v>
      </c>
      <c r="B1895" s="120" t="s">
        <v>5306</v>
      </c>
      <c r="C1895" s="98" t="s">
        <v>3533</v>
      </c>
      <c r="D1895" s="120" t="s">
        <v>3563</v>
      </c>
      <c r="E1895" s="98">
        <v>5.28E-2</v>
      </c>
      <c r="F1895" s="120">
        <v>0</v>
      </c>
      <c r="G1895" s="121">
        <v>126885</v>
      </c>
      <c r="H1895" s="123">
        <v>5.28E-2</v>
      </c>
      <c r="I1895" s="122">
        <v>6699.5280000000002</v>
      </c>
      <c r="J1895" s="124">
        <f t="shared" si="29"/>
        <v>52.8</v>
      </c>
      <c r="K1895" s="98" t="s">
        <v>6454</v>
      </c>
    </row>
    <row r="1896" spans="1:11" ht="15" customHeight="1" x14ac:dyDescent="0.2">
      <c r="A1896" s="120" t="s">
        <v>6455</v>
      </c>
      <c r="B1896" s="120" t="s">
        <v>4833</v>
      </c>
      <c r="C1896" s="98" t="s">
        <v>3533</v>
      </c>
      <c r="D1896" s="120" t="s">
        <v>3563</v>
      </c>
      <c r="E1896" s="98">
        <v>4.2879E-2</v>
      </c>
      <c r="F1896" s="120">
        <v>0</v>
      </c>
      <c r="G1896" s="121">
        <v>249480</v>
      </c>
      <c r="H1896" s="123">
        <v>4.2879E-2</v>
      </c>
      <c r="I1896" s="122">
        <v>10697.45292</v>
      </c>
      <c r="J1896" s="124">
        <f t="shared" si="29"/>
        <v>42.878999999999998</v>
      </c>
      <c r="K1896" s="98" t="s">
        <v>6456</v>
      </c>
    </row>
    <row r="1897" spans="1:11" ht="15" customHeight="1" x14ac:dyDescent="0.2">
      <c r="A1897" s="120" t="s">
        <v>6457</v>
      </c>
      <c r="B1897" s="120" t="s">
        <v>2184</v>
      </c>
      <c r="C1897" s="98" t="s">
        <v>3533</v>
      </c>
      <c r="D1897" s="120" t="s">
        <v>3563</v>
      </c>
      <c r="E1897" s="98">
        <v>0.21</v>
      </c>
      <c r="F1897" s="120">
        <v>0</v>
      </c>
      <c r="G1897" s="121">
        <v>2350</v>
      </c>
      <c r="H1897" s="123">
        <v>0.21</v>
      </c>
      <c r="I1897" s="122">
        <v>493.5</v>
      </c>
      <c r="J1897" s="124">
        <f t="shared" si="29"/>
        <v>210</v>
      </c>
      <c r="K1897" s="98" t="s">
        <v>5111</v>
      </c>
    </row>
    <row r="1898" spans="1:11" ht="15" customHeight="1" x14ac:dyDescent="0.2">
      <c r="A1898" s="120" t="s">
        <v>6458</v>
      </c>
      <c r="B1898" s="120" t="s">
        <v>5508</v>
      </c>
      <c r="C1898" s="98" t="s">
        <v>3533</v>
      </c>
      <c r="D1898" s="120" t="s">
        <v>3563</v>
      </c>
      <c r="E1898" s="98">
        <v>2.9000000000000001E-2</v>
      </c>
      <c r="F1898" s="120">
        <v>0</v>
      </c>
      <c r="G1898" s="121">
        <v>13635</v>
      </c>
      <c r="H1898" s="123">
        <v>2.9000000000000001E-2</v>
      </c>
      <c r="I1898" s="122">
        <v>395.41500000000002</v>
      </c>
      <c r="J1898" s="124">
        <f t="shared" si="29"/>
        <v>29</v>
      </c>
    </row>
    <row r="1899" spans="1:11" ht="15" customHeight="1" x14ac:dyDescent="0.2">
      <c r="A1899" s="120" t="s">
        <v>3046</v>
      </c>
      <c r="B1899" s="120" t="s">
        <v>5783</v>
      </c>
      <c r="C1899" s="98" t="s">
        <v>3533</v>
      </c>
      <c r="D1899" s="120" t="s">
        <v>3563</v>
      </c>
      <c r="E1899" s="98">
        <v>3.9E-2</v>
      </c>
      <c r="F1899" s="120">
        <v>0</v>
      </c>
      <c r="G1899" s="121">
        <v>23720</v>
      </c>
      <c r="H1899" s="123">
        <v>3.9E-2</v>
      </c>
      <c r="I1899" s="122">
        <v>925.08</v>
      </c>
      <c r="J1899" s="124">
        <f t="shared" si="29"/>
        <v>39</v>
      </c>
    </row>
    <row r="1900" spans="1:11" ht="15" customHeight="1" x14ac:dyDescent="0.2">
      <c r="A1900" s="120" t="s">
        <v>2171</v>
      </c>
      <c r="B1900" s="120" t="s">
        <v>5110</v>
      </c>
      <c r="C1900" s="98" t="s">
        <v>3533</v>
      </c>
      <c r="D1900" s="120" t="s">
        <v>3563</v>
      </c>
      <c r="E1900" s="98">
        <v>0.19</v>
      </c>
      <c r="F1900" s="120">
        <v>0</v>
      </c>
      <c r="G1900" s="121">
        <v>30000</v>
      </c>
      <c r="H1900" s="123">
        <v>0.19</v>
      </c>
      <c r="I1900" s="122">
        <v>5700</v>
      </c>
      <c r="J1900" s="124">
        <f t="shared" si="29"/>
        <v>190</v>
      </c>
      <c r="K1900" s="98" t="s">
        <v>6459</v>
      </c>
    </row>
    <row r="1901" spans="1:11" ht="15" customHeight="1" x14ac:dyDescent="0.2">
      <c r="A1901" s="120" t="s">
        <v>6460</v>
      </c>
      <c r="B1901" s="120" t="s">
        <v>6461</v>
      </c>
      <c r="C1901" s="98" t="s">
        <v>3533</v>
      </c>
      <c r="D1901" s="120" t="s">
        <v>3563</v>
      </c>
      <c r="E1901" s="98">
        <v>0.27</v>
      </c>
      <c r="F1901" s="120">
        <v>0</v>
      </c>
      <c r="G1901" s="121">
        <v>14155</v>
      </c>
      <c r="H1901" s="123">
        <v>0.27</v>
      </c>
      <c r="I1901" s="122">
        <v>3821.8500000000004</v>
      </c>
      <c r="J1901" s="124">
        <f t="shared" si="29"/>
        <v>270</v>
      </c>
      <c r="K1901" s="98" t="s">
        <v>6462</v>
      </c>
    </row>
    <row r="1902" spans="1:11" ht="15" customHeight="1" x14ac:dyDescent="0.2">
      <c r="A1902" s="120" t="s">
        <v>6463</v>
      </c>
      <c r="B1902" s="120" t="s">
        <v>6464</v>
      </c>
      <c r="C1902" s="98" t="s">
        <v>3533</v>
      </c>
      <c r="D1902" s="120" t="s">
        <v>3563</v>
      </c>
      <c r="E1902" s="98">
        <v>3.4500000000000003E-2</v>
      </c>
      <c r="F1902" s="120">
        <v>0</v>
      </c>
      <c r="G1902" s="121">
        <v>18510</v>
      </c>
      <c r="H1902" s="123">
        <v>3.4500000000000003E-2</v>
      </c>
      <c r="I1902" s="122">
        <v>638.59500000000003</v>
      </c>
      <c r="J1902" s="124">
        <f t="shared" si="29"/>
        <v>34.5</v>
      </c>
      <c r="K1902" s="98" t="s">
        <v>6465</v>
      </c>
    </row>
    <row r="1903" spans="1:11" ht="15" customHeight="1" x14ac:dyDescent="0.2">
      <c r="A1903" s="120" t="s">
        <v>6466</v>
      </c>
      <c r="B1903" s="120" t="s">
        <v>5202</v>
      </c>
      <c r="C1903" s="98" t="s">
        <v>3533</v>
      </c>
      <c r="D1903" s="120" t="s">
        <v>3563</v>
      </c>
      <c r="E1903" s="98">
        <v>0.183</v>
      </c>
      <c r="F1903" s="120">
        <v>0</v>
      </c>
      <c r="G1903" s="121">
        <v>110840</v>
      </c>
      <c r="H1903" s="123">
        <v>0.183</v>
      </c>
      <c r="I1903" s="122">
        <v>20283.72</v>
      </c>
      <c r="J1903" s="124">
        <f t="shared" si="29"/>
        <v>183</v>
      </c>
      <c r="K1903" s="98" t="s">
        <v>6467</v>
      </c>
    </row>
    <row r="1904" spans="1:11" ht="15" customHeight="1" x14ac:dyDescent="0.2">
      <c r="A1904" s="120" t="s">
        <v>6468</v>
      </c>
      <c r="B1904" s="120" t="s">
        <v>5000</v>
      </c>
      <c r="C1904" s="98" t="s">
        <v>3533</v>
      </c>
      <c r="D1904" s="120" t="s">
        <v>3563</v>
      </c>
      <c r="E1904" s="98">
        <v>0.38200000000000001</v>
      </c>
      <c r="F1904" s="120">
        <v>5000</v>
      </c>
      <c r="G1904" s="121">
        <v>6725</v>
      </c>
      <c r="H1904" s="123">
        <v>0.38200000000000001</v>
      </c>
      <c r="I1904" s="122">
        <v>2568.9499999999998</v>
      </c>
      <c r="J1904" s="124">
        <f t="shared" si="29"/>
        <v>382</v>
      </c>
      <c r="K1904" s="98" t="s">
        <v>6469</v>
      </c>
    </row>
    <row r="1905" spans="1:11" ht="15" customHeight="1" x14ac:dyDescent="0.2">
      <c r="A1905" s="120" t="s">
        <v>6470</v>
      </c>
      <c r="B1905" s="120" t="s">
        <v>6471</v>
      </c>
      <c r="C1905" s="98" t="s">
        <v>3533</v>
      </c>
      <c r="D1905" s="120" t="s">
        <v>3563</v>
      </c>
      <c r="E1905" s="98">
        <v>2.6235000000000001E-2</v>
      </c>
      <c r="F1905" s="120">
        <v>0</v>
      </c>
      <c r="G1905" s="121">
        <v>22300</v>
      </c>
      <c r="H1905" s="123">
        <v>2.6235000000000001E-2</v>
      </c>
      <c r="I1905" s="122">
        <v>585.04050000000007</v>
      </c>
      <c r="J1905" s="124">
        <f t="shared" si="29"/>
        <v>26.235000000000003</v>
      </c>
    </row>
    <row r="1906" spans="1:11" ht="15" customHeight="1" x14ac:dyDescent="0.2">
      <c r="A1906" s="120" t="s">
        <v>6472</v>
      </c>
      <c r="B1906" s="120" t="s">
        <v>5211</v>
      </c>
      <c r="C1906" s="98" t="s">
        <v>3533</v>
      </c>
      <c r="D1906" s="120" t="s">
        <v>3563</v>
      </c>
      <c r="E1906" s="98">
        <v>2.7949999999999999E-2</v>
      </c>
      <c r="F1906" s="120">
        <v>0</v>
      </c>
      <c r="G1906" s="121">
        <v>0</v>
      </c>
      <c r="H1906" s="123">
        <v>2.7949999999999999E-2</v>
      </c>
      <c r="I1906" s="122">
        <v>0</v>
      </c>
      <c r="J1906" s="124">
        <f t="shared" si="29"/>
        <v>27.95</v>
      </c>
      <c r="K1906" s="98" t="s">
        <v>6473</v>
      </c>
    </row>
    <row r="1907" spans="1:11" ht="15" customHeight="1" x14ac:dyDescent="0.2">
      <c r="A1907" s="120" t="s">
        <v>6474</v>
      </c>
      <c r="B1907" s="120" t="s">
        <v>2254</v>
      </c>
      <c r="C1907" s="98" t="s">
        <v>3533</v>
      </c>
      <c r="D1907" s="120" t="s">
        <v>3563</v>
      </c>
      <c r="E1907" s="98">
        <v>0.17</v>
      </c>
      <c r="F1907" s="120">
        <v>0</v>
      </c>
      <c r="G1907" s="121">
        <v>0</v>
      </c>
      <c r="H1907" s="123">
        <v>0.17</v>
      </c>
      <c r="I1907" s="122">
        <v>0</v>
      </c>
      <c r="J1907" s="124">
        <f t="shared" si="29"/>
        <v>170</v>
      </c>
      <c r="K1907" s="98" t="s">
        <v>6475</v>
      </c>
    </row>
    <row r="1908" spans="1:11" ht="15" customHeight="1" x14ac:dyDescent="0.2">
      <c r="A1908" s="120" t="s">
        <v>6476</v>
      </c>
      <c r="B1908" s="120" t="s">
        <v>6387</v>
      </c>
      <c r="C1908" s="98" t="s">
        <v>3533</v>
      </c>
      <c r="D1908" s="120" t="s">
        <v>3563</v>
      </c>
      <c r="E1908" s="98">
        <v>0.06</v>
      </c>
      <c r="F1908" s="120">
        <v>0</v>
      </c>
      <c r="G1908" s="121">
        <v>20310</v>
      </c>
      <c r="H1908" s="123">
        <v>0.06</v>
      </c>
      <c r="I1908" s="122">
        <v>1218.5999999999999</v>
      </c>
      <c r="J1908" s="124">
        <f t="shared" si="29"/>
        <v>60</v>
      </c>
    </row>
    <row r="1909" spans="1:11" ht="15" customHeight="1" x14ac:dyDescent="0.2">
      <c r="A1909" s="120" t="s">
        <v>6477</v>
      </c>
      <c r="B1909" s="120" t="s">
        <v>5947</v>
      </c>
      <c r="C1909" s="98" t="s">
        <v>3532</v>
      </c>
      <c r="D1909" s="120" t="s">
        <v>3563</v>
      </c>
      <c r="E1909" s="98">
        <v>1.0968E-2</v>
      </c>
      <c r="F1909" s="120">
        <v>0</v>
      </c>
      <c r="G1909" s="121">
        <v>19950</v>
      </c>
      <c r="H1909" s="123">
        <v>1.0968E-2</v>
      </c>
      <c r="I1909" s="122">
        <v>218.8116</v>
      </c>
      <c r="J1909" s="124">
        <f t="shared" si="29"/>
        <v>10.968</v>
      </c>
    </row>
    <row r="1910" spans="1:11" ht="15" customHeight="1" x14ac:dyDescent="0.2">
      <c r="A1910" s="120" t="s">
        <v>6478</v>
      </c>
      <c r="B1910" s="120" t="s">
        <v>4783</v>
      </c>
      <c r="C1910" s="98" t="s">
        <v>3532</v>
      </c>
      <c r="D1910" s="120" t="s">
        <v>3563</v>
      </c>
      <c r="E1910" s="98">
        <v>8.9999999999999993E-3</v>
      </c>
      <c r="F1910" s="120">
        <v>0</v>
      </c>
      <c r="G1910" s="121">
        <v>0</v>
      </c>
      <c r="H1910" s="123">
        <v>9</v>
      </c>
      <c r="I1910" s="122">
        <v>0</v>
      </c>
      <c r="J1910" s="124">
        <f t="shared" si="29"/>
        <v>9</v>
      </c>
    </row>
    <row r="1911" spans="1:11" ht="15" customHeight="1" x14ac:dyDescent="0.2">
      <c r="A1911" s="120" t="s">
        <v>6479</v>
      </c>
      <c r="B1911" s="120" t="s">
        <v>5430</v>
      </c>
      <c r="C1911" s="98" t="s">
        <v>3533</v>
      </c>
      <c r="D1911" s="120" t="s">
        <v>3563</v>
      </c>
      <c r="E1911" s="98">
        <v>3.5000000000000001E-3</v>
      </c>
      <c r="F1911" s="120">
        <v>0</v>
      </c>
      <c r="G1911" s="121">
        <v>0</v>
      </c>
      <c r="H1911" s="123">
        <v>3.5000000000000001E-3</v>
      </c>
      <c r="I1911" s="122">
        <v>0</v>
      </c>
      <c r="J1911" s="124">
        <f t="shared" si="29"/>
        <v>3.5</v>
      </c>
    </row>
    <row r="1912" spans="1:11" ht="15" customHeight="1" x14ac:dyDescent="0.2">
      <c r="A1912" s="120" t="s">
        <v>6480</v>
      </c>
      <c r="B1912" s="120" t="s">
        <v>3532</v>
      </c>
      <c r="C1912" s="98" t="s">
        <v>3532</v>
      </c>
      <c r="D1912" s="120" t="s">
        <v>3563</v>
      </c>
      <c r="E1912" s="98">
        <v>0</v>
      </c>
      <c r="F1912" s="120">
        <v>0</v>
      </c>
      <c r="G1912" s="121">
        <v>0</v>
      </c>
      <c r="H1912" s="123">
        <v>0</v>
      </c>
      <c r="I1912" s="122">
        <v>0</v>
      </c>
      <c r="J1912" s="124">
        <f t="shared" si="29"/>
        <v>0</v>
      </c>
    </row>
    <row r="1913" spans="1:11" ht="15" customHeight="1" x14ac:dyDescent="0.2">
      <c r="A1913" s="120" t="s">
        <v>6481</v>
      </c>
      <c r="B1913" s="120" t="s">
        <v>5142</v>
      </c>
      <c r="C1913" s="98" t="s">
        <v>3533</v>
      </c>
      <c r="D1913" s="120" t="s">
        <v>3563</v>
      </c>
      <c r="E1913" s="98">
        <v>0.28199999999999997</v>
      </c>
      <c r="F1913" s="120">
        <v>0</v>
      </c>
      <c r="G1913" s="121">
        <v>50860</v>
      </c>
      <c r="H1913" s="123">
        <v>0.28199999999999997</v>
      </c>
      <c r="I1913" s="122">
        <v>14342.519999999999</v>
      </c>
      <c r="J1913" s="124">
        <f t="shared" si="29"/>
        <v>282</v>
      </c>
      <c r="K1913" s="98" t="s">
        <v>6482</v>
      </c>
    </row>
    <row r="1914" spans="1:11" ht="15" customHeight="1" x14ac:dyDescent="0.2">
      <c r="A1914" s="120" t="s">
        <v>2145</v>
      </c>
      <c r="B1914" s="120" t="s">
        <v>2146</v>
      </c>
      <c r="C1914" s="98" t="s">
        <v>3533</v>
      </c>
      <c r="D1914" s="120" t="s">
        <v>3563</v>
      </c>
      <c r="E1914" s="98">
        <v>1.65</v>
      </c>
      <c r="F1914" s="120">
        <v>0</v>
      </c>
      <c r="G1914" s="121">
        <v>1245</v>
      </c>
      <c r="H1914" s="123">
        <v>1.65</v>
      </c>
      <c r="I1914" s="122">
        <v>2054.25</v>
      </c>
      <c r="J1914" s="124">
        <f t="shared" si="29"/>
        <v>1650</v>
      </c>
      <c r="K1914" s="98" t="s">
        <v>6288</v>
      </c>
    </row>
    <row r="1915" spans="1:11" ht="15" customHeight="1" x14ac:dyDescent="0.2">
      <c r="A1915" s="120" t="s">
        <v>6483</v>
      </c>
      <c r="B1915" s="120" t="s">
        <v>6484</v>
      </c>
      <c r="C1915" s="98" t="s">
        <v>3533</v>
      </c>
      <c r="D1915" s="120" t="s">
        <v>3563</v>
      </c>
      <c r="E1915" s="98">
        <v>0.17366000000000001</v>
      </c>
      <c r="F1915" s="120">
        <v>100000</v>
      </c>
      <c r="G1915" s="121">
        <v>59705</v>
      </c>
      <c r="H1915" s="123">
        <v>0.17366000000000001</v>
      </c>
      <c r="I1915" s="122">
        <v>10368.3703</v>
      </c>
      <c r="J1915" s="124">
        <f t="shared" si="29"/>
        <v>173.66</v>
      </c>
    </row>
    <row r="1916" spans="1:11" ht="15" customHeight="1" x14ac:dyDescent="0.2">
      <c r="A1916" s="120" t="s">
        <v>6485</v>
      </c>
      <c r="B1916" s="120" t="s">
        <v>6297</v>
      </c>
      <c r="C1916" s="98" t="s">
        <v>3533</v>
      </c>
      <c r="D1916" s="120" t="s">
        <v>3563</v>
      </c>
      <c r="E1916" s="98">
        <v>5.0459999999999998E-2</v>
      </c>
      <c r="F1916" s="120">
        <v>0</v>
      </c>
      <c r="G1916" s="121">
        <v>64305</v>
      </c>
      <c r="H1916" s="123">
        <v>5.0459999999999998E-2</v>
      </c>
      <c r="I1916" s="122">
        <v>3244.8303000000001</v>
      </c>
      <c r="J1916" s="124">
        <f t="shared" si="29"/>
        <v>50.46</v>
      </c>
    </row>
    <row r="1917" spans="1:11" ht="15" customHeight="1" x14ac:dyDescent="0.2">
      <c r="A1917" s="120" t="s">
        <v>6486</v>
      </c>
      <c r="B1917" s="120" t="s">
        <v>6297</v>
      </c>
      <c r="C1917" s="98" t="s">
        <v>3533</v>
      </c>
      <c r="D1917" s="120" t="s">
        <v>3563</v>
      </c>
      <c r="E1917" s="98">
        <v>3.5304673721340399E-2</v>
      </c>
      <c r="F1917" s="120">
        <v>0</v>
      </c>
      <c r="G1917" s="121">
        <v>13025</v>
      </c>
      <c r="H1917" s="123">
        <v>3.5305000000000003E-2</v>
      </c>
      <c r="I1917" s="122">
        <v>459.84762500000005</v>
      </c>
      <c r="J1917" s="124">
        <f t="shared" si="29"/>
        <v>35.3046737213404</v>
      </c>
      <c r="K1917" s="98" t="s">
        <v>6487</v>
      </c>
    </row>
    <row r="1918" spans="1:11" ht="15" customHeight="1" x14ac:dyDescent="0.2">
      <c r="A1918" s="120" t="s">
        <v>6488</v>
      </c>
      <c r="B1918" s="120" t="s">
        <v>4833</v>
      </c>
      <c r="C1918" s="98" t="s">
        <v>3533</v>
      </c>
      <c r="D1918" s="120" t="s">
        <v>3563</v>
      </c>
      <c r="E1918" s="98">
        <v>5.9082892416225802E-2</v>
      </c>
      <c r="F1918" s="120">
        <v>0</v>
      </c>
      <c r="G1918" s="121">
        <v>12310</v>
      </c>
      <c r="H1918" s="123">
        <v>5.9082999999999997E-2</v>
      </c>
      <c r="I1918" s="122">
        <v>727.31173000000001</v>
      </c>
      <c r="J1918" s="124">
        <f t="shared" si="29"/>
        <v>59.082892416225803</v>
      </c>
      <c r="K1918" s="98" t="s">
        <v>6489</v>
      </c>
    </row>
    <row r="1919" spans="1:11" ht="15" customHeight="1" x14ac:dyDescent="0.2">
      <c r="A1919" s="120" t="s">
        <v>6490</v>
      </c>
      <c r="B1919" s="120" t="s">
        <v>6491</v>
      </c>
      <c r="C1919" s="98" t="s">
        <v>3533</v>
      </c>
      <c r="D1919" s="120" t="s">
        <v>3563</v>
      </c>
      <c r="E1919" s="98">
        <v>1.7899999999999999E-2</v>
      </c>
      <c r="F1919" s="120">
        <v>0</v>
      </c>
      <c r="G1919" s="121">
        <v>99716</v>
      </c>
      <c r="H1919" s="123">
        <v>1.7899999999999999E-2</v>
      </c>
      <c r="I1919" s="122">
        <v>1784.9163999999998</v>
      </c>
      <c r="J1919" s="124">
        <f t="shared" si="29"/>
        <v>17.899999999999999</v>
      </c>
      <c r="K1919" s="98" t="s">
        <v>6492</v>
      </c>
    </row>
    <row r="1920" spans="1:11" ht="15" customHeight="1" x14ac:dyDescent="0.2">
      <c r="A1920" s="120" t="s">
        <v>6493</v>
      </c>
      <c r="B1920" s="120" t="s">
        <v>5202</v>
      </c>
      <c r="C1920" s="98" t="s">
        <v>3533</v>
      </c>
      <c r="D1920" s="120" t="s">
        <v>3563</v>
      </c>
      <c r="E1920" s="98">
        <v>0.28499999999999998</v>
      </c>
      <c r="F1920" s="120">
        <v>0</v>
      </c>
      <c r="G1920" s="121">
        <v>8500</v>
      </c>
      <c r="H1920" s="123">
        <v>0.28499999999999998</v>
      </c>
      <c r="I1920" s="122">
        <v>2422.5</v>
      </c>
      <c r="J1920" s="124">
        <f t="shared" si="29"/>
        <v>285</v>
      </c>
      <c r="K1920" s="98" t="s">
        <v>6494</v>
      </c>
    </row>
    <row r="1921" spans="1:11" ht="15" customHeight="1" x14ac:dyDescent="0.2">
      <c r="A1921" s="120" t="s">
        <v>6495</v>
      </c>
      <c r="B1921" s="120" t="s">
        <v>2254</v>
      </c>
      <c r="C1921" s="98" t="s">
        <v>3533</v>
      </c>
      <c r="D1921" s="120" t="s">
        <v>3563</v>
      </c>
      <c r="E1921" s="98">
        <v>8.2000000000000003E-2</v>
      </c>
      <c r="F1921" s="120">
        <v>0</v>
      </c>
      <c r="G1921" s="121">
        <v>12429</v>
      </c>
      <c r="H1921" s="123">
        <v>8.2000000000000003E-2</v>
      </c>
      <c r="I1921" s="122">
        <v>1019.178</v>
      </c>
      <c r="J1921" s="124">
        <f t="shared" si="29"/>
        <v>82</v>
      </c>
      <c r="K1921" s="98" t="s">
        <v>6496</v>
      </c>
    </row>
    <row r="1922" spans="1:11" ht="15" customHeight="1" x14ac:dyDescent="0.2">
      <c r="A1922" s="120" t="s">
        <v>6497</v>
      </c>
      <c r="B1922" s="120" t="s">
        <v>5186</v>
      </c>
      <c r="C1922" s="98" t="s">
        <v>3532</v>
      </c>
      <c r="D1922" s="120" t="s">
        <v>3563</v>
      </c>
      <c r="E1922" s="98">
        <v>1.04</v>
      </c>
      <c r="F1922" s="120">
        <v>0</v>
      </c>
      <c r="G1922" s="121">
        <v>0</v>
      </c>
      <c r="H1922" s="123">
        <v>1.04</v>
      </c>
      <c r="I1922" s="122">
        <v>0</v>
      </c>
      <c r="J1922" s="124">
        <f t="shared" ref="J1922:J1985" si="30">IF(D1922="gm", E1922*1000,+E1922)</f>
        <v>1040</v>
      </c>
    </row>
    <row r="1923" spans="1:11" ht="15" customHeight="1" x14ac:dyDescent="0.2">
      <c r="A1923" s="120" t="s">
        <v>6498</v>
      </c>
      <c r="B1923" s="120" t="s">
        <v>2254</v>
      </c>
      <c r="C1923" s="98" t="s">
        <v>3533</v>
      </c>
      <c r="D1923" s="120" t="s">
        <v>3563</v>
      </c>
      <c r="E1923" s="98">
        <v>3.5000000000000003E-2</v>
      </c>
      <c r="F1923" s="120">
        <v>0</v>
      </c>
      <c r="G1923" s="121">
        <v>38972</v>
      </c>
      <c r="H1923" s="123">
        <v>3.5000000000000003E-2</v>
      </c>
      <c r="I1923" s="122">
        <v>1364.0200000000002</v>
      </c>
      <c r="J1923" s="124">
        <f t="shared" si="30"/>
        <v>35</v>
      </c>
    </row>
    <row r="1924" spans="1:11" ht="15" customHeight="1" x14ac:dyDescent="0.2">
      <c r="A1924" s="120" t="s">
        <v>6499</v>
      </c>
      <c r="B1924" s="120" t="s">
        <v>6268</v>
      </c>
      <c r="C1924" s="98" t="s">
        <v>3533</v>
      </c>
      <c r="D1924" s="120" t="s">
        <v>3563</v>
      </c>
      <c r="E1924" s="98">
        <v>3.0154E-2</v>
      </c>
      <c r="F1924" s="120">
        <v>0</v>
      </c>
      <c r="G1924" s="121">
        <v>665</v>
      </c>
      <c r="H1924" s="123">
        <v>3.0154E-2</v>
      </c>
      <c r="I1924" s="122">
        <v>20.052410000000002</v>
      </c>
      <c r="J1924" s="124">
        <f t="shared" si="30"/>
        <v>30.154</v>
      </c>
    </row>
    <row r="1925" spans="1:11" ht="15" customHeight="1" x14ac:dyDescent="0.2">
      <c r="A1925" s="120" t="s">
        <v>6500</v>
      </c>
      <c r="B1925" s="120" t="s">
        <v>2254</v>
      </c>
      <c r="C1925" s="98" t="s">
        <v>3533</v>
      </c>
      <c r="D1925" s="120" t="s">
        <v>3563</v>
      </c>
      <c r="E1925" s="98">
        <v>0.28499999999999998</v>
      </c>
      <c r="F1925" s="120">
        <v>0</v>
      </c>
      <c r="G1925" s="121">
        <v>16300</v>
      </c>
      <c r="H1925" s="123">
        <v>0.28499999999999998</v>
      </c>
      <c r="I1925" s="122">
        <v>4645.5</v>
      </c>
      <c r="J1925" s="124">
        <f t="shared" si="30"/>
        <v>285</v>
      </c>
      <c r="K1925" s="98" t="s">
        <v>6501</v>
      </c>
    </row>
    <row r="1926" spans="1:11" ht="15" customHeight="1" x14ac:dyDescent="0.2">
      <c r="A1926" s="120" t="s">
        <v>6502</v>
      </c>
      <c r="B1926" s="120" t="s">
        <v>4879</v>
      </c>
      <c r="C1926" s="98" t="s">
        <v>3533</v>
      </c>
      <c r="D1926" s="120" t="s">
        <v>3563</v>
      </c>
      <c r="E1926" s="98">
        <v>1.3639999999999999E-2</v>
      </c>
      <c r="F1926" s="120">
        <v>0</v>
      </c>
      <c r="G1926" s="121">
        <v>19400</v>
      </c>
      <c r="H1926" s="123">
        <v>1.3639999999999999E-2</v>
      </c>
      <c r="I1926" s="122">
        <v>264.61599999999999</v>
      </c>
      <c r="J1926" s="124">
        <f t="shared" si="30"/>
        <v>13.639999999999999</v>
      </c>
      <c r="K1926" s="98" t="s">
        <v>6503</v>
      </c>
    </row>
    <row r="1927" spans="1:11" ht="15" customHeight="1" x14ac:dyDescent="0.2">
      <c r="A1927" s="120" t="s">
        <v>6504</v>
      </c>
      <c r="B1927" s="120" t="s">
        <v>5182</v>
      </c>
      <c r="C1927" s="98" t="s">
        <v>3533</v>
      </c>
      <c r="D1927" s="120" t="s">
        <v>3563</v>
      </c>
      <c r="E1927" s="98">
        <v>0.19800000000000001</v>
      </c>
      <c r="F1927" s="120">
        <v>0</v>
      </c>
      <c r="G1927" s="121">
        <v>0</v>
      </c>
      <c r="H1927" s="123">
        <v>0.19800000000000001</v>
      </c>
      <c r="I1927" s="122">
        <v>0</v>
      </c>
      <c r="J1927" s="124">
        <f t="shared" si="30"/>
        <v>198</v>
      </c>
      <c r="K1927" s="98" t="s">
        <v>6505</v>
      </c>
    </row>
    <row r="1928" spans="1:11" ht="15" customHeight="1" x14ac:dyDescent="0.2">
      <c r="A1928" s="120" t="s">
        <v>6506</v>
      </c>
      <c r="B1928" s="120" t="s">
        <v>5113</v>
      </c>
      <c r="C1928" s="98" t="s">
        <v>3533</v>
      </c>
      <c r="D1928" s="120" t="s">
        <v>3563</v>
      </c>
      <c r="E1928" s="98">
        <v>0.56000000000000005</v>
      </c>
      <c r="F1928" s="120">
        <v>0</v>
      </c>
      <c r="G1928" s="121">
        <v>3450</v>
      </c>
      <c r="H1928" s="123">
        <v>0.56000000000000005</v>
      </c>
      <c r="I1928" s="122">
        <v>1932.0000000000002</v>
      </c>
      <c r="J1928" s="124">
        <f t="shared" si="30"/>
        <v>560</v>
      </c>
      <c r="K1928" s="98" t="s">
        <v>2379</v>
      </c>
    </row>
    <row r="1929" spans="1:11" ht="15" customHeight="1" x14ac:dyDescent="0.2">
      <c r="A1929" s="120" t="s">
        <v>6507</v>
      </c>
      <c r="B1929" s="120" t="s">
        <v>6268</v>
      </c>
      <c r="C1929" s="98" t="s">
        <v>3533</v>
      </c>
      <c r="D1929" s="120" t="s">
        <v>3563</v>
      </c>
      <c r="E1929" s="98">
        <v>6.6100000000000006E-2</v>
      </c>
      <c r="F1929" s="120">
        <v>0</v>
      </c>
      <c r="G1929" s="121">
        <v>4000</v>
      </c>
      <c r="H1929" s="123">
        <v>6.6100000000000006E-2</v>
      </c>
      <c r="I1929" s="122">
        <v>264.40000000000003</v>
      </c>
      <c r="J1929" s="124">
        <f t="shared" si="30"/>
        <v>66.100000000000009</v>
      </c>
    </row>
    <row r="1930" spans="1:11" ht="15" customHeight="1" x14ac:dyDescent="0.2">
      <c r="A1930" s="120" t="s">
        <v>6508</v>
      </c>
      <c r="B1930" s="120" t="s">
        <v>2263</v>
      </c>
      <c r="C1930" s="98" t="s">
        <v>3533</v>
      </c>
      <c r="D1930" s="120" t="s">
        <v>3563</v>
      </c>
      <c r="E1930" s="98">
        <v>3.4500000000000003E-2</v>
      </c>
      <c r="F1930" s="120">
        <v>0</v>
      </c>
      <c r="G1930" s="121">
        <v>19805</v>
      </c>
      <c r="H1930" s="123">
        <v>3.4500000000000003E-2</v>
      </c>
      <c r="I1930" s="122">
        <v>683.27250000000004</v>
      </c>
      <c r="J1930" s="124">
        <f t="shared" si="30"/>
        <v>34.5</v>
      </c>
      <c r="K1930" s="98" t="s">
        <v>2597</v>
      </c>
    </row>
    <row r="1931" spans="1:11" ht="15" customHeight="1" x14ac:dyDescent="0.2">
      <c r="A1931" s="120" t="s">
        <v>6509</v>
      </c>
      <c r="B1931" s="120" t="s">
        <v>5430</v>
      </c>
      <c r="C1931" s="98" t="s">
        <v>3533</v>
      </c>
      <c r="D1931" s="120" t="s">
        <v>3563</v>
      </c>
      <c r="E1931" s="98">
        <v>4.15E-3</v>
      </c>
      <c r="F1931" s="120">
        <v>1000000</v>
      </c>
      <c r="G1931" s="121">
        <v>2330375</v>
      </c>
      <c r="H1931" s="123">
        <v>4.15E-3</v>
      </c>
      <c r="I1931" s="122">
        <v>9671.0562499999996</v>
      </c>
      <c r="J1931" s="124">
        <f t="shared" si="30"/>
        <v>4.1500000000000004</v>
      </c>
      <c r="K1931" s="98" t="s">
        <v>6510</v>
      </c>
    </row>
    <row r="1932" spans="1:11" ht="15" customHeight="1" x14ac:dyDescent="0.2">
      <c r="A1932" s="120" t="s">
        <v>6511</v>
      </c>
      <c r="B1932" s="120" t="s">
        <v>6512</v>
      </c>
      <c r="C1932" s="98" t="s">
        <v>3533</v>
      </c>
      <c r="D1932" s="120" t="s">
        <v>3563</v>
      </c>
      <c r="E1932" s="98">
        <v>0.16</v>
      </c>
      <c r="F1932" s="120">
        <v>0</v>
      </c>
      <c r="G1932" s="121">
        <v>3265</v>
      </c>
      <c r="H1932" s="123">
        <v>0.16</v>
      </c>
      <c r="I1932" s="122">
        <v>522.4</v>
      </c>
      <c r="J1932" s="124">
        <f t="shared" si="30"/>
        <v>160</v>
      </c>
    </row>
    <row r="1933" spans="1:11" ht="15" customHeight="1" x14ac:dyDescent="0.2">
      <c r="A1933" s="120" t="s">
        <v>6513</v>
      </c>
      <c r="B1933" s="120" t="s">
        <v>6514</v>
      </c>
      <c r="C1933" s="98" t="s">
        <v>3533</v>
      </c>
      <c r="D1933" s="120" t="s">
        <v>3563</v>
      </c>
      <c r="E1933" s="98">
        <v>6.5</v>
      </c>
      <c r="F1933" s="120">
        <v>0</v>
      </c>
      <c r="G1933" s="121">
        <v>255</v>
      </c>
      <c r="H1933" s="123">
        <v>6.5</v>
      </c>
      <c r="I1933" s="122">
        <v>1657.5</v>
      </c>
      <c r="J1933" s="124">
        <f t="shared" si="30"/>
        <v>6500</v>
      </c>
    </row>
    <row r="1934" spans="1:11" ht="15" customHeight="1" x14ac:dyDescent="0.2">
      <c r="A1934" s="120" t="s">
        <v>6515</v>
      </c>
      <c r="B1934" s="120" t="s">
        <v>5888</v>
      </c>
      <c r="C1934" s="98" t="s">
        <v>3533</v>
      </c>
      <c r="D1934" s="120" t="s">
        <v>3563</v>
      </c>
      <c r="E1934" s="98">
        <v>4.5670000000000002E-2</v>
      </c>
      <c r="F1934" s="120">
        <v>0</v>
      </c>
      <c r="G1934" s="121">
        <v>10310</v>
      </c>
      <c r="H1934" s="123">
        <v>4.5670000000000002E-2</v>
      </c>
      <c r="I1934" s="122">
        <v>470.85770000000002</v>
      </c>
      <c r="J1934" s="124">
        <f t="shared" si="30"/>
        <v>45.67</v>
      </c>
      <c r="K1934" s="98" t="s">
        <v>6516</v>
      </c>
    </row>
    <row r="1935" spans="1:11" ht="15" customHeight="1" x14ac:dyDescent="0.2">
      <c r="A1935" s="120" t="s">
        <v>6517</v>
      </c>
      <c r="B1935" s="120" t="s">
        <v>6518</v>
      </c>
      <c r="C1935" s="98" t="s">
        <v>3533</v>
      </c>
      <c r="D1935" s="120" t="s">
        <v>3563</v>
      </c>
      <c r="E1935" s="98">
        <v>0.29249999999999998</v>
      </c>
      <c r="F1935" s="120">
        <v>0</v>
      </c>
      <c r="G1935" s="121">
        <v>385</v>
      </c>
      <c r="H1935" s="123">
        <v>0.29249999999999998</v>
      </c>
      <c r="I1935" s="122">
        <v>112.6125</v>
      </c>
      <c r="J1935" s="124">
        <f t="shared" si="30"/>
        <v>292.5</v>
      </c>
      <c r="K1935" s="98" t="s">
        <v>6519</v>
      </c>
    </row>
    <row r="1936" spans="1:11" ht="15" customHeight="1" x14ac:dyDescent="0.2">
      <c r="A1936" s="120" t="s">
        <v>6520</v>
      </c>
      <c r="B1936" s="120" t="s">
        <v>5000</v>
      </c>
      <c r="C1936" s="98" t="s">
        <v>3533</v>
      </c>
      <c r="D1936" s="120" t="s">
        <v>3563</v>
      </c>
      <c r="E1936" s="98">
        <v>4</v>
      </c>
      <c r="F1936" s="120">
        <v>0</v>
      </c>
      <c r="G1936" s="121">
        <v>445</v>
      </c>
      <c r="H1936" s="123">
        <v>4</v>
      </c>
      <c r="I1936" s="122">
        <v>1780</v>
      </c>
      <c r="J1936" s="124">
        <f t="shared" si="30"/>
        <v>4000</v>
      </c>
      <c r="K1936" s="98" t="s">
        <v>6521</v>
      </c>
    </row>
    <row r="1937" spans="1:11" ht="15" customHeight="1" x14ac:dyDescent="0.2">
      <c r="A1937" s="120" t="s">
        <v>5735</v>
      </c>
      <c r="B1937" s="120" t="s">
        <v>5736</v>
      </c>
      <c r="C1937" s="98" t="s">
        <v>3533</v>
      </c>
      <c r="D1937" s="120" t="s">
        <v>3563</v>
      </c>
      <c r="E1937" s="98">
        <v>2.5000000000000001E-2</v>
      </c>
      <c r="F1937" s="120">
        <v>0</v>
      </c>
      <c r="G1937" s="121">
        <v>0</v>
      </c>
      <c r="H1937" s="123">
        <v>2.5000000000000001E-2</v>
      </c>
      <c r="I1937" s="122">
        <v>0</v>
      </c>
      <c r="J1937" s="124">
        <f t="shared" si="30"/>
        <v>25</v>
      </c>
      <c r="K1937" s="98" t="s">
        <v>6522</v>
      </c>
    </row>
    <row r="1938" spans="1:11" ht="15" customHeight="1" x14ac:dyDescent="0.2">
      <c r="A1938" s="120" t="s">
        <v>6523</v>
      </c>
      <c r="B1938" s="120" t="s">
        <v>6102</v>
      </c>
      <c r="C1938" s="98" t="s">
        <v>3533</v>
      </c>
      <c r="D1938" s="120" t="s">
        <v>3563</v>
      </c>
      <c r="E1938" s="98">
        <v>0.28000000000000003</v>
      </c>
      <c r="F1938" s="120">
        <v>0</v>
      </c>
      <c r="G1938" s="121">
        <v>488</v>
      </c>
      <c r="H1938" s="123">
        <v>0.28000000000000003</v>
      </c>
      <c r="I1938" s="122">
        <v>136.64000000000001</v>
      </c>
      <c r="J1938" s="124">
        <f t="shared" si="30"/>
        <v>280</v>
      </c>
    </row>
    <row r="1939" spans="1:11" ht="15" customHeight="1" x14ac:dyDescent="0.2">
      <c r="A1939" s="120" t="s">
        <v>6524</v>
      </c>
      <c r="B1939" s="120" t="s">
        <v>6297</v>
      </c>
      <c r="C1939" s="98" t="s">
        <v>3533</v>
      </c>
      <c r="D1939" s="120" t="s">
        <v>3563</v>
      </c>
      <c r="E1939" s="98">
        <v>2.853E-2</v>
      </c>
      <c r="F1939" s="120">
        <v>0</v>
      </c>
      <c r="G1939" s="121">
        <v>14618</v>
      </c>
      <c r="H1939" s="123">
        <v>2.853E-2</v>
      </c>
      <c r="I1939" s="122">
        <v>417.05153999999999</v>
      </c>
      <c r="J1939" s="124">
        <f t="shared" si="30"/>
        <v>28.53</v>
      </c>
      <c r="K1939" s="98" t="s">
        <v>6525</v>
      </c>
    </row>
    <row r="1940" spans="1:11" ht="15" customHeight="1" x14ac:dyDescent="0.2">
      <c r="A1940" s="120" t="s">
        <v>6526</v>
      </c>
      <c r="B1940" s="120" t="s">
        <v>2146</v>
      </c>
      <c r="C1940" s="98" t="s">
        <v>3533</v>
      </c>
      <c r="D1940" s="120" t="s">
        <v>3563</v>
      </c>
      <c r="E1940" s="98">
        <v>2.1090000000000001E-2</v>
      </c>
      <c r="F1940" s="120">
        <v>0</v>
      </c>
      <c r="G1940" s="121">
        <v>0</v>
      </c>
      <c r="H1940" s="123">
        <v>21.09</v>
      </c>
      <c r="I1940" s="122">
        <v>0</v>
      </c>
      <c r="J1940" s="124">
        <f t="shared" si="30"/>
        <v>21.09</v>
      </c>
      <c r="K1940" s="98" t="s">
        <v>2387</v>
      </c>
    </row>
    <row r="1941" spans="1:11" ht="15" customHeight="1" x14ac:dyDescent="0.2">
      <c r="A1941" s="120" t="s">
        <v>6527</v>
      </c>
      <c r="B1941" s="120" t="s">
        <v>6006</v>
      </c>
      <c r="C1941" s="98" t="s">
        <v>3533</v>
      </c>
      <c r="D1941" s="120" t="s">
        <v>3563</v>
      </c>
      <c r="E1941" s="98">
        <v>1.37311083123426E-2</v>
      </c>
      <c r="F1941" s="120">
        <v>0</v>
      </c>
      <c r="G1941" s="121">
        <v>200190</v>
      </c>
      <c r="H1941" s="123">
        <v>1.3776E-2</v>
      </c>
      <c r="I1941" s="122">
        <v>2757.8174399999998</v>
      </c>
      <c r="J1941" s="124">
        <f t="shared" si="30"/>
        <v>13.731108312342601</v>
      </c>
      <c r="K1941" s="98" t="s">
        <v>6528</v>
      </c>
    </row>
    <row r="1942" spans="1:11" ht="15" customHeight="1" x14ac:dyDescent="0.2">
      <c r="A1942" s="120" t="s">
        <v>6529</v>
      </c>
      <c r="B1942" s="120" t="s">
        <v>5198</v>
      </c>
      <c r="C1942" s="98" t="s">
        <v>3533</v>
      </c>
      <c r="D1942" s="120" t="s">
        <v>3563</v>
      </c>
      <c r="E1942" s="98">
        <v>0</v>
      </c>
      <c r="F1942" s="120">
        <v>0</v>
      </c>
      <c r="G1942" s="121">
        <v>0</v>
      </c>
      <c r="H1942" s="123">
        <v>0</v>
      </c>
      <c r="I1942" s="122">
        <v>0</v>
      </c>
      <c r="J1942" s="124">
        <f t="shared" si="30"/>
        <v>0</v>
      </c>
      <c r="K1942" s="98" t="s">
        <v>6530</v>
      </c>
    </row>
    <row r="1943" spans="1:11" ht="15" customHeight="1" x14ac:dyDescent="0.2">
      <c r="A1943" s="120" t="s">
        <v>6531</v>
      </c>
      <c r="B1943" s="120" t="s">
        <v>6423</v>
      </c>
      <c r="C1943" s="98" t="s">
        <v>3533</v>
      </c>
      <c r="D1943" s="120" t="s">
        <v>3563</v>
      </c>
      <c r="E1943" s="98">
        <v>0.1648</v>
      </c>
      <c r="F1943" s="120">
        <v>0</v>
      </c>
      <c r="G1943" s="121">
        <v>187619</v>
      </c>
      <c r="H1943" s="123">
        <v>0.1648</v>
      </c>
      <c r="I1943" s="122">
        <v>30919.611199999999</v>
      </c>
      <c r="J1943" s="124">
        <f t="shared" si="30"/>
        <v>164.8</v>
      </c>
      <c r="K1943" s="98" t="s">
        <v>6532</v>
      </c>
    </row>
    <row r="1944" spans="1:11" ht="15" customHeight="1" x14ac:dyDescent="0.2">
      <c r="A1944" s="120" t="s">
        <v>6533</v>
      </c>
      <c r="B1944" s="120" t="s">
        <v>5258</v>
      </c>
      <c r="C1944" s="98" t="s">
        <v>3533</v>
      </c>
      <c r="D1944" s="120" t="s">
        <v>3563</v>
      </c>
      <c r="E1944" s="98">
        <v>5.2400000000000002E-2</v>
      </c>
      <c r="F1944" s="120">
        <v>0</v>
      </c>
      <c r="G1944" s="121">
        <v>0</v>
      </c>
      <c r="H1944" s="123">
        <v>5.2400000000000002E-2</v>
      </c>
      <c r="I1944" s="122">
        <v>0</v>
      </c>
      <c r="J1944" s="124">
        <f t="shared" si="30"/>
        <v>52.400000000000006</v>
      </c>
      <c r="K1944" s="98" t="s">
        <v>6534</v>
      </c>
    </row>
    <row r="1945" spans="1:11" ht="15" customHeight="1" x14ac:dyDescent="0.2">
      <c r="A1945" s="120" t="s">
        <v>6535</v>
      </c>
      <c r="B1945" s="120" t="s">
        <v>5906</v>
      </c>
      <c r="C1945" s="98" t="s">
        <v>3533</v>
      </c>
      <c r="D1945" s="120" t="s">
        <v>3563</v>
      </c>
      <c r="E1945" s="98">
        <v>1.2999999999999999E-2</v>
      </c>
      <c r="F1945" s="120">
        <v>0</v>
      </c>
      <c r="G1945" s="121">
        <v>4310</v>
      </c>
      <c r="H1945" s="123">
        <v>1.2999999999999999E-2</v>
      </c>
      <c r="I1945" s="122">
        <v>56.029999999999994</v>
      </c>
      <c r="J1945" s="124">
        <f t="shared" si="30"/>
        <v>13</v>
      </c>
      <c r="K1945" s="98" t="s">
        <v>5189</v>
      </c>
    </row>
    <row r="1946" spans="1:11" ht="15" customHeight="1" x14ac:dyDescent="0.2">
      <c r="A1946" s="120" t="s">
        <v>6536</v>
      </c>
      <c r="B1946" s="120" t="s">
        <v>5906</v>
      </c>
      <c r="C1946" s="98" t="s">
        <v>3533</v>
      </c>
      <c r="D1946" s="120" t="s">
        <v>3563</v>
      </c>
      <c r="E1946" s="98">
        <v>3.8E-3</v>
      </c>
      <c r="F1946" s="120">
        <v>0</v>
      </c>
      <c r="G1946" s="121">
        <v>44280</v>
      </c>
      <c r="H1946" s="123">
        <v>3.8E-3</v>
      </c>
      <c r="I1946" s="122">
        <v>168.26400000000001</v>
      </c>
      <c r="J1946" s="124">
        <f t="shared" si="30"/>
        <v>3.8</v>
      </c>
      <c r="K1946" s="98" t="s">
        <v>2387</v>
      </c>
    </row>
    <row r="1947" spans="1:11" ht="15" customHeight="1" x14ac:dyDescent="0.2">
      <c r="A1947" s="120" t="s">
        <v>6537</v>
      </c>
      <c r="B1947" s="120" t="s">
        <v>5432</v>
      </c>
      <c r="C1947" s="98" t="s">
        <v>3533</v>
      </c>
      <c r="D1947" s="120" t="s">
        <v>3563</v>
      </c>
      <c r="E1947" s="98">
        <v>1.6500000000000001E-2</v>
      </c>
      <c r="F1947" s="120">
        <v>0</v>
      </c>
      <c r="G1947" s="121">
        <v>17230</v>
      </c>
      <c r="H1947" s="123">
        <v>1.6500000000000001E-2</v>
      </c>
      <c r="I1947" s="122">
        <v>284.29500000000002</v>
      </c>
      <c r="J1947" s="124">
        <f t="shared" si="30"/>
        <v>16.5</v>
      </c>
    </row>
    <row r="1948" spans="1:11" ht="15" customHeight="1" x14ac:dyDescent="0.2">
      <c r="A1948" s="120" t="s">
        <v>6538</v>
      </c>
      <c r="B1948" s="120" t="s">
        <v>5432</v>
      </c>
      <c r="C1948" s="98" t="s">
        <v>3533</v>
      </c>
      <c r="D1948" s="120" t="s">
        <v>3563</v>
      </c>
      <c r="E1948" s="98">
        <v>1.8589999999999999E-2</v>
      </c>
      <c r="F1948" s="120">
        <v>0</v>
      </c>
      <c r="G1948" s="121">
        <v>10088</v>
      </c>
      <c r="H1948" s="123">
        <v>1.8589999999999999E-2</v>
      </c>
      <c r="I1948" s="122">
        <v>187.53591999999998</v>
      </c>
      <c r="J1948" s="124">
        <f t="shared" si="30"/>
        <v>18.59</v>
      </c>
    </row>
    <row r="1949" spans="1:11" ht="15" customHeight="1" x14ac:dyDescent="0.2">
      <c r="A1949" s="120" t="s">
        <v>6539</v>
      </c>
      <c r="B1949" s="120" t="s">
        <v>2254</v>
      </c>
      <c r="C1949" s="98" t="s">
        <v>3533</v>
      </c>
      <c r="D1949" s="120" t="s">
        <v>3563</v>
      </c>
      <c r="E1949" s="98">
        <v>0.02</v>
      </c>
      <c r="F1949" s="120">
        <v>0</v>
      </c>
      <c r="G1949" s="121">
        <v>19800</v>
      </c>
      <c r="H1949" s="123">
        <v>0.02</v>
      </c>
      <c r="I1949" s="122">
        <v>396</v>
      </c>
      <c r="J1949" s="124">
        <f t="shared" si="30"/>
        <v>20</v>
      </c>
      <c r="K1949" s="98" t="s">
        <v>3272</v>
      </c>
    </row>
    <row r="1950" spans="1:11" ht="15" customHeight="1" x14ac:dyDescent="0.2">
      <c r="A1950" s="120" t="s">
        <v>6540</v>
      </c>
      <c r="B1950" s="120" t="s">
        <v>5120</v>
      </c>
      <c r="C1950" s="98" t="s">
        <v>3533</v>
      </c>
      <c r="D1950" s="120" t="s">
        <v>3563</v>
      </c>
      <c r="E1950" s="98">
        <v>2.9350000000000001E-2</v>
      </c>
      <c r="F1950" s="120">
        <v>0</v>
      </c>
      <c r="G1950" s="121">
        <v>25000</v>
      </c>
      <c r="H1950" s="123">
        <v>2.9350000000000001E-2</v>
      </c>
      <c r="I1950" s="122">
        <v>733.75</v>
      </c>
      <c r="J1950" s="124">
        <f t="shared" si="30"/>
        <v>29.35</v>
      </c>
      <c r="K1950" s="98" t="s">
        <v>2387</v>
      </c>
    </row>
    <row r="1951" spans="1:11" ht="15" customHeight="1" x14ac:dyDescent="0.2">
      <c r="A1951" s="120" t="s">
        <v>6541</v>
      </c>
      <c r="B1951" s="120" t="s">
        <v>6542</v>
      </c>
      <c r="C1951" s="98" t="s">
        <v>3533</v>
      </c>
      <c r="D1951" s="120" t="s">
        <v>3563</v>
      </c>
      <c r="E1951" s="98">
        <v>13.5</v>
      </c>
      <c r="F1951" s="120">
        <v>0</v>
      </c>
      <c r="G1951" s="121">
        <v>731</v>
      </c>
      <c r="H1951" s="123">
        <v>13.5</v>
      </c>
      <c r="I1951" s="122">
        <v>9868.5</v>
      </c>
      <c r="J1951" s="124">
        <f t="shared" si="30"/>
        <v>13500</v>
      </c>
    </row>
    <row r="1952" spans="1:11" ht="15" customHeight="1" x14ac:dyDescent="0.2">
      <c r="A1952" s="120" t="s">
        <v>6543</v>
      </c>
      <c r="B1952" s="120" t="s">
        <v>2146</v>
      </c>
      <c r="C1952" s="98" t="s">
        <v>3533</v>
      </c>
      <c r="D1952" s="120" t="s">
        <v>3563</v>
      </c>
      <c r="E1952" s="98">
        <v>2.3E-2</v>
      </c>
      <c r="F1952" s="120">
        <v>0</v>
      </c>
      <c r="G1952" s="121">
        <v>35001</v>
      </c>
      <c r="H1952" s="123">
        <v>2.1857000000000001E-2</v>
      </c>
      <c r="I1952" s="122">
        <v>765.01685700000007</v>
      </c>
      <c r="J1952" s="124">
        <f t="shared" si="30"/>
        <v>23</v>
      </c>
      <c r="K1952" s="98" t="s">
        <v>2387</v>
      </c>
    </row>
    <row r="1953" spans="1:11" ht="15" customHeight="1" x14ac:dyDescent="0.2">
      <c r="A1953" s="120" t="s">
        <v>6544</v>
      </c>
      <c r="B1953" s="120" t="s">
        <v>5696</v>
      </c>
      <c r="C1953" s="98" t="s">
        <v>3533</v>
      </c>
      <c r="D1953" s="120" t="s">
        <v>3563</v>
      </c>
      <c r="E1953" s="98">
        <v>8.4000000000000005E-2</v>
      </c>
      <c r="F1953" s="120">
        <v>0</v>
      </c>
      <c r="G1953" s="121">
        <v>14000</v>
      </c>
      <c r="H1953" s="123">
        <v>8.4000000000000005E-2</v>
      </c>
      <c r="I1953" s="122">
        <v>1176</v>
      </c>
      <c r="J1953" s="124">
        <f t="shared" si="30"/>
        <v>84</v>
      </c>
    </row>
    <row r="1954" spans="1:11" ht="15" customHeight="1" x14ac:dyDescent="0.2">
      <c r="A1954" s="120" t="s">
        <v>2243</v>
      </c>
      <c r="B1954" s="120" t="s">
        <v>2254</v>
      </c>
      <c r="C1954" s="98" t="s">
        <v>3533</v>
      </c>
      <c r="D1954" s="120" t="s">
        <v>3563</v>
      </c>
      <c r="E1954" s="98">
        <v>9.5000000000000001E-2</v>
      </c>
      <c r="F1954" s="120">
        <v>0</v>
      </c>
      <c r="G1954" s="121">
        <v>76055</v>
      </c>
      <c r="H1954" s="123">
        <v>9.5000000000000001E-2</v>
      </c>
      <c r="I1954" s="122">
        <v>7225.2250000000004</v>
      </c>
      <c r="J1954" s="124">
        <f t="shared" si="30"/>
        <v>95</v>
      </c>
      <c r="K1954" s="98" t="s">
        <v>6545</v>
      </c>
    </row>
    <row r="1955" spans="1:11" ht="15" customHeight="1" x14ac:dyDescent="0.2">
      <c r="A1955" s="120" t="s">
        <v>6546</v>
      </c>
      <c r="B1955" s="120" t="s">
        <v>6547</v>
      </c>
      <c r="C1955" s="98" t="s">
        <v>3533</v>
      </c>
      <c r="D1955" s="120" t="s">
        <v>3563</v>
      </c>
      <c r="E1955" s="98">
        <v>0.64500000000000002</v>
      </c>
      <c r="F1955" s="120">
        <v>0</v>
      </c>
      <c r="G1955" s="121">
        <v>48085</v>
      </c>
      <c r="H1955" s="123">
        <v>0.64500000000000002</v>
      </c>
      <c r="I1955" s="122">
        <v>31014.825000000001</v>
      </c>
      <c r="J1955" s="124">
        <f t="shared" si="30"/>
        <v>645</v>
      </c>
      <c r="K1955" s="98" t="s">
        <v>2387</v>
      </c>
    </row>
    <row r="1956" spans="1:11" ht="15" customHeight="1" x14ac:dyDescent="0.2">
      <c r="A1956" s="120" t="s">
        <v>6548</v>
      </c>
      <c r="B1956" s="120" t="s">
        <v>2146</v>
      </c>
      <c r="C1956" s="98" t="s">
        <v>3533</v>
      </c>
      <c r="D1956" s="120" t="s">
        <v>3563</v>
      </c>
      <c r="E1956" s="98">
        <v>8.7999999999999995E-2</v>
      </c>
      <c r="F1956" s="120">
        <v>0</v>
      </c>
      <c r="G1956" s="121">
        <v>10331</v>
      </c>
      <c r="H1956" s="123">
        <v>8.7999999999999995E-2</v>
      </c>
      <c r="I1956" s="122">
        <v>909.12799999999993</v>
      </c>
      <c r="J1956" s="124">
        <f t="shared" si="30"/>
        <v>88</v>
      </c>
      <c r="K1956" s="98" t="s">
        <v>2387</v>
      </c>
    </row>
    <row r="1957" spans="1:11" ht="15" customHeight="1" x14ac:dyDescent="0.2">
      <c r="A1957" s="120" t="s">
        <v>6549</v>
      </c>
      <c r="B1957" s="120" t="s">
        <v>2146</v>
      </c>
      <c r="C1957" s="98" t="s">
        <v>3533</v>
      </c>
      <c r="D1957" s="120" t="s">
        <v>3563</v>
      </c>
      <c r="E1957" s="98">
        <v>5</v>
      </c>
      <c r="F1957" s="120">
        <v>0</v>
      </c>
      <c r="G1957" s="121">
        <v>950</v>
      </c>
      <c r="H1957" s="123">
        <v>5</v>
      </c>
      <c r="I1957" s="122">
        <v>4750</v>
      </c>
      <c r="J1957" s="124">
        <f t="shared" si="30"/>
        <v>5000</v>
      </c>
      <c r="K1957" s="98" t="s">
        <v>6288</v>
      </c>
    </row>
    <row r="1958" spans="1:11" ht="15" customHeight="1" x14ac:dyDescent="0.2">
      <c r="A1958" s="120" t="s">
        <v>6550</v>
      </c>
      <c r="B1958" s="120" t="s">
        <v>4873</v>
      </c>
      <c r="C1958" s="98" t="s">
        <v>3533</v>
      </c>
      <c r="D1958" s="120" t="s">
        <v>3563</v>
      </c>
      <c r="E1958" s="98">
        <v>1.508E-2</v>
      </c>
      <c r="F1958" s="120">
        <v>0</v>
      </c>
      <c r="G1958" s="121">
        <v>256875</v>
      </c>
      <c r="H1958" s="123">
        <v>1.508E-2</v>
      </c>
      <c r="I1958" s="122">
        <v>3873.6749999999997</v>
      </c>
      <c r="J1958" s="124">
        <f t="shared" si="30"/>
        <v>15.08</v>
      </c>
      <c r="K1958" s="98" t="s">
        <v>2405</v>
      </c>
    </row>
    <row r="1959" spans="1:11" ht="15" customHeight="1" x14ac:dyDescent="0.2">
      <c r="A1959" s="120" t="s">
        <v>6551</v>
      </c>
      <c r="B1959" s="120" t="s">
        <v>5906</v>
      </c>
      <c r="C1959" s="98" t="s">
        <v>3533</v>
      </c>
      <c r="D1959" s="120" t="s">
        <v>3563</v>
      </c>
      <c r="E1959" s="98">
        <v>0.61</v>
      </c>
      <c r="F1959" s="120">
        <v>0</v>
      </c>
      <c r="G1959" s="121">
        <v>940</v>
      </c>
      <c r="H1959" s="123">
        <v>0.61</v>
      </c>
      <c r="I1959" s="122">
        <v>573.4</v>
      </c>
      <c r="J1959" s="124">
        <f t="shared" si="30"/>
        <v>610</v>
      </c>
      <c r="K1959" s="98" t="s">
        <v>6552</v>
      </c>
    </row>
    <row r="1960" spans="1:11" ht="15" customHeight="1" x14ac:dyDescent="0.2">
      <c r="A1960" s="120" t="s">
        <v>6553</v>
      </c>
      <c r="B1960" s="120" t="s">
        <v>6547</v>
      </c>
      <c r="C1960" s="98" t="s">
        <v>3533</v>
      </c>
      <c r="D1960" s="120" t="s">
        <v>3563</v>
      </c>
      <c r="E1960" s="98">
        <v>0.31605850000000002</v>
      </c>
      <c r="F1960" s="120">
        <v>0</v>
      </c>
      <c r="G1960" s="121">
        <v>1920</v>
      </c>
      <c r="H1960" s="123">
        <v>0.31605899999999998</v>
      </c>
      <c r="I1960" s="122">
        <v>606.83327999999995</v>
      </c>
      <c r="J1960" s="124">
        <f t="shared" si="30"/>
        <v>316.05850000000004</v>
      </c>
      <c r="K1960" s="98" t="s">
        <v>5189</v>
      </c>
    </row>
    <row r="1961" spans="1:11" ht="15" customHeight="1" x14ac:dyDescent="0.2">
      <c r="A1961" s="120" t="s">
        <v>6554</v>
      </c>
      <c r="B1961" s="120" t="s">
        <v>6547</v>
      </c>
      <c r="C1961" s="98" t="s">
        <v>3533</v>
      </c>
      <c r="D1961" s="120" t="s">
        <v>3563</v>
      </c>
      <c r="E1961" s="98">
        <v>0.45700000000000002</v>
      </c>
      <c r="F1961" s="120">
        <v>0</v>
      </c>
      <c r="G1961" s="121">
        <v>13324</v>
      </c>
      <c r="H1961" s="123">
        <v>0.45700000000000002</v>
      </c>
      <c r="I1961" s="122">
        <v>6089.0680000000002</v>
      </c>
      <c r="J1961" s="124">
        <f t="shared" si="30"/>
        <v>457</v>
      </c>
      <c r="K1961" s="98" t="s">
        <v>6555</v>
      </c>
    </row>
    <row r="1962" spans="1:11" ht="15" customHeight="1" x14ac:dyDescent="0.2">
      <c r="A1962" s="120" t="s">
        <v>6556</v>
      </c>
      <c r="B1962" s="120" t="s">
        <v>5337</v>
      </c>
      <c r="C1962" s="98" t="s">
        <v>3533</v>
      </c>
      <c r="D1962" s="120" t="s">
        <v>3563</v>
      </c>
      <c r="E1962" s="98">
        <v>0.79500000000000004</v>
      </c>
      <c r="F1962" s="120">
        <v>0</v>
      </c>
      <c r="G1962" s="121">
        <v>5830</v>
      </c>
      <c r="H1962" s="123">
        <v>0.79500000000000004</v>
      </c>
      <c r="I1962" s="122">
        <v>4634.8500000000004</v>
      </c>
      <c r="J1962" s="124">
        <f t="shared" si="30"/>
        <v>795</v>
      </c>
      <c r="K1962" s="98" t="s">
        <v>6557</v>
      </c>
    </row>
    <row r="1963" spans="1:11" ht="15" customHeight="1" x14ac:dyDescent="0.2">
      <c r="A1963" s="120" t="s">
        <v>6558</v>
      </c>
      <c r="B1963" s="120" t="s">
        <v>6547</v>
      </c>
      <c r="C1963" s="98" t="s">
        <v>3533</v>
      </c>
      <c r="D1963" s="120" t="s">
        <v>3563</v>
      </c>
      <c r="E1963" s="98">
        <v>0.46524599999999999</v>
      </c>
      <c r="F1963" s="120">
        <v>0</v>
      </c>
      <c r="G1963" s="121">
        <v>3654</v>
      </c>
      <c r="H1963" s="123">
        <v>0.46524599999999999</v>
      </c>
      <c r="I1963" s="122">
        <v>1700.0088840000001</v>
      </c>
      <c r="J1963" s="124">
        <f t="shared" si="30"/>
        <v>465.24599999999998</v>
      </c>
      <c r="K1963" s="98" t="s">
        <v>6555</v>
      </c>
    </row>
    <row r="1964" spans="1:11" ht="15" customHeight="1" x14ac:dyDescent="0.2">
      <c r="A1964" s="120" t="s">
        <v>6559</v>
      </c>
      <c r="B1964" s="120" t="s">
        <v>6547</v>
      </c>
      <c r="C1964" s="98" t="s">
        <v>3533</v>
      </c>
      <c r="D1964" s="120" t="s">
        <v>3563</v>
      </c>
      <c r="E1964" s="98">
        <v>0.85</v>
      </c>
      <c r="F1964" s="120">
        <v>0</v>
      </c>
      <c r="G1964" s="121">
        <v>5960</v>
      </c>
      <c r="H1964" s="123">
        <v>0.85</v>
      </c>
      <c r="I1964" s="122">
        <v>5066</v>
      </c>
      <c r="J1964" s="124">
        <f t="shared" si="30"/>
        <v>850</v>
      </c>
      <c r="K1964" s="98" t="s">
        <v>6560</v>
      </c>
    </row>
    <row r="1965" spans="1:11" ht="15" customHeight="1" x14ac:dyDescent="0.2">
      <c r="A1965" s="120" t="s">
        <v>6561</v>
      </c>
      <c r="B1965" s="120" t="s">
        <v>6562</v>
      </c>
      <c r="C1965" s="98" t="s">
        <v>3533</v>
      </c>
      <c r="D1965" s="120" t="s">
        <v>3563</v>
      </c>
      <c r="E1965" s="98">
        <v>1.268</v>
      </c>
      <c r="F1965" s="120">
        <v>0</v>
      </c>
      <c r="G1965" s="121">
        <v>800</v>
      </c>
      <c r="H1965" s="123">
        <v>1.268</v>
      </c>
      <c r="I1965" s="122">
        <v>1014.4</v>
      </c>
      <c r="J1965" s="124">
        <f t="shared" si="30"/>
        <v>1268</v>
      </c>
      <c r="K1965" s="98" t="s">
        <v>6288</v>
      </c>
    </row>
    <row r="1966" spans="1:11" ht="15" customHeight="1" x14ac:dyDescent="0.2">
      <c r="A1966" s="120" t="s">
        <v>6563</v>
      </c>
      <c r="B1966" s="120" t="s">
        <v>5110</v>
      </c>
      <c r="C1966" s="98" t="s">
        <v>3533</v>
      </c>
      <c r="D1966" s="120" t="s">
        <v>3563</v>
      </c>
      <c r="E1966" s="98">
        <v>1.2999999999999999E-2</v>
      </c>
      <c r="F1966" s="120">
        <v>0</v>
      </c>
      <c r="G1966" s="121">
        <v>0</v>
      </c>
      <c r="H1966" s="123">
        <v>1.2999999999999999E-2</v>
      </c>
      <c r="I1966" s="122">
        <v>0</v>
      </c>
      <c r="J1966" s="124">
        <f t="shared" si="30"/>
        <v>13</v>
      </c>
      <c r="K1966" s="98" t="s">
        <v>2387</v>
      </c>
    </row>
    <row r="1967" spans="1:11" ht="15" customHeight="1" x14ac:dyDescent="0.2">
      <c r="A1967" s="120" t="s">
        <v>6564</v>
      </c>
      <c r="B1967" s="120" t="s">
        <v>6565</v>
      </c>
      <c r="C1967" s="98" t="s">
        <v>3533</v>
      </c>
      <c r="D1967" s="120" t="s">
        <v>3563</v>
      </c>
      <c r="E1967" s="98">
        <v>0.125</v>
      </c>
      <c r="F1967" s="120">
        <v>0</v>
      </c>
      <c r="G1967" s="121">
        <v>21040</v>
      </c>
      <c r="H1967" s="123">
        <v>0.125</v>
      </c>
      <c r="I1967" s="122">
        <v>2630</v>
      </c>
      <c r="J1967" s="124">
        <f t="shared" si="30"/>
        <v>125</v>
      </c>
      <c r="K1967" s="98" t="s">
        <v>6566</v>
      </c>
    </row>
    <row r="1968" spans="1:11" ht="15" customHeight="1" x14ac:dyDescent="0.2">
      <c r="A1968" s="120" t="s">
        <v>6567</v>
      </c>
      <c r="B1968" s="120" t="s">
        <v>4723</v>
      </c>
      <c r="C1968" s="98" t="s">
        <v>3533</v>
      </c>
      <c r="D1968" s="120" t="s">
        <v>3563</v>
      </c>
      <c r="E1968" s="98">
        <v>0.29499999999999998</v>
      </c>
      <c r="F1968" s="120">
        <v>0</v>
      </c>
      <c r="G1968" s="121">
        <v>23609</v>
      </c>
      <c r="H1968" s="123">
        <v>0.29499999999999998</v>
      </c>
      <c r="I1968" s="122">
        <v>6964.6549999999997</v>
      </c>
      <c r="J1968" s="124">
        <f t="shared" si="30"/>
        <v>295</v>
      </c>
    </row>
    <row r="1969" spans="1:11" ht="15" customHeight="1" x14ac:dyDescent="0.2">
      <c r="A1969" s="120" t="s">
        <v>6568</v>
      </c>
      <c r="B1969" s="120" t="s">
        <v>6569</v>
      </c>
      <c r="C1969" s="98" t="s">
        <v>3533</v>
      </c>
      <c r="D1969" s="120" t="s">
        <v>3563</v>
      </c>
      <c r="E1969" s="98">
        <v>0.4</v>
      </c>
      <c r="F1969" s="120">
        <v>0</v>
      </c>
      <c r="G1969" s="121">
        <v>7861</v>
      </c>
      <c r="H1969" s="123">
        <v>0.4</v>
      </c>
      <c r="I1969" s="122">
        <v>3144.4</v>
      </c>
      <c r="J1969" s="124">
        <f t="shared" si="30"/>
        <v>400</v>
      </c>
      <c r="K1969" s="98" t="s">
        <v>6570</v>
      </c>
    </row>
    <row r="1970" spans="1:11" ht="15" customHeight="1" x14ac:dyDescent="0.2">
      <c r="A1970" s="120" t="s">
        <v>6571</v>
      </c>
      <c r="B1970" s="120" t="s">
        <v>6387</v>
      </c>
      <c r="C1970" s="98" t="s">
        <v>3533</v>
      </c>
      <c r="D1970" s="120" t="s">
        <v>3563</v>
      </c>
      <c r="E1970" s="98">
        <v>0.32500000000000001</v>
      </c>
      <c r="F1970" s="120">
        <v>0</v>
      </c>
      <c r="G1970" s="121">
        <v>6495</v>
      </c>
      <c r="H1970" s="123">
        <v>0.32500000000000001</v>
      </c>
      <c r="I1970" s="122">
        <v>2110.875</v>
      </c>
      <c r="J1970" s="124">
        <f t="shared" si="30"/>
        <v>325</v>
      </c>
      <c r="K1970" s="98" t="s">
        <v>6572</v>
      </c>
    </row>
    <row r="1971" spans="1:11" ht="15" customHeight="1" x14ac:dyDescent="0.2">
      <c r="A1971" s="120" t="s">
        <v>6573</v>
      </c>
      <c r="B1971" s="120" t="s">
        <v>2146</v>
      </c>
      <c r="C1971" s="98" t="s">
        <v>3533</v>
      </c>
      <c r="D1971" s="120" t="s">
        <v>3563</v>
      </c>
      <c r="E1971" s="98">
        <v>0.11</v>
      </c>
      <c r="F1971" s="120">
        <v>0</v>
      </c>
      <c r="G1971" s="121">
        <v>4325</v>
      </c>
      <c r="H1971" s="123">
        <v>0.11</v>
      </c>
      <c r="I1971" s="122">
        <v>475.75</v>
      </c>
      <c r="J1971" s="124">
        <f t="shared" si="30"/>
        <v>110</v>
      </c>
      <c r="K1971" s="98" t="s">
        <v>5571</v>
      </c>
    </row>
    <row r="1972" spans="1:11" ht="15" customHeight="1" x14ac:dyDescent="0.2">
      <c r="A1972" s="120" t="s">
        <v>6574</v>
      </c>
      <c r="B1972" s="120" t="s">
        <v>6575</v>
      </c>
      <c r="C1972" s="98" t="s">
        <v>3533</v>
      </c>
      <c r="D1972" s="120" t="s">
        <v>3563</v>
      </c>
      <c r="E1972" s="98">
        <v>0.51500000000000001</v>
      </c>
      <c r="F1972" s="120">
        <v>0</v>
      </c>
      <c r="G1972" s="121">
        <v>10600</v>
      </c>
      <c r="H1972" s="123">
        <v>0.51500000000000001</v>
      </c>
      <c r="I1972" s="122">
        <v>5459</v>
      </c>
      <c r="J1972" s="124">
        <f t="shared" si="30"/>
        <v>515</v>
      </c>
      <c r="K1972" s="98" t="s">
        <v>6576</v>
      </c>
    </row>
    <row r="1973" spans="1:11" ht="15" customHeight="1" x14ac:dyDescent="0.2">
      <c r="A1973" s="120" t="s">
        <v>6577</v>
      </c>
      <c r="B1973" s="120" t="s">
        <v>5110</v>
      </c>
      <c r="C1973" s="98" t="s">
        <v>3533</v>
      </c>
      <c r="D1973" s="120" t="s">
        <v>3563</v>
      </c>
      <c r="E1973" s="98">
        <v>0.02</v>
      </c>
      <c r="F1973" s="120">
        <v>0</v>
      </c>
      <c r="G1973" s="121">
        <v>0</v>
      </c>
      <c r="H1973" s="123">
        <v>0.02</v>
      </c>
      <c r="I1973" s="122">
        <v>0</v>
      </c>
      <c r="J1973" s="124">
        <f t="shared" si="30"/>
        <v>20</v>
      </c>
      <c r="K1973" s="98" t="s">
        <v>2387</v>
      </c>
    </row>
    <row r="1974" spans="1:11" ht="15" customHeight="1" x14ac:dyDescent="0.2">
      <c r="A1974" s="120" t="s">
        <v>6578</v>
      </c>
      <c r="B1974" s="120" t="s">
        <v>5814</v>
      </c>
      <c r="C1974" s="98" t="s">
        <v>3533</v>
      </c>
      <c r="D1974" s="120" t="s">
        <v>3563</v>
      </c>
      <c r="E1974" s="98">
        <v>1.8700000000000001E-2</v>
      </c>
      <c r="F1974" s="120">
        <v>0</v>
      </c>
      <c r="G1974" s="121">
        <v>0</v>
      </c>
      <c r="H1974" s="123">
        <v>1.8700000000000001E-2</v>
      </c>
      <c r="I1974" s="122">
        <v>0</v>
      </c>
      <c r="J1974" s="124">
        <f t="shared" si="30"/>
        <v>18.700000000000003</v>
      </c>
      <c r="K1974" s="98" t="s">
        <v>6579</v>
      </c>
    </row>
    <row r="1975" spans="1:11" ht="15" customHeight="1" x14ac:dyDescent="0.2">
      <c r="A1975" s="120" t="s">
        <v>6580</v>
      </c>
      <c r="B1975" s="120" t="s">
        <v>6581</v>
      </c>
      <c r="C1975" s="98" t="s">
        <v>3533</v>
      </c>
      <c r="D1975" s="120" t="s">
        <v>3563</v>
      </c>
      <c r="E1975" s="98">
        <v>0.17</v>
      </c>
      <c r="F1975" s="120">
        <v>0</v>
      </c>
      <c r="G1975" s="121">
        <v>27390</v>
      </c>
      <c r="H1975" s="123">
        <v>0.17</v>
      </c>
      <c r="I1975" s="122">
        <v>4656.3</v>
      </c>
      <c r="J1975" s="124">
        <f t="shared" si="30"/>
        <v>170</v>
      </c>
      <c r="K1975" s="98" t="s">
        <v>6582</v>
      </c>
    </row>
    <row r="1976" spans="1:11" ht="15" customHeight="1" x14ac:dyDescent="0.2">
      <c r="A1976" s="120" t="s">
        <v>6583</v>
      </c>
      <c r="B1976" s="120" t="s">
        <v>5182</v>
      </c>
      <c r="C1976" s="98" t="s">
        <v>3533</v>
      </c>
      <c r="D1976" s="120" t="s">
        <v>3563</v>
      </c>
      <c r="E1976" s="98">
        <v>0.5</v>
      </c>
      <c r="F1976" s="120">
        <v>0</v>
      </c>
      <c r="G1976" s="121">
        <v>4108</v>
      </c>
      <c r="H1976" s="123">
        <v>0.5</v>
      </c>
      <c r="I1976" s="122">
        <v>2054</v>
      </c>
      <c r="J1976" s="124">
        <f t="shared" si="30"/>
        <v>500</v>
      </c>
      <c r="K1976" s="98" t="s">
        <v>6584</v>
      </c>
    </row>
    <row r="1977" spans="1:11" ht="15" customHeight="1" x14ac:dyDescent="0.2">
      <c r="A1977" s="120" t="s">
        <v>6585</v>
      </c>
      <c r="B1977" s="120" t="s">
        <v>5337</v>
      </c>
      <c r="C1977" s="98" t="s">
        <v>3533</v>
      </c>
      <c r="D1977" s="120" t="s">
        <v>3563</v>
      </c>
      <c r="E1977" s="98">
        <v>0.97499999999999998</v>
      </c>
      <c r="F1977" s="120">
        <v>0</v>
      </c>
      <c r="G1977" s="121">
        <v>489</v>
      </c>
      <c r="H1977" s="123">
        <v>0.97499999999999998</v>
      </c>
      <c r="I1977" s="122">
        <v>476.77499999999998</v>
      </c>
      <c r="J1977" s="124">
        <f t="shared" si="30"/>
        <v>975</v>
      </c>
      <c r="K1977" s="98" t="s">
        <v>5571</v>
      </c>
    </row>
    <row r="1978" spans="1:11" ht="15" customHeight="1" x14ac:dyDescent="0.2">
      <c r="A1978" s="120" t="s">
        <v>6586</v>
      </c>
      <c r="B1978" s="120" t="s">
        <v>6587</v>
      </c>
      <c r="C1978" s="98" t="s">
        <v>3533</v>
      </c>
      <c r="D1978" s="120" t="s">
        <v>3563</v>
      </c>
      <c r="E1978" s="98">
        <v>0.14899999999999999</v>
      </c>
      <c r="F1978" s="120">
        <v>0</v>
      </c>
      <c r="G1978" s="121">
        <v>29907</v>
      </c>
      <c r="H1978" s="123">
        <v>0.14899999999999999</v>
      </c>
      <c r="I1978" s="122">
        <v>4456.143</v>
      </c>
      <c r="J1978" s="124">
        <f t="shared" si="30"/>
        <v>149</v>
      </c>
      <c r="K1978" s="98" t="s">
        <v>6588</v>
      </c>
    </row>
    <row r="1979" spans="1:11" ht="15" customHeight="1" x14ac:dyDescent="0.2">
      <c r="A1979" s="120" t="s">
        <v>6589</v>
      </c>
      <c r="B1979" s="120" t="s">
        <v>5337</v>
      </c>
      <c r="C1979" s="98" t="s">
        <v>3533</v>
      </c>
      <c r="D1979" s="120" t="s">
        <v>3563</v>
      </c>
      <c r="E1979" s="98">
        <v>0.215</v>
      </c>
      <c r="F1979" s="120">
        <v>0</v>
      </c>
      <c r="G1979" s="121">
        <v>12065</v>
      </c>
      <c r="H1979" s="123">
        <v>0.215</v>
      </c>
      <c r="I1979" s="122">
        <v>2593.9749999999999</v>
      </c>
      <c r="J1979" s="124">
        <f t="shared" si="30"/>
        <v>215</v>
      </c>
      <c r="K1979" s="98" t="s">
        <v>5189</v>
      </c>
    </row>
    <row r="1980" spans="1:11" ht="15" customHeight="1" x14ac:dyDescent="0.2">
      <c r="A1980" s="120" t="s">
        <v>6590</v>
      </c>
      <c r="B1980" s="120" t="s">
        <v>6591</v>
      </c>
      <c r="C1980" s="98" t="s">
        <v>3533</v>
      </c>
      <c r="D1980" s="120" t="s">
        <v>3563</v>
      </c>
      <c r="E1980" s="98">
        <v>0.67240999999999995</v>
      </c>
      <c r="F1980" s="120">
        <v>0</v>
      </c>
      <c r="G1980" s="121">
        <v>2710</v>
      </c>
      <c r="H1980" s="123">
        <v>0.67240999999999995</v>
      </c>
      <c r="I1980" s="122">
        <v>1822.2311</v>
      </c>
      <c r="J1980" s="124">
        <f t="shared" si="30"/>
        <v>672.41</v>
      </c>
    </row>
    <row r="1981" spans="1:11" ht="15" customHeight="1" x14ac:dyDescent="0.2">
      <c r="A1981" s="120" t="s">
        <v>6592</v>
      </c>
      <c r="B1981" s="120" t="s">
        <v>6593</v>
      </c>
      <c r="C1981" s="98" t="s">
        <v>3533</v>
      </c>
      <c r="D1981" s="120" t="s">
        <v>3563</v>
      </c>
      <c r="E1981" s="98">
        <v>0.14699999999999999</v>
      </c>
      <c r="F1981" s="120">
        <v>0</v>
      </c>
      <c r="G1981" s="121">
        <v>187</v>
      </c>
      <c r="H1981" s="123">
        <v>0.14699999999999999</v>
      </c>
      <c r="I1981" s="122">
        <v>27.488999999999997</v>
      </c>
      <c r="J1981" s="124">
        <f t="shared" si="30"/>
        <v>147</v>
      </c>
      <c r="K1981" s="98" t="s">
        <v>5214</v>
      </c>
    </row>
    <row r="1982" spans="1:11" ht="15" customHeight="1" x14ac:dyDescent="0.2">
      <c r="A1982" s="120" t="s">
        <v>6594</v>
      </c>
      <c r="B1982" s="120" t="s">
        <v>6595</v>
      </c>
      <c r="C1982" s="98" t="s">
        <v>3533</v>
      </c>
      <c r="D1982" s="120" t="s">
        <v>3563</v>
      </c>
      <c r="E1982" s="98">
        <v>0.33600000000000002</v>
      </c>
      <c r="F1982" s="120">
        <v>0</v>
      </c>
      <c r="G1982" s="121">
        <v>3128</v>
      </c>
      <c r="H1982" s="123">
        <v>0.33600000000000002</v>
      </c>
      <c r="I1982" s="122">
        <v>1051.008</v>
      </c>
      <c r="J1982" s="124">
        <f t="shared" si="30"/>
        <v>336</v>
      </c>
      <c r="K1982" s="98" t="s">
        <v>6596</v>
      </c>
    </row>
    <row r="1983" spans="1:11" ht="15" customHeight="1" x14ac:dyDescent="0.2">
      <c r="A1983" s="120" t="s">
        <v>6597</v>
      </c>
      <c r="B1983" s="120" t="s">
        <v>2254</v>
      </c>
      <c r="C1983" s="98" t="s">
        <v>3533</v>
      </c>
      <c r="D1983" s="120" t="s">
        <v>3563</v>
      </c>
      <c r="E1983" s="98">
        <v>0.31900000000000001</v>
      </c>
      <c r="F1983" s="120">
        <v>0</v>
      </c>
      <c r="G1983" s="121">
        <v>6624</v>
      </c>
      <c r="H1983" s="123">
        <v>0.31900000000000001</v>
      </c>
      <c r="I1983" s="122">
        <v>2113.056</v>
      </c>
      <c r="J1983" s="124">
        <f t="shared" si="30"/>
        <v>319</v>
      </c>
      <c r="K1983" s="98" t="s">
        <v>5189</v>
      </c>
    </row>
    <row r="1984" spans="1:11" ht="15" customHeight="1" x14ac:dyDescent="0.2">
      <c r="A1984" s="120" t="s">
        <v>6598</v>
      </c>
      <c r="B1984" s="120" t="s">
        <v>5072</v>
      </c>
      <c r="C1984" s="98" t="s">
        <v>3533</v>
      </c>
      <c r="D1984" s="120" t="s">
        <v>3563</v>
      </c>
      <c r="E1984" s="98">
        <v>2.1499999999999998E-2</v>
      </c>
      <c r="F1984" s="120">
        <v>0</v>
      </c>
      <c r="G1984" s="121">
        <v>8098</v>
      </c>
      <c r="H1984" s="123">
        <v>2.1499999999999998E-2</v>
      </c>
      <c r="I1984" s="122">
        <v>174.107</v>
      </c>
      <c r="J1984" s="124">
        <f t="shared" si="30"/>
        <v>21.5</v>
      </c>
      <c r="K1984" s="98" t="s">
        <v>2387</v>
      </c>
    </row>
    <row r="1985" spans="1:11" ht="15" customHeight="1" x14ac:dyDescent="0.2">
      <c r="A1985" s="120" t="s">
        <v>6599</v>
      </c>
      <c r="B1985" s="120" t="s">
        <v>2254</v>
      </c>
      <c r="C1985" s="98" t="s">
        <v>3533</v>
      </c>
      <c r="D1985" s="120" t="s">
        <v>3563</v>
      </c>
      <c r="E1985" s="98">
        <v>4.1000000000000002E-2</v>
      </c>
      <c r="F1985" s="120">
        <v>0</v>
      </c>
      <c r="G1985" s="121">
        <v>109841</v>
      </c>
      <c r="H1985" s="123">
        <v>4.1000000000000002E-2</v>
      </c>
      <c r="I1985" s="122">
        <v>4503.4809999999998</v>
      </c>
      <c r="J1985" s="124">
        <f t="shared" si="30"/>
        <v>41</v>
      </c>
      <c r="K1985" s="98" t="s">
        <v>2387</v>
      </c>
    </row>
    <row r="1986" spans="1:11" ht="15" customHeight="1" x14ac:dyDescent="0.2">
      <c r="A1986" s="120" t="s">
        <v>6600</v>
      </c>
      <c r="B1986" s="120" t="s">
        <v>6601</v>
      </c>
      <c r="C1986" s="98" t="s">
        <v>3533</v>
      </c>
      <c r="D1986" s="120" t="s">
        <v>3563</v>
      </c>
      <c r="E1986" s="98">
        <v>0.24959999999999999</v>
      </c>
      <c r="F1986" s="120">
        <v>0</v>
      </c>
      <c r="G1986" s="121">
        <v>4870</v>
      </c>
      <c r="H1986" s="123">
        <v>0.24959999999999999</v>
      </c>
      <c r="I1986" s="122">
        <v>1215.5519999999999</v>
      </c>
      <c r="J1986" s="124">
        <f t="shared" ref="J1986:J2049" si="31">IF(D1986="gm", E1986*1000,+E1986)</f>
        <v>249.6</v>
      </c>
      <c r="K1986" s="98" t="s">
        <v>6602</v>
      </c>
    </row>
    <row r="1987" spans="1:11" ht="15" customHeight="1" x14ac:dyDescent="0.2">
      <c r="A1987" s="120" t="s">
        <v>6603</v>
      </c>
      <c r="B1987" s="120" t="s">
        <v>6604</v>
      </c>
      <c r="C1987" s="98" t="s">
        <v>3533</v>
      </c>
      <c r="D1987" s="120" t="s">
        <v>3563</v>
      </c>
      <c r="E1987" s="98">
        <v>0.65</v>
      </c>
      <c r="F1987" s="120">
        <v>0</v>
      </c>
      <c r="G1987" s="121">
        <v>1589</v>
      </c>
      <c r="H1987" s="123">
        <v>0.65</v>
      </c>
      <c r="I1987" s="122">
        <v>1032.8500000000001</v>
      </c>
      <c r="J1987" s="124">
        <f t="shared" si="31"/>
        <v>650</v>
      </c>
      <c r="K1987" s="98" t="s">
        <v>6605</v>
      </c>
    </row>
    <row r="1988" spans="1:11" ht="15" customHeight="1" x14ac:dyDescent="0.2">
      <c r="A1988" s="120" t="s">
        <v>6606</v>
      </c>
      <c r="B1988" s="120" t="s">
        <v>6607</v>
      </c>
      <c r="C1988" s="98" t="s">
        <v>3533</v>
      </c>
      <c r="D1988" s="120" t="s">
        <v>3563</v>
      </c>
      <c r="E1988" s="98">
        <v>0.3</v>
      </c>
      <c r="F1988" s="120">
        <v>0</v>
      </c>
      <c r="G1988" s="121">
        <v>12755</v>
      </c>
      <c r="H1988" s="123">
        <v>0.3</v>
      </c>
      <c r="I1988" s="122">
        <v>3826.5</v>
      </c>
      <c r="J1988" s="124">
        <f t="shared" si="31"/>
        <v>300</v>
      </c>
      <c r="K1988" s="98" t="s">
        <v>6608</v>
      </c>
    </row>
    <row r="1989" spans="1:11" ht="15" customHeight="1" x14ac:dyDescent="0.2">
      <c r="A1989" s="120" t="s">
        <v>6609</v>
      </c>
      <c r="B1989" s="120" t="s">
        <v>5337</v>
      </c>
      <c r="C1989" s="98" t="s">
        <v>3533</v>
      </c>
      <c r="D1989" s="120" t="s">
        <v>3563</v>
      </c>
      <c r="E1989" s="98">
        <v>0.28000000000000003</v>
      </c>
      <c r="F1989" s="120">
        <v>0</v>
      </c>
      <c r="G1989" s="121">
        <v>10000</v>
      </c>
      <c r="H1989" s="123">
        <v>0.28000000000000003</v>
      </c>
      <c r="I1989" s="122">
        <v>2800.0000000000005</v>
      </c>
      <c r="J1989" s="124">
        <f t="shared" si="31"/>
        <v>280</v>
      </c>
      <c r="K1989" s="98" t="s">
        <v>6610</v>
      </c>
    </row>
    <row r="1990" spans="1:11" ht="15" customHeight="1" x14ac:dyDescent="0.2">
      <c r="A1990" s="120" t="s">
        <v>6611</v>
      </c>
      <c r="B1990" s="120" t="s">
        <v>5337</v>
      </c>
      <c r="C1990" s="98" t="s">
        <v>3533</v>
      </c>
      <c r="D1990" s="120" t="s">
        <v>3563</v>
      </c>
      <c r="E1990" s="98">
        <v>0.32500000000000001</v>
      </c>
      <c r="F1990" s="120">
        <v>0</v>
      </c>
      <c r="G1990" s="121">
        <v>6624</v>
      </c>
      <c r="H1990" s="123">
        <v>0.32500000000000001</v>
      </c>
      <c r="I1990" s="122">
        <v>2152.8000000000002</v>
      </c>
      <c r="J1990" s="124">
        <f t="shared" si="31"/>
        <v>325</v>
      </c>
      <c r="K1990" s="98" t="s">
        <v>5189</v>
      </c>
    </row>
    <row r="1991" spans="1:11" ht="15" customHeight="1" x14ac:dyDescent="0.2">
      <c r="A1991" s="120" t="s">
        <v>6612</v>
      </c>
      <c r="B1991" s="120" t="s">
        <v>6613</v>
      </c>
      <c r="C1991" s="98" t="s">
        <v>3533</v>
      </c>
      <c r="D1991" s="120" t="s">
        <v>3563</v>
      </c>
      <c r="E1991" s="98">
        <v>0.05</v>
      </c>
      <c r="F1991" s="120">
        <v>0</v>
      </c>
      <c r="G1991" s="121">
        <v>4336</v>
      </c>
      <c r="H1991" s="123">
        <v>0.05</v>
      </c>
      <c r="I1991" s="122">
        <v>216.8</v>
      </c>
      <c r="J1991" s="124">
        <f t="shared" si="31"/>
        <v>50</v>
      </c>
      <c r="K1991" s="98" t="s">
        <v>2387</v>
      </c>
    </row>
    <row r="1992" spans="1:11" ht="15" customHeight="1" x14ac:dyDescent="0.2">
      <c r="A1992" s="120" t="s">
        <v>6614</v>
      </c>
      <c r="B1992" s="120" t="s">
        <v>6607</v>
      </c>
      <c r="C1992" s="98" t="s">
        <v>3533</v>
      </c>
      <c r="D1992" s="120" t="s">
        <v>3563</v>
      </c>
      <c r="E1992" s="98">
        <v>2.2085537918871301E-2</v>
      </c>
      <c r="F1992" s="120">
        <v>0</v>
      </c>
      <c r="G1992" s="121">
        <v>23690</v>
      </c>
      <c r="H1992" s="123">
        <v>2.2086000000000001E-2</v>
      </c>
      <c r="I1992" s="122">
        <v>523.21734000000004</v>
      </c>
      <c r="J1992" s="124">
        <f t="shared" si="31"/>
        <v>22.085537918871299</v>
      </c>
      <c r="K1992" s="98" t="s">
        <v>6615</v>
      </c>
    </row>
    <row r="1993" spans="1:11" ht="15" customHeight="1" x14ac:dyDescent="0.2">
      <c r="A1993" s="120" t="s">
        <v>6616</v>
      </c>
      <c r="B1993" s="120" t="s">
        <v>4873</v>
      </c>
      <c r="C1993" s="98" t="s">
        <v>3533</v>
      </c>
      <c r="D1993" s="120" t="s">
        <v>3563</v>
      </c>
      <c r="E1993" s="98">
        <v>0.75</v>
      </c>
      <c r="F1993" s="120">
        <v>0</v>
      </c>
      <c r="G1993" s="121">
        <v>3344</v>
      </c>
      <c r="H1993" s="123">
        <v>0.75</v>
      </c>
      <c r="I1993" s="122">
        <v>2508</v>
      </c>
      <c r="J1993" s="124">
        <f t="shared" si="31"/>
        <v>750</v>
      </c>
      <c r="K1993" s="98" t="s">
        <v>6555</v>
      </c>
    </row>
    <row r="1994" spans="1:11" ht="15" customHeight="1" x14ac:dyDescent="0.2">
      <c r="A1994" s="120" t="s">
        <v>6617</v>
      </c>
      <c r="B1994" s="120" t="s">
        <v>2146</v>
      </c>
      <c r="C1994" s="98" t="s">
        <v>3533</v>
      </c>
      <c r="D1994" s="120" t="s">
        <v>3563</v>
      </c>
      <c r="E1994" s="98">
        <v>15.1</v>
      </c>
      <c r="F1994" s="120">
        <v>0</v>
      </c>
      <c r="G1994" s="121">
        <v>1026</v>
      </c>
      <c r="H1994" s="123">
        <v>15.1</v>
      </c>
      <c r="I1994" s="122">
        <v>15492.6</v>
      </c>
      <c r="J1994" s="124">
        <f t="shared" si="31"/>
        <v>15100</v>
      </c>
      <c r="K1994" s="98" t="s">
        <v>6618</v>
      </c>
    </row>
    <row r="1995" spans="1:11" ht="15" customHeight="1" x14ac:dyDescent="0.2">
      <c r="A1995" s="120" t="s">
        <v>6619</v>
      </c>
      <c r="B1995" s="120" t="s">
        <v>2146</v>
      </c>
      <c r="C1995" s="98" t="s">
        <v>3533</v>
      </c>
      <c r="D1995" s="120" t="s">
        <v>3563</v>
      </c>
      <c r="E1995" s="98">
        <v>14.85</v>
      </c>
      <c r="F1995" s="120">
        <v>0</v>
      </c>
      <c r="G1995" s="121">
        <v>29</v>
      </c>
      <c r="H1995" s="123">
        <v>14.85</v>
      </c>
      <c r="I1995" s="122">
        <v>430.65</v>
      </c>
      <c r="J1995" s="124">
        <f t="shared" si="31"/>
        <v>14850</v>
      </c>
      <c r="K1995" s="98" t="s">
        <v>6620</v>
      </c>
    </row>
    <row r="1996" spans="1:11" ht="15" customHeight="1" x14ac:dyDescent="0.2">
      <c r="A1996" s="120" t="s">
        <v>6621</v>
      </c>
      <c r="B1996" s="120" t="s">
        <v>2254</v>
      </c>
      <c r="C1996" s="98" t="s">
        <v>3533</v>
      </c>
      <c r="D1996" s="120" t="s">
        <v>3563</v>
      </c>
      <c r="E1996" s="98">
        <v>0.218</v>
      </c>
      <c r="F1996" s="120">
        <v>0</v>
      </c>
      <c r="G1996" s="121">
        <v>23570</v>
      </c>
      <c r="H1996" s="123">
        <v>0.218</v>
      </c>
      <c r="I1996" s="122">
        <v>5138.26</v>
      </c>
      <c r="J1996" s="124">
        <f t="shared" si="31"/>
        <v>218</v>
      </c>
      <c r="K1996" s="98" t="s">
        <v>2387</v>
      </c>
    </row>
    <row r="1997" spans="1:11" ht="15" customHeight="1" x14ac:dyDescent="0.2">
      <c r="A1997" s="120" t="s">
        <v>6622</v>
      </c>
      <c r="B1997" s="120" t="s">
        <v>6219</v>
      </c>
      <c r="C1997" s="98" t="s">
        <v>3533</v>
      </c>
      <c r="D1997" s="120" t="s">
        <v>3563</v>
      </c>
      <c r="E1997" s="98">
        <v>1.752</v>
      </c>
      <c r="F1997" s="120">
        <v>0</v>
      </c>
      <c r="G1997" s="121">
        <v>5710</v>
      </c>
      <c r="H1997" s="123">
        <v>1.717446</v>
      </c>
      <c r="I1997" s="122">
        <v>9806.6166599999997</v>
      </c>
      <c r="J1997" s="124">
        <f t="shared" si="31"/>
        <v>1752</v>
      </c>
      <c r="K1997" s="98" t="s">
        <v>6623</v>
      </c>
    </row>
    <row r="1998" spans="1:11" ht="15" customHeight="1" x14ac:dyDescent="0.2">
      <c r="A1998" s="120" t="s">
        <v>6624</v>
      </c>
      <c r="B1998" s="120" t="s">
        <v>2146</v>
      </c>
      <c r="C1998" s="98" t="s">
        <v>3533</v>
      </c>
      <c r="D1998" s="120" t="s">
        <v>3563</v>
      </c>
      <c r="E1998" s="98">
        <v>0.31</v>
      </c>
      <c r="F1998" s="120">
        <v>0</v>
      </c>
      <c r="G1998" s="121">
        <v>22310</v>
      </c>
      <c r="H1998" s="123">
        <v>0.31</v>
      </c>
      <c r="I1998" s="122">
        <v>6916.1</v>
      </c>
      <c r="J1998" s="124">
        <f t="shared" si="31"/>
        <v>310</v>
      </c>
      <c r="K1998" s="98" t="s">
        <v>6555</v>
      </c>
    </row>
    <row r="1999" spans="1:11" ht="15" customHeight="1" x14ac:dyDescent="0.2">
      <c r="A1999" s="120" t="s">
        <v>6625</v>
      </c>
      <c r="B1999" s="120" t="s">
        <v>6268</v>
      </c>
      <c r="C1999" s="98" t="s">
        <v>3533</v>
      </c>
      <c r="D1999" s="120" t="s">
        <v>3563</v>
      </c>
      <c r="E1999" s="98">
        <v>1.6271000000000001E-2</v>
      </c>
      <c r="F1999" s="120">
        <v>0</v>
      </c>
      <c r="G1999" s="121">
        <v>9870</v>
      </c>
      <c r="H1999" s="123">
        <v>1.6271000000000001E-2</v>
      </c>
      <c r="I1999" s="122">
        <v>160.59477000000001</v>
      </c>
      <c r="J1999" s="124">
        <f t="shared" si="31"/>
        <v>16.271000000000001</v>
      </c>
      <c r="K1999" s="98" t="s">
        <v>2379</v>
      </c>
    </row>
    <row r="2000" spans="1:11" ht="15" customHeight="1" x14ac:dyDescent="0.2">
      <c r="A2000" s="120" t="s">
        <v>6626</v>
      </c>
      <c r="B2000" s="120" t="s">
        <v>2254</v>
      </c>
      <c r="C2000" s="98" t="s">
        <v>3533</v>
      </c>
      <c r="D2000" s="120" t="s">
        <v>3563</v>
      </c>
      <c r="E2000" s="98">
        <v>1.0999999999999999E-2</v>
      </c>
      <c r="F2000" s="120">
        <v>0</v>
      </c>
      <c r="G2000" s="121">
        <v>212960</v>
      </c>
      <c r="H2000" s="123">
        <v>1.0423E-2</v>
      </c>
      <c r="I2000" s="122">
        <v>2219.68208</v>
      </c>
      <c r="J2000" s="124">
        <f t="shared" si="31"/>
        <v>11</v>
      </c>
      <c r="K2000" s="98" t="s">
        <v>5214</v>
      </c>
    </row>
    <row r="2001" spans="1:11" ht="15" customHeight="1" x14ac:dyDescent="0.2">
      <c r="A2001" s="120" t="s">
        <v>6627</v>
      </c>
      <c r="B2001" s="120" t="s">
        <v>5377</v>
      </c>
      <c r="C2001" s="98" t="s">
        <v>3533</v>
      </c>
      <c r="D2001" s="120" t="s">
        <v>3563</v>
      </c>
      <c r="E2001" s="98">
        <v>4.2000000000000003E-2</v>
      </c>
      <c r="F2001" s="120">
        <v>0</v>
      </c>
      <c r="G2001" s="121">
        <v>262400</v>
      </c>
      <c r="H2001" s="123">
        <v>4.2347999999999997E-2</v>
      </c>
      <c r="I2001" s="122">
        <v>11112.115199999998</v>
      </c>
      <c r="J2001" s="124">
        <f t="shared" si="31"/>
        <v>42</v>
      </c>
      <c r="K2001" s="98" t="s">
        <v>5571</v>
      </c>
    </row>
    <row r="2002" spans="1:11" ht="15" customHeight="1" x14ac:dyDescent="0.2">
      <c r="A2002" s="120" t="s">
        <v>6628</v>
      </c>
      <c r="B2002" s="120" t="s">
        <v>2254</v>
      </c>
      <c r="C2002" s="98" t="s">
        <v>3533</v>
      </c>
      <c r="D2002" s="120" t="s">
        <v>3563</v>
      </c>
      <c r="E2002" s="98">
        <v>1.0999999999999999E-2</v>
      </c>
      <c r="F2002" s="120">
        <v>0</v>
      </c>
      <c r="G2002" s="121">
        <v>305645</v>
      </c>
      <c r="H2002" s="123">
        <v>1.0999999999999999E-2</v>
      </c>
      <c r="I2002" s="122">
        <v>3362.0949999999998</v>
      </c>
      <c r="J2002" s="124">
        <f t="shared" si="31"/>
        <v>11</v>
      </c>
      <c r="K2002" s="98" t="s">
        <v>5189</v>
      </c>
    </row>
    <row r="2003" spans="1:11" ht="15" customHeight="1" x14ac:dyDescent="0.2">
      <c r="A2003" s="120" t="s">
        <v>6629</v>
      </c>
      <c r="B2003" s="120" t="s">
        <v>6630</v>
      </c>
      <c r="C2003" s="98" t="s">
        <v>3533</v>
      </c>
      <c r="D2003" s="120" t="s">
        <v>3563</v>
      </c>
      <c r="E2003" s="98">
        <v>7.2500000000000004E-3</v>
      </c>
      <c r="F2003" s="120">
        <v>0</v>
      </c>
      <c r="G2003" s="121">
        <v>192210</v>
      </c>
      <c r="H2003" s="123">
        <v>7.2500000000000004E-3</v>
      </c>
      <c r="I2003" s="122">
        <v>1393.5225</v>
      </c>
      <c r="J2003" s="124">
        <f t="shared" si="31"/>
        <v>7.25</v>
      </c>
      <c r="K2003" s="98" t="s">
        <v>6631</v>
      </c>
    </row>
    <row r="2004" spans="1:11" ht="15" customHeight="1" x14ac:dyDescent="0.2">
      <c r="A2004" s="120" t="s">
        <v>6632</v>
      </c>
      <c r="B2004" s="120" t="s">
        <v>5244</v>
      </c>
      <c r="C2004" s="98" t="s">
        <v>3533</v>
      </c>
      <c r="D2004" s="120" t="s">
        <v>3563</v>
      </c>
      <c r="E2004" s="98">
        <v>1.0824E-2</v>
      </c>
      <c r="F2004" s="120">
        <v>0</v>
      </c>
      <c r="G2004" s="121">
        <v>100000</v>
      </c>
      <c r="H2004" s="123">
        <v>1.0824E-2</v>
      </c>
      <c r="I2004" s="122">
        <v>1082.4000000000001</v>
      </c>
      <c r="J2004" s="124">
        <f t="shared" si="31"/>
        <v>10.824</v>
      </c>
      <c r="K2004" s="98" t="s">
        <v>6633</v>
      </c>
    </row>
    <row r="2005" spans="1:11" ht="15" customHeight="1" x14ac:dyDescent="0.2">
      <c r="A2005" s="120" t="s">
        <v>6634</v>
      </c>
      <c r="B2005" s="120" t="s">
        <v>4873</v>
      </c>
      <c r="C2005" s="98" t="s">
        <v>3533</v>
      </c>
      <c r="D2005" s="120" t="s">
        <v>3563</v>
      </c>
      <c r="E2005" s="98">
        <v>5.6219999999999999E-2</v>
      </c>
      <c r="F2005" s="120">
        <v>0</v>
      </c>
      <c r="G2005" s="121">
        <v>87325</v>
      </c>
      <c r="H2005" s="123">
        <v>5.6219999999999999E-2</v>
      </c>
      <c r="I2005" s="122">
        <v>4909.4115000000002</v>
      </c>
      <c r="J2005" s="124">
        <f t="shared" si="31"/>
        <v>56.22</v>
      </c>
      <c r="K2005" s="98" t="s">
        <v>6635</v>
      </c>
    </row>
    <row r="2006" spans="1:11" ht="15" customHeight="1" x14ac:dyDescent="0.2">
      <c r="A2006" s="120" t="s">
        <v>6636</v>
      </c>
      <c r="B2006" s="120" t="s">
        <v>5182</v>
      </c>
      <c r="C2006" s="98" t="s">
        <v>3533</v>
      </c>
      <c r="D2006" s="120" t="s">
        <v>3563</v>
      </c>
      <c r="E2006" s="98">
        <v>7.4520000000000003E-2</v>
      </c>
      <c r="F2006" s="120">
        <v>0</v>
      </c>
      <c r="G2006" s="121">
        <v>19285</v>
      </c>
      <c r="H2006" s="123">
        <v>7.4520000000000003E-2</v>
      </c>
      <c r="I2006" s="122">
        <v>1437.1182000000001</v>
      </c>
      <c r="J2006" s="124">
        <f t="shared" si="31"/>
        <v>74.52</v>
      </c>
      <c r="K2006" s="98" t="s">
        <v>6637</v>
      </c>
    </row>
    <row r="2007" spans="1:11" ht="15" customHeight="1" x14ac:dyDescent="0.2">
      <c r="A2007" s="120" t="s">
        <v>6638</v>
      </c>
      <c r="B2007" s="120" t="s">
        <v>5306</v>
      </c>
      <c r="C2007" s="98" t="s">
        <v>3533</v>
      </c>
      <c r="D2007" s="120" t="s">
        <v>3563</v>
      </c>
      <c r="E2007" s="98">
        <v>0.15679999999999999</v>
      </c>
      <c r="F2007" s="120">
        <v>0</v>
      </c>
      <c r="G2007" s="121">
        <v>3301</v>
      </c>
      <c r="H2007" s="123">
        <v>0.15679999999999999</v>
      </c>
      <c r="I2007" s="122">
        <v>517.59680000000003</v>
      </c>
      <c r="J2007" s="124">
        <f t="shared" si="31"/>
        <v>156.79999999999998</v>
      </c>
    </row>
    <row r="2008" spans="1:11" ht="15" customHeight="1" x14ac:dyDescent="0.2">
      <c r="A2008" s="120" t="s">
        <v>6639</v>
      </c>
      <c r="B2008" s="120" t="s">
        <v>5211</v>
      </c>
      <c r="C2008" s="98" t="s">
        <v>3533</v>
      </c>
      <c r="D2008" s="120" t="s">
        <v>3563</v>
      </c>
      <c r="E2008" s="98">
        <v>1.4500000000000001E-2</v>
      </c>
      <c r="F2008" s="120">
        <v>0</v>
      </c>
      <c r="G2008" s="121">
        <v>69835</v>
      </c>
      <c r="H2008" s="123">
        <v>1.4500000000000001E-2</v>
      </c>
      <c r="I2008" s="122">
        <v>1012.6075000000001</v>
      </c>
      <c r="J2008" s="124">
        <f t="shared" si="31"/>
        <v>14.5</v>
      </c>
      <c r="K2008" s="98" t="s">
        <v>6640</v>
      </c>
    </row>
    <row r="2009" spans="1:11" ht="15" customHeight="1" x14ac:dyDescent="0.2">
      <c r="A2009" s="120" t="s">
        <v>6641</v>
      </c>
      <c r="B2009" s="120" t="s">
        <v>2146</v>
      </c>
      <c r="C2009" s="98" t="s">
        <v>3533</v>
      </c>
      <c r="D2009" s="120" t="s">
        <v>3563</v>
      </c>
      <c r="E2009" s="98">
        <v>2.1999999999999999E-2</v>
      </c>
      <c r="F2009" s="120">
        <v>0</v>
      </c>
      <c r="G2009" s="121">
        <v>80040</v>
      </c>
      <c r="H2009" s="123">
        <v>2.1999999999999999E-2</v>
      </c>
      <c r="I2009" s="122">
        <v>1760.8799999999999</v>
      </c>
      <c r="J2009" s="124">
        <f t="shared" si="31"/>
        <v>22</v>
      </c>
      <c r="K2009" s="98" t="s">
        <v>2387</v>
      </c>
    </row>
    <row r="2010" spans="1:11" ht="15" customHeight="1" x14ac:dyDescent="0.2">
      <c r="A2010" s="120" t="s">
        <v>6642</v>
      </c>
      <c r="B2010" s="120" t="s">
        <v>6643</v>
      </c>
      <c r="C2010" s="98" t="s">
        <v>3533</v>
      </c>
      <c r="D2010" s="120" t="s">
        <v>3563</v>
      </c>
      <c r="E2010" s="98">
        <v>9.4500000000000001E-2</v>
      </c>
      <c r="F2010" s="120">
        <v>0</v>
      </c>
      <c r="G2010" s="121">
        <v>0</v>
      </c>
      <c r="H2010" s="123">
        <v>9.4500000000000001E-2</v>
      </c>
      <c r="I2010" s="122">
        <v>0</v>
      </c>
      <c r="J2010" s="124">
        <f t="shared" si="31"/>
        <v>94.5</v>
      </c>
      <c r="K2010" s="98" t="s">
        <v>6644</v>
      </c>
    </row>
    <row r="2011" spans="1:11" ht="15" customHeight="1" x14ac:dyDescent="0.2">
      <c r="A2011" s="120" t="s">
        <v>6645</v>
      </c>
      <c r="B2011" s="120" t="s">
        <v>6646</v>
      </c>
      <c r="C2011" s="98" t="s">
        <v>3533</v>
      </c>
      <c r="D2011" s="120" t="s">
        <v>3563</v>
      </c>
      <c r="E2011" s="98">
        <v>5.1900000000000002E-2</v>
      </c>
      <c r="F2011" s="120">
        <v>0</v>
      </c>
      <c r="G2011" s="121">
        <v>44100</v>
      </c>
      <c r="H2011" s="123">
        <v>5.1834999999999999E-2</v>
      </c>
      <c r="I2011" s="122">
        <v>2285.9234999999999</v>
      </c>
      <c r="J2011" s="124">
        <f t="shared" si="31"/>
        <v>51.9</v>
      </c>
      <c r="K2011" s="98" t="s">
        <v>6647</v>
      </c>
    </row>
    <row r="2012" spans="1:11" ht="15" customHeight="1" x14ac:dyDescent="0.2">
      <c r="A2012" s="120" t="s">
        <v>6648</v>
      </c>
      <c r="B2012" s="120" t="s">
        <v>2318</v>
      </c>
      <c r="C2012" s="98" t="s">
        <v>3533</v>
      </c>
      <c r="D2012" s="120" t="s">
        <v>3563</v>
      </c>
      <c r="E2012" s="98">
        <v>7.2999999999999995E-2</v>
      </c>
      <c r="F2012" s="120">
        <v>50000</v>
      </c>
      <c r="G2012" s="121">
        <v>41345</v>
      </c>
      <c r="H2012" s="123">
        <v>7.2999999999999995E-2</v>
      </c>
      <c r="I2012" s="122">
        <v>3018.1849999999999</v>
      </c>
      <c r="J2012" s="124">
        <f t="shared" si="31"/>
        <v>73</v>
      </c>
      <c r="K2012" s="98" t="s">
        <v>6649</v>
      </c>
    </row>
    <row r="2013" spans="1:11" ht="15" customHeight="1" x14ac:dyDescent="0.2">
      <c r="A2013" s="120" t="s">
        <v>6650</v>
      </c>
      <c r="B2013" s="120" t="s">
        <v>5182</v>
      </c>
      <c r="C2013" s="98" t="s">
        <v>3533</v>
      </c>
      <c r="D2013" s="120" t="s">
        <v>3563</v>
      </c>
      <c r="E2013" s="98">
        <v>1.0749999999999999E-2</v>
      </c>
      <c r="F2013" s="120">
        <v>0</v>
      </c>
      <c r="G2013" s="121">
        <v>40000</v>
      </c>
      <c r="H2013" s="123">
        <v>1.0749999999999999E-2</v>
      </c>
      <c r="I2013" s="122">
        <v>429.99999999999994</v>
      </c>
      <c r="J2013" s="124">
        <f t="shared" si="31"/>
        <v>10.75</v>
      </c>
      <c r="K2013" s="98" t="s">
        <v>6651</v>
      </c>
    </row>
    <row r="2014" spans="1:11" ht="15" customHeight="1" x14ac:dyDescent="0.2">
      <c r="A2014" s="120" t="s">
        <v>6652</v>
      </c>
      <c r="B2014" s="120" t="s">
        <v>4720</v>
      </c>
      <c r="C2014" s="98" t="s">
        <v>3533</v>
      </c>
      <c r="D2014" s="120" t="s">
        <v>3563</v>
      </c>
      <c r="E2014" s="98">
        <v>2.6234567901234601E-2</v>
      </c>
      <c r="F2014" s="120">
        <v>0</v>
      </c>
      <c r="G2014" s="121">
        <v>55180</v>
      </c>
      <c r="H2014" s="123">
        <v>2.6235000000000001E-2</v>
      </c>
      <c r="I2014" s="122">
        <v>1447.6473000000001</v>
      </c>
      <c r="J2014" s="124">
        <f t="shared" si="31"/>
        <v>26.234567901234602</v>
      </c>
      <c r="K2014" s="98" t="s">
        <v>6653</v>
      </c>
    </row>
    <row r="2015" spans="1:11" ht="15" customHeight="1" x14ac:dyDescent="0.2">
      <c r="A2015" s="120" t="s">
        <v>6654</v>
      </c>
      <c r="B2015" s="120" t="s">
        <v>2184</v>
      </c>
      <c r="C2015" s="98" t="s">
        <v>3533</v>
      </c>
      <c r="D2015" s="120" t="s">
        <v>3563</v>
      </c>
      <c r="E2015" s="98">
        <v>6.15</v>
      </c>
      <c r="F2015" s="120">
        <v>0</v>
      </c>
      <c r="G2015" s="121">
        <v>1050</v>
      </c>
      <c r="H2015" s="123">
        <v>6.0421659999999999</v>
      </c>
      <c r="I2015" s="122">
        <v>6344.2743</v>
      </c>
      <c r="J2015" s="124">
        <f t="shared" si="31"/>
        <v>6150</v>
      </c>
      <c r="K2015" s="98" t="s">
        <v>6655</v>
      </c>
    </row>
    <row r="2016" spans="1:11" ht="15" customHeight="1" x14ac:dyDescent="0.2">
      <c r="A2016" s="120" t="s">
        <v>6656</v>
      </c>
      <c r="B2016" s="120" t="s">
        <v>5142</v>
      </c>
      <c r="C2016" s="98" t="s">
        <v>3533</v>
      </c>
      <c r="D2016" s="120" t="s">
        <v>3563</v>
      </c>
      <c r="E2016" s="98">
        <v>7.4999999999999997E-2</v>
      </c>
      <c r="F2016" s="120">
        <v>0</v>
      </c>
      <c r="G2016" s="121">
        <v>5705</v>
      </c>
      <c r="H2016" s="123">
        <v>7.4999999999999997E-2</v>
      </c>
      <c r="I2016" s="122">
        <v>427.875</v>
      </c>
      <c r="J2016" s="124">
        <f t="shared" si="31"/>
        <v>75</v>
      </c>
      <c r="K2016" s="98" t="s">
        <v>6555</v>
      </c>
    </row>
    <row r="2017" spans="1:11" ht="15" customHeight="1" x14ac:dyDescent="0.2">
      <c r="A2017" s="120" t="s">
        <v>6657</v>
      </c>
      <c r="B2017" s="120" t="s">
        <v>2146</v>
      </c>
      <c r="C2017" s="98" t="s">
        <v>3533</v>
      </c>
      <c r="D2017" s="120" t="s">
        <v>3563</v>
      </c>
      <c r="E2017" s="98">
        <v>2.4E-2</v>
      </c>
      <c r="F2017" s="120">
        <v>0</v>
      </c>
      <c r="G2017" s="121">
        <v>44269</v>
      </c>
      <c r="H2017" s="123">
        <v>2.4E-2</v>
      </c>
      <c r="I2017" s="122">
        <v>1062.4560000000001</v>
      </c>
      <c r="J2017" s="124">
        <f t="shared" si="31"/>
        <v>24</v>
      </c>
      <c r="K2017" s="98" t="s">
        <v>6658</v>
      </c>
    </row>
    <row r="2018" spans="1:11" ht="15" customHeight="1" x14ac:dyDescent="0.2">
      <c r="A2018" s="120" t="s">
        <v>6659</v>
      </c>
      <c r="B2018" s="120" t="s">
        <v>6219</v>
      </c>
      <c r="C2018" s="98" t="s">
        <v>3533</v>
      </c>
      <c r="D2018" s="120" t="s">
        <v>3563</v>
      </c>
      <c r="E2018" s="98">
        <v>0.28050999999999998</v>
      </c>
      <c r="F2018" s="120">
        <v>0</v>
      </c>
      <c r="G2018" s="121">
        <v>3250</v>
      </c>
      <c r="H2018" s="123">
        <v>0.28050999999999998</v>
      </c>
      <c r="I2018" s="122">
        <v>911.65749999999991</v>
      </c>
      <c r="J2018" s="124">
        <f t="shared" si="31"/>
        <v>280.51</v>
      </c>
      <c r="K2018" s="98" t="s">
        <v>6555</v>
      </c>
    </row>
    <row r="2019" spans="1:11" ht="15" customHeight="1" x14ac:dyDescent="0.2">
      <c r="A2019" s="120" t="s">
        <v>6660</v>
      </c>
      <c r="B2019" s="120" t="s">
        <v>2254</v>
      </c>
      <c r="C2019" s="98" t="s">
        <v>3533</v>
      </c>
      <c r="D2019" s="120" t="s">
        <v>3563</v>
      </c>
      <c r="E2019" s="98">
        <v>0.44500000000000001</v>
      </c>
      <c r="F2019" s="120">
        <v>0</v>
      </c>
      <c r="G2019" s="121">
        <v>7480</v>
      </c>
      <c r="H2019" s="123">
        <v>0.44500000000000001</v>
      </c>
      <c r="I2019" s="122">
        <v>3328.6</v>
      </c>
      <c r="J2019" s="124">
        <f t="shared" si="31"/>
        <v>445</v>
      </c>
      <c r="K2019" s="98" t="s">
        <v>6661</v>
      </c>
    </row>
    <row r="2020" spans="1:11" ht="15" customHeight="1" x14ac:dyDescent="0.2">
      <c r="A2020" s="120" t="s">
        <v>6662</v>
      </c>
      <c r="B2020" s="120" t="s">
        <v>6663</v>
      </c>
      <c r="C2020" s="98" t="s">
        <v>3533</v>
      </c>
      <c r="D2020" s="120" t="s">
        <v>3563</v>
      </c>
      <c r="E2020" s="98">
        <v>4.6224999999999996</v>
      </c>
      <c r="F2020" s="120">
        <v>0</v>
      </c>
      <c r="G2020" s="121">
        <v>900</v>
      </c>
      <c r="H2020" s="123">
        <v>4.6224999999999996</v>
      </c>
      <c r="I2020" s="122">
        <v>4160.25</v>
      </c>
      <c r="J2020" s="124">
        <f t="shared" si="31"/>
        <v>4622.5</v>
      </c>
      <c r="K2020" s="98" t="s">
        <v>6288</v>
      </c>
    </row>
    <row r="2021" spans="1:11" ht="15" customHeight="1" x14ac:dyDescent="0.2">
      <c r="A2021" s="120" t="s">
        <v>6664</v>
      </c>
      <c r="B2021" s="120" t="s">
        <v>6665</v>
      </c>
      <c r="C2021" s="98" t="s">
        <v>3533</v>
      </c>
      <c r="D2021" s="120" t="s">
        <v>3563</v>
      </c>
      <c r="E2021" s="98">
        <v>2.9</v>
      </c>
      <c r="F2021" s="120">
        <v>0</v>
      </c>
      <c r="G2021" s="121">
        <v>358</v>
      </c>
      <c r="H2021" s="123">
        <v>2.9</v>
      </c>
      <c r="I2021" s="122">
        <v>1038.2</v>
      </c>
      <c r="J2021" s="124">
        <f t="shared" si="31"/>
        <v>2900</v>
      </c>
      <c r="K2021" s="98" t="s">
        <v>6666</v>
      </c>
    </row>
    <row r="2022" spans="1:11" ht="15" customHeight="1" x14ac:dyDescent="0.2">
      <c r="A2022" s="120" t="s">
        <v>6667</v>
      </c>
      <c r="B2022" s="120" t="s">
        <v>6668</v>
      </c>
      <c r="C2022" s="98" t="s">
        <v>3533</v>
      </c>
      <c r="D2022" s="120" t="s">
        <v>3563</v>
      </c>
      <c r="E2022" s="98">
        <v>0.39800000000000002</v>
      </c>
      <c r="F2022" s="120">
        <v>0</v>
      </c>
      <c r="G2022" s="121">
        <v>21615</v>
      </c>
      <c r="H2022" s="123">
        <v>0.39800000000000002</v>
      </c>
      <c r="I2022" s="122">
        <v>8602.77</v>
      </c>
      <c r="J2022" s="124">
        <f t="shared" si="31"/>
        <v>398</v>
      </c>
      <c r="K2022" s="98" t="s">
        <v>6669</v>
      </c>
    </row>
    <row r="2023" spans="1:11" ht="15" customHeight="1" x14ac:dyDescent="0.2">
      <c r="A2023" s="120" t="s">
        <v>6670</v>
      </c>
      <c r="B2023" s="120" t="s">
        <v>6671</v>
      </c>
      <c r="C2023" s="98" t="s">
        <v>3533</v>
      </c>
      <c r="D2023" s="120" t="s">
        <v>3563</v>
      </c>
      <c r="E2023" s="98">
        <v>3.6929999999999998E-2</v>
      </c>
      <c r="F2023" s="120">
        <v>0</v>
      </c>
      <c r="G2023" s="121">
        <v>7880</v>
      </c>
      <c r="H2023" s="123">
        <v>3.6929999999999998E-2</v>
      </c>
      <c r="I2023" s="122">
        <v>291.00839999999999</v>
      </c>
      <c r="J2023" s="124">
        <f t="shared" si="31"/>
        <v>36.93</v>
      </c>
      <c r="K2023" s="98" t="s">
        <v>6672</v>
      </c>
    </row>
    <row r="2024" spans="1:11" ht="15" customHeight="1" x14ac:dyDescent="0.2">
      <c r="A2024" s="120" t="s">
        <v>6673</v>
      </c>
      <c r="B2024" s="120" t="s">
        <v>6674</v>
      </c>
      <c r="C2024" s="98" t="s">
        <v>3533</v>
      </c>
      <c r="D2024" s="120" t="s">
        <v>3563</v>
      </c>
      <c r="E2024" s="98">
        <v>4.7552910052910097E-2</v>
      </c>
      <c r="F2024" s="120">
        <v>0</v>
      </c>
      <c r="G2024" s="121">
        <v>43532</v>
      </c>
      <c r="H2024" s="123">
        <v>4.7552999999999998E-2</v>
      </c>
      <c r="I2024" s="122">
        <v>2070.0771959999997</v>
      </c>
      <c r="J2024" s="124">
        <f t="shared" si="31"/>
        <v>47.5529100529101</v>
      </c>
      <c r="K2024" s="98" t="s">
        <v>6675</v>
      </c>
    </row>
    <row r="2025" spans="1:11" ht="15" customHeight="1" x14ac:dyDescent="0.2">
      <c r="A2025" s="120" t="s">
        <v>6676</v>
      </c>
      <c r="B2025" s="120" t="s">
        <v>6674</v>
      </c>
      <c r="C2025" s="98" t="s">
        <v>3533</v>
      </c>
      <c r="D2025" s="120" t="s">
        <v>3563</v>
      </c>
      <c r="E2025" s="98">
        <v>4.3872000000000001E-2</v>
      </c>
      <c r="F2025" s="120">
        <v>0</v>
      </c>
      <c r="G2025" s="121">
        <v>25055</v>
      </c>
      <c r="H2025" s="123">
        <v>4.3872000000000001E-2</v>
      </c>
      <c r="I2025" s="122">
        <v>1099.2129600000001</v>
      </c>
      <c r="J2025" s="124">
        <f t="shared" si="31"/>
        <v>43.872</v>
      </c>
      <c r="K2025" s="98" t="s">
        <v>6675</v>
      </c>
    </row>
    <row r="2026" spans="1:11" ht="15" customHeight="1" x14ac:dyDescent="0.2">
      <c r="A2026" s="120" t="s">
        <v>6677</v>
      </c>
      <c r="B2026" s="120" t="s">
        <v>6674</v>
      </c>
      <c r="C2026" s="98" t="s">
        <v>3533</v>
      </c>
      <c r="D2026" s="120" t="s">
        <v>3563</v>
      </c>
      <c r="E2026" s="98">
        <v>5.518E-2</v>
      </c>
      <c r="F2026" s="120">
        <v>0</v>
      </c>
      <c r="G2026" s="121">
        <v>30432</v>
      </c>
      <c r="H2026" s="123">
        <v>5.1809000000000001E-2</v>
      </c>
      <c r="I2026" s="122">
        <v>1576.651488</v>
      </c>
      <c r="J2026" s="124">
        <f t="shared" si="31"/>
        <v>55.18</v>
      </c>
      <c r="K2026" s="98" t="s">
        <v>6678</v>
      </c>
    </row>
    <row r="2027" spans="1:11" ht="15" customHeight="1" x14ac:dyDescent="0.2">
      <c r="A2027" s="120" t="s">
        <v>6679</v>
      </c>
      <c r="B2027" s="120" t="s">
        <v>6674</v>
      </c>
      <c r="C2027" s="98" t="s">
        <v>3533</v>
      </c>
      <c r="D2027" s="120" t="s">
        <v>3563</v>
      </c>
      <c r="E2027" s="98">
        <v>0.110231</v>
      </c>
      <c r="F2027" s="120">
        <v>0</v>
      </c>
      <c r="G2027" s="121">
        <v>20208</v>
      </c>
      <c r="H2027" s="123">
        <v>0.110231</v>
      </c>
      <c r="I2027" s="122">
        <v>2227.5480480000001</v>
      </c>
      <c r="J2027" s="124">
        <f t="shared" si="31"/>
        <v>110.23099999999999</v>
      </c>
      <c r="K2027" s="98" t="s">
        <v>6680</v>
      </c>
    </row>
    <row r="2028" spans="1:11" ht="15" customHeight="1" x14ac:dyDescent="0.2">
      <c r="A2028" s="120" t="s">
        <v>6681</v>
      </c>
      <c r="B2028" s="120" t="s">
        <v>6575</v>
      </c>
      <c r="C2028" s="98" t="s">
        <v>3533</v>
      </c>
      <c r="D2028" s="120" t="s">
        <v>3563</v>
      </c>
      <c r="E2028" s="98">
        <v>2.2749999999999999E-2</v>
      </c>
      <c r="F2028" s="120">
        <v>0</v>
      </c>
      <c r="G2028" s="121">
        <v>17027</v>
      </c>
      <c r="H2028" s="123">
        <v>2.2749999999999999E-2</v>
      </c>
      <c r="I2028" s="122">
        <v>387.36424999999997</v>
      </c>
      <c r="J2028" s="124">
        <f t="shared" si="31"/>
        <v>22.75</v>
      </c>
      <c r="K2028" s="98" t="s">
        <v>6682</v>
      </c>
    </row>
    <row r="2029" spans="1:11" ht="15" customHeight="1" x14ac:dyDescent="0.2">
      <c r="A2029" s="120" t="s">
        <v>6683</v>
      </c>
      <c r="B2029" s="120" t="s">
        <v>2146</v>
      </c>
      <c r="C2029" s="98" t="s">
        <v>3533</v>
      </c>
      <c r="D2029" s="120" t="s">
        <v>3563</v>
      </c>
      <c r="E2029" s="98">
        <v>0.05</v>
      </c>
      <c r="F2029" s="120">
        <v>0</v>
      </c>
      <c r="G2029" s="121">
        <v>24700</v>
      </c>
      <c r="H2029" s="123">
        <v>0.05</v>
      </c>
      <c r="I2029" s="122">
        <v>1235</v>
      </c>
      <c r="J2029" s="124">
        <f t="shared" si="31"/>
        <v>50</v>
      </c>
      <c r="K2029" s="98" t="s">
        <v>2387</v>
      </c>
    </row>
    <row r="2030" spans="1:11" ht="15" customHeight="1" x14ac:dyDescent="0.2">
      <c r="A2030" s="120" t="s">
        <v>6684</v>
      </c>
      <c r="B2030" s="120" t="s">
        <v>5033</v>
      </c>
      <c r="C2030" s="98" t="s">
        <v>3533</v>
      </c>
      <c r="D2030" s="120" t="s">
        <v>3563</v>
      </c>
      <c r="E2030" s="98">
        <v>1.6077905514802301E-2</v>
      </c>
      <c r="F2030" s="120">
        <v>0</v>
      </c>
      <c r="G2030" s="121">
        <v>299450</v>
      </c>
      <c r="H2030" s="123">
        <v>1.6077999999999999E-2</v>
      </c>
      <c r="I2030" s="122">
        <v>4814.5571</v>
      </c>
      <c r="J2030" s="124">
        <f t="shared" si="31"/>
        <v>16.0779055148023</v>
      </c>
    </row>
    <row r="2031" spans="1:11" ht="15" customHeight="1" x14ac:dyDescent="0.2">
      <c r="A2031" s="120" t="s">
        <v>6685</v>
      </c>
      <c r="B2031" s="120" t="s">
        <v>6565</v>
      </c>
      <c r="C2031" s="98" t="s">
        <v>3533</v>
      </c>
      <c r="D2031" s="120" t="s">
        <v>3563</v>
      </c>
      <c r="E2031" s="98">
        <v>0.14499999999999999</v>
      </c>
      <c r="F2031" s="120">
        <v>0</v>
      </c>
      <c r="G2031" s="121">
        <v>22745</v>
      </c>
      <c r="H2031" s="123">
        <v>0.14499999999999999</v>
      </c>
      <c r="I2031" s="122">
        <v>3298.0249999999996</v>
      </c>
      <c r="J2031" s="124">
        <f t="shared" si="31"/>
        <v>145</v>
      </c>
      <c r="K2031" s="98" t="s">
        <v>6686</v>
      </c>
    </row>
    <row r="2032" spans="1:11" ht="15" customHeight="1" x14ac:dyDescent="0.2">
      <c r="A2032" s="120" t="s">
        <v>6687</v>
      </c>
      <c r="B2032" s="120" t="s">
        <v>5142</v>
      </c>
      <c r="C2032" s="98" t="s">
        <v>3533</v>
      </c>
      <c r="D2032" s="120" t="s">
        <v>3563</v>
      </c>
      <c r="E2032" s="98">
        <v>7.4999999999999997E-2</v>
      </c>
      <c r="F2032" s="120">
        <v>0</v>
      </c>
      <c r="G2032" s="121">
        <v>3480</v>
      </c>
      <c r="H2032" s="123">
        <v>7.4999999999999997E-2</v>
      </c>
      <c r="I2032" s="122">
        <v>261</v>
      </c>
      <c r="J2032" s="124">
        <f t="shared" si="31"/>
        <v>75</v>
      </c>
      <c r="K2032" s="98" t="s">
        <v>6688</v>
      </c>
    </row>
    <row r="2033" spans="1:11" ht="15" customHeight="1" x14ac:dyDescent="0.2">
      <c r="A2033" s="120" t="s">
        <v>6689</v>
      </c>
      <c r="B2033" s="120" t="s">
        <v>5202</v>
      </c>
      <c r="C2033" s="98" t="s">
        <v>3533</v>
      </c>
      <c r="D2033" s="120" t="s">
        <v>3563</v>
      </c>
      <c r="E2033" s="98">
        <v>0.17599999999999999</v>
      </c>
      <c r="F2033" s="120">
        <v>0</v>
      </c>
      <c r="G2033" s="121">
        <v>18695</v>
      </c>
      <c r="H2033" s="123">
        <v>0.17599999999999999</v>
      </c>
      <c r="I2033" s="122">
        <v>3290.3199999999997</v>
      </c>
      <c r="J2033" s="124">
        <f t="shared" si="31"/>
        <v>176</v>
      </c>
      <c r="K2033" s="98" t="s">
        <v>5189</v>
      </c>
    </row>
    <row r="2034" spans="1:11" ht="15" customHeight="1" x14ac:dyDescent="0.2">
      <c r="A2034" s="120" t="s">
        <v>6690</v>
      </c>
      <c r="B2034" s="120" t="s">
        <v>5202</v>
      </c>
      <c r="C2034" s="98" t="s">
        <v>3533</v>
      </c>
      <c r="D2034" s="120" t="s">
        <v>3563</v>
      </c>
      <c r="E2034" s="98">
        <v>0.18099999999999999</v>
      </c>
      <c r="F2034" s="120">
        <v>0</v>
      </c>
      <c r="G2034" s="121">
        <v>25150</v>
      </c>
      <c r="H2034" s="123">
        <v>0.18099999999999999</v>
      </c>
      <c r="I2034" s="122">
        <v>4552.1499999999996</v>
      </c>
      <c r="J2034" s="124">
        <f t="shared" si="31"/>
        <v>181</v>
      </c>
      <c r="K2034" s="98" t="s">
        <v>5571</v>
      </c>
    </row>
    <row r="2035" spans="1:11" ht="15" customHeight="1" x14ac:dyDescent="0.2">
      <c r="A2035" s="120" t="s">
        <v>6691</v>
      </c>
      <c r="B2035" s="120" t="s">
        <v>6593</v>
      </c>
      <c r="C2035" s="98" t="s">
        <v>3533</v>
      </c>
      <c r="D2035" s="120" t="s">
        <v>3563</v>
      </c>
      <c r="E2035" s="98">
        <v>0.11550000000000001</v>
      </c>
      <c r="F2035" s="120">
        <v>0</v>
      </c>
      <c r="G2035" s="121">
        <v>13200</v>
      </c>
      <c r="H2035" s="123">
        <v>0.11550000000000001</v>
      </c>
      <c r="I2035" s="122">
        <v>1524.6000000000001</v>
      </c>
      <c r="J2035" s="124">
        <f t="shared" si="31"/>
        <v>115.5</v>
      </c>
      <c r="K2035" s="98" t="s">
        <v>5214</v>
      </c>
    </row>
    <row r="2036" spans="1:11" ht="15" customHeight="1" x14ac:dyDescent="0.2">
      <c r="A2036" s="120" t="s">
        <v>6692</v>
      </c>
      <c r="B2036" s="120" t="s">
        <v>6593</v>
      </c>
      <c r="C2036" s="98" t="s">
        <v>3533</v>
      </c>
      <c r="D2036" s="120" t="s">
        <v>3563</v>
      </c>
      <c r="E2036" s="98">
        <v>0.23599999999999999</v>
      </c>
      <c r="F2036" s="120">
        <v>0</v>
      </c>
      <c r="G2036" s="121">
        <v>8280</v>
      </c>
      <c r="H2036" s="123">
        <v>0.23599999999999999</v>
      </c>
      <c r="I2036" s="122">
        <v>1954.08</v>
      </c>
      <c r="J2036" s="124">
        <f t="shared" si="31"/>
        <v>236</v>
      </c>
      <c r="K2036" s="98" t="s">
        <v>5214</v>
      </c>
    </row>
    <row r="2037" spans="1:11" ht="15" customHeight="1" x14ac:dyDescent="0.2">
      <c r="A2037" s="120" t="s">
        <v>6693</v>
      </c>
      <c r="B2037" s="120" t="s">
        <v>5337</v>
      </c>
      <c r="C2037" s="98" t="s">
        <v>3533</v>
      </c>
      <c r="D2037" s="120" t="s">
        <v>3563</v>
      </c>
      <c r="E2037" s="98">
        <v>0.65</v>
      </c>
      <c r="F2037" s="120">
        <v>0</v>
      </c>
      <c r="G2037" s="121">
        <v>3870</v>
      </c>
      <c r="H2037" s="123">
        <v>0.65</v>
      </c>
      <c r="I2037" s="122">
        <v>2515.5</v>
      </c>
      <c r="J2037" s="124">
        <f t="shared" si="31"/>
        <v>650</v>
      </c>
      <c r="K2037" s="98" t="s">
        <v>6555</v>
      </c>
    </row>
    <row r="2038" spans="1:11" ht="15" customHeight="1" x14ac:dyDescent="0.2">
      <c r="A2038" s="120" t="s">
        <v>6694</v>
      </c>
      <c r="B2038" s="120" t="s">
        <v>6674</v>
      </c>
      <c r="C2038" s="98" t="s">
        <v>3533</v>
      </c>
      <c r="D2038" s="120" t="s">
        <v>3563</v>
      </c>
      <c r="E2038" s="98">
        <v>4.9000000000000002E-2</v>
      </c>
      <c r="F2038" s="120">
        <v>0</v>
      </c>
      <c r="G2038" s="121">
        <v>0</v>
      </c>
      <c r="H2038" s="123">
        <v>4.9000000000000002E-2</v>
      </c>
      <c r="I2038" s="122">
        <v>0</v>
      </c>
      <c r="J2038" s="124">
        <f t="shared" si="31"/>
        <v>49</v>
      </c>
      <c r="K2038" s="98" t="s">
        <v>6695</v>
      </c>
    </row>
    <row r="2039" spans="1:11" ht="15" customHeight="1" x14ac:dyDescent="0.2">
      <c r="A2039" s="120" t="s">
        <v>6696</v>
      </c>
      <c r="B2039" s="120" t="s">
        <v>6674</v>
      </c>
      <c r="C2039" s="98" t="s">
        <v>3533</v>
      </c>
      <c r="D2039" s="120" t="s">
        <v>3563</v>
      </c>
      <c r="E2039" s="98">
        <v>4.4999999999999998E-2</v>
      </c>
      <c r="F2039" s="120">
        <v>0</v>
      </c>
      <c r="G2039" s="121">
        <v>0</v>
      </c>
      <c r="H2039" s="123">
        <v>4.4999999999999998E-2</v>
      </c>
      <c r="I2039" s="122">
        <v>0</v>
      </c>
      <c r="J2039" s="124">
        <f t="shared" si="31"/>
        <v>45</v>
      </c>
      <c r="K2039" s="98" t="s">
        <v>5444</v>
      </c>
    </row>
    <row r="2040" spans="1:11" ht="15" customHeight="1" x14ac:dyDescent="0.2">
      <c r="A2040" s="120" t="s">
        <v>6697</v>
      </c>
      <c r="B2040" s="120" t="s">
        <v>6674</v>
      </c>
      <c r="C2040" s="98" t="s">
        <v>3533</v>
      </c>
      <c r="D2040" s="120" t="s">
        <v>3563</v>
      </c>
      <c r="E2040" s="98">
        <v>5.3411825298722702E-2</v>
      </c>
      <c r="F2040" s="120">
        <v>0</v>
      </c>
      <c r="G2040" s="121">
        <v>510</v>
      </c>
      <c r="H2040" s="123">
        <v>5.3412000000000001E-2</v>
      </c>
      <c r="I2040" s="122">
        <v>27.240120000000001</v>
      </c>
      <c r="J2040" s="124">
        <f t="shared" si="31"/>
        <v>53.411825298722704</v>
      </c>
      <c r="K2040" s="98" t="s">
        <v>5298</v>
      </c>
    </row>
    <row r="2041" spans="1:11" ht="15" customHeight="1" x14ac:dyDescent="0.2">
      <c r="A2041" s="120" t="s">
        <v>6698</v>
      </c>
      <c r="B2041" s="120" t="s">
        <v>6674</v>
      </c>
      <c r="C2041" s="98" t="s">
        <v>3533</v>
      </c>
      <c r="D2041" s="120" t="s">
        <v>3563</v>
      </c>
      <c r="E2041" s="98">
        <v>5.6599999999999998E-2</v>
      </c>
      <c r="F2041" s="120">
        <v>0</v>
      </c>
      <c r="G2041" s="121">
        <v>0</v>
      </c>
      <c r="H2041" s="123">
        <v>5.6599999999999998E-2</v>
      </c>
      <c r="I2041" s="122">
        <v>0</v>
      </c>
      <c r="J2041" s="124">
        <f t="shared" si="31"/>
        <v>56.599999999999994</v>
      </c>
      <c r="K2041" s="98" t="s">
        <v>5444</v>
      </c>
    </row>
    <row r="2042" spans="1:11" ht="15" customHeight="1" x14ac:dyDescent="0.2">
      <c r="A2042" s="120" t="s">
        <v>6699</v>
      </c>
      <c r="B2042" s="120" t="s">
        <v>6674</v>
      </c>
      <c r="C2042" s="98" t="s">
        <v>3533</v>
      </c>
      <c r="D2042" s="120" t="s">
        <v>3563</v>
      </c>
      <c r="E2042" s="98">
        <v>4.82E-2</v>
      </c>
      <c r="F2042" s="120">
        <v>0</v>
      </c>
      <c r="G2042" s="121">
        <v>0</v>
      </c>
      <c r="H2042" s="123">
        <v>4.82E-2</v>
      </c>
      <c r="I2042" s="122">
        <v>0</v>
      </c>
      <c r="J2042" s="124">
        <f t="shared" si="31"/>
        <v>48.2</v>
      </c>
      <c r="K2042" s="98" t="s">
        <v>5298</v>
      </c>
    </row>
    <row r="2043" spans="1:11" ht="15" customHeight="1" x14ac:dyDescent="0.2">
      <c r="A2043" s="120" t="s">
        <v>6700</v>
      </c>
      <c r="B2043" s="120" t="s">
        <v>6674</v>
      </c>
      <c r="C2043" s="98" t="s">
        <v>3533</v>
      </c>
      <c r="D2043" s="120" t="s">
        <v>3563</v>
      </c>
      <c r="E2043" s="98">
        <v>5.8400000000000001E-2</v>
      </c>
      <c r="F2043" s="120">
        <v>0</v>
      </c>
      <c r="G2043" s="121">
        <v>0</v>
      </c>
      <c r="H2043" s="123">
        <v>5.8400000000000001E-2</v>
      </c>
      <c r="I2043" s="122">
        <v>0</v>
      </c>
      <c r="J2043" s="124">
        <f t="shared" si="31"/>
        <v>58.4</v>
      </c>
      <c r="K2043" s="98" t="s">
        <v>5444</v>
      </c>
    </row>
    <row r="2044" spans="1:11" ht="15" customHeight="1" x14ac:dyDescent="0.2">
      <c r="A2044" s="120" t="s">
        <v>6701</v>
      </c>
      <c r="B2044" s="120" t="s">
        <v>4833</v>
      </c>
      <c r="C2044" s="98" t="s">
        <v>3533</v>
      </c>
      <c r="D2044" s="120" t="s">
        <v>3563</v>
      </c>
      <c r="E2044" s="98">
        <v>5.6547619047618999E-2</v>
      </c>
      <c r="F2044" s="120">
        <v>0</v>
      </c>
      <c r="G2044" s="121">
        <v>17260</v>
      </c>
      <c r="H2044" s="123">
        <v>5.6548000000000001E-2</v>
      </c>
      <c r="I2044" s="122">
        <v>976.01848000000007</v>
      </c>
      <c r="J2044" s="124">
        <f t="shared" si="31"/>
        <v>56.547619047619001</v>
      </c>
      <c r="K2044" s="98" t="s">
        <v>5298</v>
      </c>
    </row>
    <row r="2045" spans="1:11" ht="15" customHeight="1" x14ac:dyDescent="0.2">
      <c r="A2045" s="120" t="s">
        <v>6702</v>
      </c>
      <c r="B2045" s="120" t="s">
        <v>6703</v>
      </c>
      <c r="C2045" s="98" t="s">
        <v>3533</v>
      </c>
      <c r="D2045" s="120" t="s">
        <v>3563</v>
      </c>
      <c r="E2045" s="98">
        <v>7.0000000000000007E-2</v>
      </c>
      <c r="F2045" s="120">
        <v>0</v>
      </c>
      <c r="G2045" s="121">
        <v>13934</v>
      </c>
      <c r="H2045" s="123">
        <v>7.0000000000000007E-2</v>
      </c>
      <c r="I2045" s="122">
        <v>975.38000000000011</v>
      </c>
      <c r="J2045" s="124">
        <f t="shared" si="31"/>
        <v>70</v>
      </c>
      <c r="K2045" s="98" t="s">
        <v>6704</v>
      </c>
    </row>
    <row r="2046" spans="1:11" ht="15" customHeight="1" x14ac:dyDescent="0.2">
      <c r="A2046" s="120" t="s">
        <v>6705</v>
      </c>
      <c r="B2046" s="120" t="s">
        <v>6703</v>
      </c>
      <c r="C2046" s="98" t="s">
        <v>3533</v>
      </c>
      <c r="D2046" s="120" t="s">
        <v>3563</v>
      </c>
      <c r="E2046" s="98">
        <v>2.5999999999999999E-2</v>
      </c>
      <c r="F2046" s="120">
        <v>0</v>
      </c>
      <c r="G2046" s="121">
        <v>6809</v>
      </c>
      <c r="H2046" s="123">
        <v>2.5999999999999999E-2</v>
      </c>
      <c r="I2046" s="122">
        <v>177.03399999999999</v>
      </c>
      <c r="J2046" s="124">
        <f t="shared" si="31"/>
        <v>26</v>
      </c>
      <c r="K2046" s="98" t="s">
        <v>6706</v>
      </c>
    </row>
    <row r="2047" spans="1:11" ht="15" customHeight="1" x14ac:dyDescent="0.2">
      <c r="A2047" s="120" t="s">
        <v>6707</v>
      </c>
      <c r="B2047" s="120" t="s">
        <v>6297</v>
      </c>
      <c r="C2047" s="98" t="s">
        <v>3533</v>
      </c>
      <c r="D2047" s="120" t="s">
        <v>3563</v>
      </c>
      <c r="E2047" s="98">
        <v>2.8439153439153399E-2</v>
      </c>
      <c r="F2047" s="120">
        <v>0</v>
      </c>
      <c r="G2047" s="121">
        <v>33000</v>
      </c>
      <c r="H2047" s="123">
        <v>2.7778000000000001E-2</v>
      </c>
      <c r="I2047" s="122">
        <v>916.67399999999998</v>
      </c>
      <c r="J2047" s="124">
        <f t="shared" si="31"/>
        <v>28.439153439153401</v>
      </c>
      <c r="K2047" s="98" t="s">
        <v>2686</v>
      </c>
    </row>
    <row r="2048" spans="1:11" ht="15" customHeight="1" x14ac:dyDescent="0.2">
      <c r="A2048" s="120" t="s">
        <v>6708</v>
      </c>
      <c r="B2048" s="120" t="s">
        <v>4967</v>
      </c>
      <c r="C2048" s="98" t="s">
        <v>3533</v>
      </c>
      <c r="D2048" s="120" t="s">
        <v>3563</v>
      </c>
      <c r="E2048" s="98">
        <v>0.16317000000000001</v>
      </c>
      <c r="F2048" s="120">
        <v>0</v>
      </c>
      <c r="G2048" s="121">
        <v>181525</v>
      </c>
      <c r="H2048" s="123">
        <v>0.16317000000000001</v>
      </c>
      <c r="I2048" s="122">
        <v>29619.434250000002</v>
      </c>
      <c r="J2048" s="124">
        <f t="shared" si="31"/>
        <v>163.17000000000002</v>
      </c>
      <c r="K2048" s="98" t="s">
        <v>6709</v>
      </c>
    </row>
    <row r="2049" spans="1:11" ht="15" customHeight="1" x14ac:dyDescent="0.2">
      <c r="A2049" s="120" t="s">
        <v>6710</v>
      </c>
      <c r="B2049" s="120" t="s">
        <v>4833</v>
      </c>
      <c r="C2049" s="98" t="s">
        <v>3533</v>
      </c>
      <c r="D2049" s="120" t="s">
        <v>3563</v>
      </c>
      <c r="E2049" s="98">
        <v>8.0798059964726596E-2</v>
      </c>
      <c r="F2049" s="120">
        <v>0</v>
      </c>
      <c r="G2049" s="121">
        <v>14965</v>
      </c>
      <c r="H2049" s="123">
        <v>8.0797999999999995E-2</v>
      </c>
      <c r="I2049" s="122">
        <v>1209.1420699999999</v>
      </c>
      <c r="J2049" s="124">
        <f t="shared" si="31"/>
        <v>80.79805996472659</v>
      </c>
      <c r="K2049" s="98" t="s">
        <v>6711</v>
      </c>
    </row>
    <row r="2050" spans="1:11" ht="15" customHeight="1" x14ac:dyDescent="0.2">
      <c r="A2050" s="120" t="s">
        <v>6712</v>
      </c>
      <c r="B2050" s="120" t="s">
        <v>6297</v>
      </c>
      <c r="C2050" s="98" t="s">
        <v>3533</v>
      </c>
      <c r="D2050" s="120" t="s">
        <v>3563</v>
      </c>
      <c r="E2050" s="98">
        <v>2.6795855379188702E-2</v>
      </c>
      <c r="F2050" s="120">
        <v>0</v>
      </c>
      <c r="G2050" s="121">
        <v>21115</v>
      </c>
      <c r="H2050" s="123">
        <v>2.6796E-2</v>
      </c>
      <c r="I2050" s="122">
        <v>565.79754000000003</v>
      </c>
      <c r="J2050" s="124">
        <f t="shared" ref="J2050:J2113" si="32">IF(D2050="gm", E2050*1000,+E2050)</f>
        <v>26.795855379188701</v>
      </c>
      <c r="K2050" s="98" t="s">
        <v>6713</v>
      </c>
    </row>
    <row r="2051" spans="1:11" ht="15" customHeight="1" x14ac:dyDescent="0.2">
      <c r="A2051" s="120" t="s">
        <v>6714</v>
      </c>
      <c r="B2051" s="120" t="s">
        <v>6715</v>
      </c>
      <c r="C2051" s="98" t="s">
        <v>3533</v>
      </c>
      <c r="D2051" s="120" t="s">
        <v>3563</v>
      </c>
      <c r="E2051" s="98">
        <v>0.3</v>
      </c>
      <c r="F2051" s="120">
        <v>0</v>
      </c>
      <c r="G2051" s="121">
        <v>7915</v>
      </c>
      <c r="H2051" s="123">
        <v>0.3</v>
      </c>
      <c r="I2051" s="122">
        <v>2374.5</v>
      </c>
      <c r="J2051" s="124">
        <f t="shared" si="32"/>
        <v>300</v>
      </c>
    </row>
    <row r="2052" spans="1:11" ht="15" customHeight="1" x14ac:dyDescent="0.2">
      <c r="A2052" s="120" t="s">
        <v>6716</v>
      </c>
      <c r="B2052" s="120" t="s">
        <v>4688</v>
      </c>
      <c r="C2052" s="98" t="s">
        <v>3533</v>
      </c>
      <c r="D2052" s="120" t="s">
        <v>3563</v>
      </c>
      <c r="E2052" s="98">
        <v>9.6500000000000002E-2</v>
      </c>
      <c r="F2052" s="120">
        <v>0</v>
      </c>
      <c r="G2052" s="121">
        <v>0</v>
      </c>
      <c r="H2052" s="123">
        <v>9.6500000000000002E-2</v>
      </c>
      <c r="I2052" s="122">
        <v>0</v>
      </c>
      <c r="J2052" s="124">
        <f t="shared" si="32"/>
        <v>96.5</v>
      </c>
      <c r="K2052" s="98" t="s">
        <v>6717</v>
      </c>
    </row>
    <row r="2053" spans="1:11" ht="15" customHeight="1" x14ac:dyDescent="0.2">
      <c r="A2053" s="120" t="s">
        <v>6718</v>
      </c>
      <c r="B2053" s="120" t="s">
        <v>4720</v>
      </c>
      <c r="C2053" s="98" t="s">
        <v>3533</v>
      </c>
      <c r="D2053" s="120" t="s">
        <v>3563</v>
      </c>
      <c r="E2053" s="98">
        <v>4.2328042328042305E-2</v>
      </c>
      <c r="F2053" s="120">
        <v>0</v>
      </c>
      <c r="G2053" s="121">
        <v>362880</v>
      </c>
      <c r="H2053" s="123">
        <v>4.2327999999999998E-2</v>
      </c>
      <c r="I2053" s="122">
        <v>15359.984639999999</v>
      </c>
      <c r="J2053" s="124">
        <f t="shared" si="32"/>
        <v>42.328042328042308</v>
      </c>
      <c r="K2053" s="98" t="s">
        <v>6719</v>
      </c>
    </row>
    <row r="2054" spans="1:11" ht="15" customHeight="1" x14ac:dyDescent="0.2">
      <c r="A2054" s="120" t="s">
        <v>6720</v>
      </c>
      <c r="B2054" s="120" t="s">
        <v>4720</v>
      </c>
      <c r="C2054" s="98" t="s">
        <v>3533</v>
      </c>
      <c r="D2054" s="120" t="s">
        <v>3563</v>
      </c>
      <c r="E2054" s="98">
        <v>2.5999999999999999E-2</v>
      </c>
      <c r="F2054" s="120">
        <v>0</v>
      </c>
      <c r="G2054" s="121">
        <v>0</v>
      </c>
      <c r="H2054" s="123">
        <v>2.5999999999999999E-2</v>
      </c>
      <c r="I2054" s="122">
        <v>0</v>
      </c>
      <c r="J2054" s="124">
        <f t="shared" si="32"/>
        <v>26</v>
      </c>
      <c r="K2054" s="98" t="s">
        <v>6721</v>
      </c>
    </row>
    <row r="2055" spans="1:11" ht="15" customHeight="1" x14ac:dyDescent="0.2">
      <c r="A2055" s="120" t="s">
        <v>6722</v>
      </c>
      <c r="B2055" s="120" t="s">
        <v>4833</v>
      </c>
      <c r="C2055" s="98" t="s">
        <v>3533</v>
      </c>
      <c r="D2055" s="120" t="s">
        <v>3563</v>
      </c>
      <c r="E2055" s="98">
        <v>8.1500000000000003E-2</v>
      </c>
      <c r="F2055" s="120">
        <v>0</v>
      </c>
      <c r="G2055" s="121">
        <v>0</v>
      </c>
      <c r="H2055" s="123">
        <v>8.1500000000000003E-2</v>
      </c>
      <c r="I2055" s="122">
        <v>0</v>
      </c>
      <c r="J2055" s="124">
        <f t="shared" si="32"/>
        <v>81.5</v>
      </c>
      <c r="K2055" s="98" t="s">
        <v>6723</v>
      </c>
    </row>
    <row r="2056" spans="1:11" ht="15" customHeight="1" x14ac:dyDescent="0.2">
      <c r="A2056" s="120" t="s">
        <v>6724</v>
      </c>
      <c r="B2056" s="120" t="s">
        <v>4720</v>
      </c>
      <c r="C2056" s="98" t="s">
        <v>3533</v>
      </c>
      <c r="D2056" s="120" t="s">
        <v>3563</v>
      </c>
      <c r="E2056" s="98">
        <v>3.4391534391534397E-2</v>
      </c>
      <c r="F2056" s="120">
        <v>0</v>
      </c>
      <c r="G2056" s="121">
        <v>74280</v>
      </c>
      <c r="H2056" s="123">
        <v>3.4391999999999999E-2</v>
      </c>
      <c r="I2056" s="122">
        <v>2554.6377600000001</v>
      </c>
      <c r="J2056" s="124">
        <f t="shared" si="32"/>
        <v>34.3915343915344</v>
      </c>
      <c r="K2056" s="98" t="s">
        <v>6725</v>
      </c>
    </row>
    <row r="2057" spans="1:11" ht="15" customHeight="1" x14ac:dyDescent="0.2">
      <c r="A2057" s="120" t="s">
        <v>6726</v>
      </c>
      <c r="B2057" s="120" t="s">
        <v>5939</v>
      </c>
      <c r="C2057" s="98" t="s">
        <v>3533</v>
      </c>
      <c r="D2057" s="120" t="s">
        <v>3563</v>
      </c>
      <c r="E2057" s="98">
        <v>9.6500000000000006E-3</v>
      </c>
      <c r="F2057" s="120">
        <v>0</v>
      </c>
      <c r="G2057" s="121">
        <v>90680</v>
      </c>
      <c r="H2057" s="123">
        <v>9.6500000000000006E-3</v>
      </c>
      <c r="I2057" s="122">
        <v>875.06200000000001</v>
      </c>
      <c r="J2057" s="124">
        <f t="shared" si="32"/>
        <v>9.65</v>
      </c>
      <c r="K2057" s="98" t="s">
        <v>6727</v>
      </c>
    </row>
    <row r="2058" spans="1:11" ht="15" customHeight="1" x14ac:dyDescent="0.2">
      <c r="A2058" s="120" t="s">
        <v>6728</v>
      </c>
      <c r="B2058" s="120" t="s">
        <v>5939</v>
      </c>
      <c r="C2058" s="98" t="s">
        <v>3533</v>
      </c>
      <c r="D2058" s="120" t="s">
        <v>3563</v>
      </c>
      <c r="E2058" s="98">
        <v>1.7500000000000002E-2</v>
      </c>
      <c r="F2058" s="120">
        <v>0</v>
      </c>
      <c r="G2058" s="121">
        <v>75000</v>
      </c>
      <c r="H2058" s="123">
        <v>1.7500000000000002E-2</v>
      </c>
      <c r="I2058" s="122">
        <v>1312.5000000000002</v>
      </c>
      <c r="J2058" s="124">
        <f t="shared" si="32"/>
        <v>17.5</v>
      </c>
      <c r="K2058" s="98" t="s">
        <v>2387</v>
      </c>
    </row>
    <row r="2059" spans="1:11" ht="15" customHeight="1" x14ac:dyDescent="0.2">
      <c r="A2059" s="120" t="s">
        <v>6729</v>
      </c>
      <c r="B2059" s="120" t="s">
        <v>6730</v>
      </c>
      <c r="C2059" s="98" t="s">
        <v>3533</v>
      </c>
      <c r="D2059" s="120" t="s">
        <v>3563</v>
      </c>
      <c r="E2059" s="98">
        <v>8.3776000000000003E-2</v>
      </c>
      <c r="F2059" s="120">
        <v>0</v>
      </c>
      <c r="G2059" s="121">
        <v>100000</v>
      </c>
      <c r="H2059" s="123">
        <v>8.3776000000000003E-2</v>
      </c>
      <c r="I2059" s="122">
        <v>8377.6</v>
      </c>
      <c r="J2059" s="124">
        <f t="shared" si="32"/>
        <v>83.775999999999996</v>
      </c>
      <c r="K2059" s="98" t="s">
        <v>2387</v>
      </c>
    </row>
    <row r="2060" spans="1:11" ht="15" customHeight="1" x14ac:dyDescent="0.2">
      <c r="A2060" s="120" t="s">
        <v>6731</v>
      </c>
      <c r="B2060" s="120" t="s">
        <v>6732</v>
      </c>
      <c r="C2060" s="98" t="s">
        <v>3533</v>
      </c>
      <c r="D2060" s="120" t="s">
        <v>3563</v>
      </c>
      <c r="E2060" s="98">
        <v>4.4091999999999999E-2</v>
      </c>
      <c r="F2060" s="120">
        <v>0</v>
      </c>
      <c r="G2060" s="121">
        <v>136080</v>
      </c>
      <c r="H2060" s="123">
        <v>4.4091999999999999E-2</v>
      </c>
      <c r="I2060" s="122">
        <v>6000.0393599999998</v>
      </c>
      <c r="J2060" s="124">
        <f t="shared" si="32"/>
        <v>44.091999999999999</v>
      </c>
      <c r="K2060" s="98" t="s">
        <v>5298</v>
      </c>
    </row>
    <row r="2061" spans="1:11" ht="15" customHeight="1" x14ac:dyDescent="0.2">
      <c r="A2061" s="120" t="s">
        <v>6733</v>
      </c>
      <c r="B2061" s="120" t="s">
        <v>5216</v>
      </c>
      <c r="C2061" s="98" t="s">
        <v>3533</v>
      </c>
      <c r="D2061" s="120" t="s">
        <v>3563</v>
      </c>
      <c r="E2061" s="98">
        <v>2.4E-2</v>
      </c>
      <c r="F2061" s="120">
        <v>0</v>
      </c>
      <c r="G2061" s="121">
        <v>50330</v>
      </c>
      <c r="H2061" s="123">
        <v>2.4E-2</v>
      </c>
      <c r="I2061" s="122">
        <v>1207.92</v>
      </c>
      <c r="J2061" s="124">
        <f t="shared" si="32"/>
        <v>24</v>
      </c>
      <c r="K2061" s="98" t="s">
        <v>2387</v>
      </c>
    </row>
    <row r="2062" spans="1:11" ht="15" customHeight="1" x14ac:dyDescent="0.2">
      <c r="A2062" s="120" t="s">
        <v>6734</v>
      </c>
      <c r="B2062" s="120" t="s">
        <v>5939</v>
      </c>
      <c r="C2062" s="98" t="s">
        <v>3533</v>
      </c>
      <c r="D2062" s="120" t="s">
        <v>3563</v>
      </c>
      <c r="E2062" s="98">
        <v>7.0000000000000007E-2</v>
      </c>
      <c r="F2062" s="120">
        <v>0</v>
      </c>
      <c r="G2062" s="121">
        <v>25000</v>
      </c>
      <c r="H2062" s="123">
        <v>7.0000000000000007E-2</v>
      </c>
      <c r="I2062" s="122">
        <v>1750.0000000000002</v>
      </c>
      <c r="J2062" s="124">
        <f t="shared" si="32"/>
        <v>70</v>
      </c>
      <c r="K2062" s="98" t="s">
        <v>2387</v>
      </c>
    </row>
    <row r="2063" spans="1:11" ht="15" customHeight="1" x14ac:dyDescent="0.2">
      <c r="A2063" s="120" t="s">
        <v>6735</v>
      </c>
      <c r="B2063" s="120" t="s">
        <v>5182</v>
      </c>
      <c r="C2063" s="98" t="s">
        <v>3533</v>
      </c>
      <c r="D2063" s="120" t="s">
        <v>3563</v>
      </c>
      <c r="E2063" s="98">
        <v>1.2E-2</v>
      </c>
      <c r="F2063" s="120">
        <v>0</v>
      </c>
      <c r="G2063" s="121">
        <v>24980</v>
      </c>
      <c r="H2063" s="123">
        <v>1.2E-2</v>
      </c>
      <c r="I2063" s="122">
        <v>299.76</v>
      </c>
      <c r="J2063" s="124">
        <f t="shared" si="32"/>
        <v>12</v>
      </c>
      <c r="K2063" s="98" t="s">
        <v>2387</v>
      </c>
    </row>
    <row r="2064" spans="1:11" ht="15" customHeight="1" x14ac:dyDescent="0.2">
      <c r="A2064" s="120" t="s">
        <v>6736</v>
      </c>
      <c r="B2064" s="120" t="s">
        <v>6737</v>
      </c>
      <c r="C2064" s="98" t="s">
        <v>3533</v>
      </c>
      <c r="D2064" s="120" t="s">
        <v>3563</v>
      </c>
      <c r="E2064" s="98">
        <v>2.18068395061728E-2</v>
      </c>
      <c r="F2064" s="120">
        <v>0</v>
      </c>
      <c r="G2064" s="121">
        <v>37500</v>
      </c>
      <c r="H2064" s="123">
        <v>2.1807E-2</v>
      </c>
      <c r="I2064" s="122">
        <v>817.76250000000005</v>
      </c>
      <c r="J2064" s="124">
        <f t="shared" si="32"/>
        <v>21.8068395061728</v>
      </c>
      <c r="K2064" s="98" t="s">
        <v>6738</v>
      </c>
    </row>
    <row r="2065" spans="1:11" ht="15" customHeight="1" x14ac:dyDescent="0.2">
      <c r="A2065" s="120" t="s">
        <v>6739</v>
      </c>
      <c r="B2065" s="120" t="s">
        <v>5216</v>
      </c>
      <c r="C2065" s="98" t="s">
        <v>3533</v>
      </c>
      <c r="D2065" s="120" t="s">
        <v>3563</v>
      </c>
      <c r="E2065" s="98">
        <v>1.025E-2</v>
      </c>
      <c r="F2065" s="120">
        <v>0</v>
      </c>
      <c r="G2065" s="121">
        <v>59620</v>
      </c>
      <c r="H2065" s="123">
        <v>1.025E-2</v>
      </c>
      <c r="I2065" s="122">
        <v>611.10500000000002</v>
      </c>
      <c r="J2065" s="124">
        <f t="shared" si="32"/>
        <v>10.25</v>
      </c>
      <c r="K2065" s="98" t="s">
        <v>2387</v>
      </c>
    </row>
    <row r="2066" spans="1:11" ht="15" customHeight="1" x14ac:dyDescent="0.2">
      <c r="A2066" s="120" t="s">
        <v>6740</v>
      </c>
      <c r="B2066" s="120" t="s">
        <v>5678</v>
      </c>
      <c r="C2066" s="98" t="s">
        <v>3533</v>
      </c>
      <c r="D2066" s="120" t="s">
        <v>3563</v>
      </c>
      <c r="E2066" s="98">
        <v>7.1000000000000004E-3</v>
      </c>
      <c r="F2066" s="120">
        <v>0</v>
      </c>
      <c r="G2066" s="121">
        <v>0</v>
      </c>
      <c r="H2066" s="123">
        <v>7.1000000000000004E-3</v>
      </c>
      <c r="I2066" s="122">
        <v>0</v>
      </c>
      <c r="J2066" s="124">
        <f t="shared" si="32"/>
        <v>7.1000000000000005</v>
      </c>
      <c r="K2066" s="98" t="s">
        <v>6741</v>
      </c>
    </row>
    <row r="2067" spans="1:11" ht="15" customHeight="1" x14ac:dyDescent="0.2">
      <c r="A2067" s="120" t="s">
        <v>6742</v>
      </c>
      <c r="B2067" s="120" t="s">
        <v>6743</v>
      </c>
      <c r="C2067" s="98" t="s">
        <v>3533</v>
      </c>
      <c r="D2067" s="120" t="s">
        <v>3563</v>
      </c>
      <c r="E2067" s="98">
        <v>4.2394179894179901E-2</v>
      </c>
      <c r="F2067" s="120">
        <v>0</v>
      </c>
      <c r="G2067" s="121">
        <v>19400</v>
      </c>
      <c r="H2067" s="123">
        <v>4.2394000000000001E-2</v>
      </c>
      <c r="I2067" s="122">
        <v>822.44360000000006</v>
      </c>
      <c r="J2067" s="124">
        <f t="shared" si="32"/>
        <v>42.394179894179899</v>
      </c>
      <c r="K2067" s="98" t="s">
        <v>6744</v>
      </c>
    </row>
    <row r="2068" spans="1:11" ht="15" customHeight="1" x14ac:dyDescent="0.2">
      <c r="A2068" s="120" t="s">
        <v>6745</v>
      </c>
      <c r="B2068" s="120" t="s">
        <v>5198</v>
      </c>
      <c r="C2068" s="98" t="s">
        <v>3533</v>
      </c>
      <c r="D2068" s="120" t="s">
        <v>3563</v>
      </c>
      <c r="E2068" s="98">
        <v>3.1E-2</v>
      </c>
      <c r="F2068" s="120">
        <v>0</v>
      </c>
      <c r="G2068" s="121">
        <v>12620</v>
      </c>
      <c r="H2068" s="123">
        <v>3.1E-2</v>
      </c>
      <c r="I2068" s="122">
        <v>391.21999999999997</v>
      </c>
      <c r="J2068" s="124">
        <f t="shared" si="32"/>
        <v>31</v>
      </c>
      <c r="K2068" s="98" t="s">
        <v>5189</v>
      </c>
    </row>
    <row r="2069" spans="1:11" ht="15" customHeight="1" x14ac:dyDescent="0.2">
      <c r="A2069" s="120" t="s">
        <v>6746</v>
      </c>
      <c r="B2069" s="120" t="s">
        <v>6613</v>
      </c>
      <c r="C2069" s="98" t="s">
        <v>3533</v>
      </c>
      <c r="D2069" s="120" t="s">
        <v>3563</v>
      </c>
      <c r="E2069" s="98">
        <v>4.1900000000000004</v>
      </c>
      <c r="F2069" s="120">
        <v>0</v>
      </c>
      <c r="G2069" s="121">
        <v>1806</v>
      </c>
      <c r="H2069" s="123">
        <v>3.7477740000000002</v>
      </c>
      <c r="I2069" s="122">
        <v>6768.4798440000004</v>
      </c>
      <c r="J2069" s="124">
        <f t="shared" si="32"/>
        <v>4190</v>
      </c>
      <c r="K2069" s="98" t="s">
        <v>6747</v>
      </c>
    </row>
    <row r="2070" spans="1:11" ht="15" customHeight="1" x14ac:dyDescent="0.2">
      <c r="A2070" s="120" t="s">
        <v>6748</v>
      </c>
      <c r="B2070" s="120" t="s">
        <v>5072</v>
      </c>
      <c r="C2070" s="98" t="s">
        <v>3533</v>
      </c>
      <c r="D2070" s="120" t="s">
        <v>3563</v>
      </c>
      <c r="E2070" s="98">
        <v>5.5350000000000003E-2</v>
      </c>
      <c r="F2070" s="120">
        <v>0</v>
      </c>
      <c r="G2070" s="121">
        <v>24087</v>
      </c>
      <c r="H2070" s="123">
        <v>5.5350000000000003E-2</v>
      </c>
      <c r="I2070" s="122">
        <v>1333.2154500000001</v>
      </c>
      <c r="J2070" s="124">
        <f t="shared" si="32"/>
        <v>55.35</v>
      </c>
      <c r="K2070" s="98" t="s">
        <v>2375</v>
      </c>
    </row>
    <row r="2071" spans="1:11" ht="15" customHeight="1" x14ac:dyDescent="0.2">
      <c r="A2071" s="120" t="s">
        <v>6749</v>
      </c>
      <c r="B2071" s="120" t="s">
        <v>5072</v>
      </c>
      <c r="C2071" s="98" t="s">
        <v>3533</v>
      </c>
      <c r="D2071" s="120" t="s">
        <v>3563</v>
      </c>
      <c r="E2071" s="98">
        <v>3.15E-2</v>
      </c>
      <c r="F2071" s="120">
        <v>0</v>
      </c>
      <c r="G2071" s="121">
        <v>24015</v>
      </c>
      <c r="H2071" s="123">
        <v>3.15E-2</v>
      </c>
      <c r="I2071" s="122">
        <v>756.47249999999997</v>
      </c>
      <c r="J2071" s="124">
        <f t="shared" si="32"/>
        <v>31.5</v>
      </c>
      <c r="K2071" s="98" t="s">
        <v>2387</v>
      </c>
    </row>
    <row r="2072" spans="1:11" ht="15" customHeight="1" x14ac:dyDescent="0.2">
      <c r="A2072" s="120" t="s">
        <v>6750</v>
      </c>
      <c r="B2072" s="120" t="s">
        <v>5072</v>
      </c>
      <c r="C2072" s="98" t="s">
        <v>3533</v>
      </c>
      <c r="D2072" s="120" t="s">
        <v>3563</v>
      </c>
      <c r="E2072" s="98">
        <v>1.15E-2</v>
      </c>
      <c r="F2072" s="120">
        <v>0</v>
      </c>
      <c r="G2072" s="121">
        <v>24605</v>
      </c>
      <c r="H2072" s="123">
        <v>1.15E-2</v>
      </c>
      <c r="I2072" s="122">
        <v>282.95749999999998</v>
      </c>
      <c r="J2072" s="124">
        <f t="shared" si="32"/>
        <v>11.5</v>
      </c>
      <c r="K2072" s="98" t="s">
        <v>2387</v>
      </c>
    </row>
    <row r="2073" spans="1:11" ht="15" customHeight="1" x14ac:dyDescent="0.2">
      <c r="A2073" s="120" t="s">
        <v>6751</v>
      </c>
      <c r="B2073" s="120" t="s">
        <v>5794</v>
      </c>
      <c r="C2073" s="98" t="s">
        <v>3533</v>
      </c>
      <c r="D2073" s="120" t="s">
        <v>3563</v>
      </c>
      <c r="E2073" s="98">
        <v>7.2500000000000004E-3</v>
      </c>
      <c r="F2073" s="120">
        <v>0</v>
      </c>
      <c r="G2073" s="121">
        <v>14820</v>
      </c>
      <c r="H2073" s="123">
        <v>7.2500000000000004E-3</v>
      </c>
      <c r="I2073" s="122">
        <v>107.44500000000001</v>
      </c>
      <c r="J2073" s="124">
        <f t="shared" si="32"/>
        <v>7.25</v>
      </c>
      <c r="K2073" s="98" t="s">
        <v>2387</v>
      </c>
    </row>
    <row r="2074" spans="1:11" ht="15" customHeight="1" x14ac:dyDescent="0.2">
      <c r="A2074" s="120" t="s">
        <v>6752</v>
      </c>
      <c r="B2074" s="120" t="s">
        <v>6542</v>
      </c>
      <c r="C2074" s="98" t="s">
        <v>3533</v>
      </c>
      <c r="D2074" s="120" t="s">
        <v>3563</v>
      </c>
      <c r="E2074" s="98">
        <v>0.76</v>
      </c>
      <c r="F2074" s="120">
        <v>0</v>
      </c>
      <c r="G2074" s="121">
        <v>3530</v>
      </c>
      <c r="H2074" s="123">
        <v>0.76</v>
      </c>
      <c r="I2074" s="122">
        <v>2682.8</v>
      </c>
      <c r="J2074" s="124">
        <f t="shared" si="32"/>
        <v>760</v>
      </c>
      <c r="K2074" s="98" t="s">
        <v>6753</v>
      </c>
    </row>
    <row r="2075" spans="1:11" ht="15" customHeight="1" x14ac:dyDescent="0.2">
      <c r="A2075" s="120" t="s">
        <v>6754</v>
      </c>
      <c r="B2075" s="120" t="s">
        <v>2146</v>
      </c>
      <c r="C2075" s="98" t="s">
        <v>3533</v>
      </c>
      <c r="D2075" s="120" t="s">
        <v>3563</v>
      </c>
      <c r="E2075" s="98">
        <v>2.9000000000000001E-2</v>
      </c>
      <c r="F2075" s="120">
        <v>0</v>
      </c>
      <c r="G2075" s="121">
        <v>21600</v>
      </c>
      <c r="H2075" s="123">
        <v>2.9000000000000001E-2</v>
      </c>
      <c r="I2075" s="122">
        <v>626.4</v>
      </c>
      <c r="J2075" s="124">
        <f t="shared" si="32"/>
        <v>29</v>
      </c>
      <c r="K2075" s="98" t="s">
        <v>2387</v>
      </c>
    </row>
    <row r="2076" spans="1:11" ht="15" customHeight="1" x14ac:dyDescent="0.2">
      <c r="A2076" s="120" t="s">
        <v>6755</v>
      </c>
      <c r="B2076" s="120" t="s">
        <v>6270</v>
      </c>
      <c r="C2076" s="98" t="s">
        <v>3533</v>
      </c>
      <c r="D2076" s="120" t="s">
        <v>3563</v>
      </c>
      <c r="E2076" s="98">
        <v>2.18253968253968E-2</v>
      </c>
      <c r="F2076" s="120">
        <v>0</v>
      </c>
      <c r="G2076" s="121">
        <v>51674</v>
      </c>
      <c r="H2076" s="123">
        <v>2.1701000000000002E-2</v>
      </c>
      <c r="I2076" s="122">
        <v>1121.3774740000001</v>
      </c>
      <c r="J2076" s="124">
        <f t="shared" si="32"/>
        <v>21.825396825396801</v>
      </c>
      <c r="K2076" s="98" t="s">
        <v>6756</v>
      </c>
    </row>
    <row r="2077" spans="1:11" ht="15" customHeight="1" x14ac:dyDescent="0.2">
      <c r="A2077" s="120" t="s">
        <v>6757</v>
      </c>
      <c r="B2077" s="120" t="s">
        <v>5696</v>
      </c>
      <c r="C2077" s="98" t="s">
        <v>3533</v>
      </c>
      <c r="D2077" s="120" t="s">
        <v>3563</v>
      </c>
      <c r="E2077" s="98">
        <v>8.8183421516754793E-3</v>
      </c>
      <c r="F2077" s="120">
        <v>0</v>
      </c>
      <c r="G2077" s="121">
        <v>89015</v>
      </c>
      <c r="H2077" s="123">
        <v>8.8179999999999994E-3</v>
      </c>
      <c r="I2077" s="122">
        <v>784.93426999999997</v>
      </c>
      <c r="J2077" s="124">
        <f t="shared" si="32"/>
        <v>8.8183421516754787</v>
      </c>
      <c r="K2077" s="98" t="s">
        <v>5298</v>
      </c>
    </row>
    <row r="2078" spans="1:11" ht="15" customHeight="1" x14ac:dyDescent="0.2">
      <c r="A2078" s="120" t="s">
        <v>6758</v>
      </c>
      <c r="B2078" s="120" t="s">
        <v>6613</v>
      </c>
      <c r="C2078" s="98" t="s">
        <v>3533</v>
      </c>
      <c r="D2078" s="120" t="s">
        <v>3563</v>
      </c>
      <c r="E2078" s="98">
        <v>6.2850000000000003E-2</v>
      </c>
      <c r="F2078" s="120">
        <v>0</v>
      </c>
      <c r="G2078" s="121">
        <v>24475</v>
      </c>
      <c r="H2078" s="123">
        <v>6.2850000000000003E-2</v>
      </c>
      <c r="I2078" s="122">
        <v>1538.2537500000001</v>
      </c>
      <c r="J2078" s="124">
        <f t="shared" si="32"/>
        <v>62.85</v>
      </c>
      <c r="K2078" s="98" t="s">
        <v>2387</v>
      </c>
    </row>
    <row r="2079" spans="1:11" ht="15" customHeight="1" x14ac:dyDescent="0.2">
      <c r="A2079" s="120" t="s">
        <v>6759</v>
      </c>
      <c r="B2079" s="120" t="s">
        <v>5402</v>
      </c>
      <c r="C2079" s="98" t="s">
        <v>3533</v>
      </c>
      <c r="D2079" s="120" t="s">
        <v>3563</v>
      </c>
      <c r="E2079" s="98">
        <v>0.125</v>
      </c>
      <c r="F2079" s="120">
        <v>0</v>
      </c>
      <c r="G2079" s="121">
        <v>6881</v>
      </c>
      <c r="H2079" s="123">
        <v>0.125</v>
      </c>
      <c r="I2079" s="122">
        <v>860.125</v>
      </c>
      <c r="J2079" s="124">
        <f t="shared" si="32"/>
        <v>125</v>
      </c>
      <c r="K2079" s="98" t="s">
        <v>3272</v>
      </c>
    </row>
    <row r="2080" spans="1:11" ht="15" customHeight="1" x14ac:dyDescent="0.2">
      <c r="A2080" s="120" t="s">
        <v>6760</v>
      </c>
      <c r="B2080" s="120" t="s">
        <v>2254</v>
      </c>
      <c r="C2080" s="98" t="s">
        <v>3533</v>
      </c>
      <c r="D2080" s="120" t="s">
        <v>3563</v>
      </c>
      <c r="E2080" s="98">
        <v>4.7E-2</v>
      </c>
      <c r="F2080" s="120">
        <v>0</v>
      </c>
      <c r="G2080" s="121">
        <v>34735</v>
      </c>
      <c r="H2080" s="123">
        <v>4.7E-2</v>
      </c>
      <c r="I2080" s="122">
        <v>1632.5450000000001</v>
      </c>
      <c r="J2080" s="124">
        <f t="shared" si="32"/>
        <v>47</v>
      </c>
      <c r="K2080" s="98" t="s">
        <v>5189</v>
      </c>
    </row>
    <row r="2081" spans="1:11" ht="15" customHeight="1" x14ac:dyDescent="0.2">
      <c r="A2081" s="120" t="s">
        <v>6761</v>
      </c>
      <c r="B2081" s="120" t="s">
        <v>5216</v>
      </c>
      <c r="C2081" s="98" t="s">
        <v>3533</v>
      </c>
      <c r="D2081" s="120" t="s">
        <v>3563</v>
      </c>
      <c r="E2081" s="98">
        <v>8.6E-3</v>
      </c>
      <c r="F2081" s="120">
        <v>0</v>
      </c>
      <c r="G2081" s="121">
        <v>0</v>
      </c>
      <c r="H2081" s="123">
        <v>8.6E-3</v>
      </c>
      <c r="I2081" s="122">
        <v>0</v>
      </c>
      <c r="J2081" s="124">
        <f t="shared" si="32"/>
        <v>8.6</v>
      </c>
      <c r="K2081" s="98" t="s">
        <v>3272</v>
      </c>
    </row>
    <row r="2082" spans="1:11" ht="15" customHeight="1" x14ac:dyDescent="0.2">
      <c r="A2082" s="120" t="s">
        <v>6762</v>
      </c>
      <c r="B2082" s="120" t="s">
        <v>2332</v>
      </c>
      <c r="C2082" s="98" t="s">
        <v>3533</v>
      </c>
      <c r="D2082" s="120" t="s">
        <v>3563</v>
      </c>
      <c r="E2082" s="98">
        <v>2.9000000000000001E-2</v>
      </c>
      <c r="F2082" s="120">
        <v>0</v>
      </c>
      <c r="G2082" s="121">
        <v>31110</v>
      </c>
      <c r="H2082" s="123">
        <v>2.9000000000000001E-2</v>
      </c>
      <c r="I2082" s="122">
        <v>902.19</v>
      </c>
      <c r="J2082" s="124">
        <f t="shared" si="32"/>
        <v>29</v>
      </c>
      <c r="K2082" s="98" t="s">
        <v>6763</v>
      </c>
    </row>
    <row r="2083" spans="1:11" ht="15" customHeight="1" x14ac:dyDescent="0.2">
      <c r="A2083" s="120" t="s">
        <v>6764</v>
      </c>
      <c r="B2083" s="120" t="s">
        <v>6270</v>
      </c>
      <c r="C2083" s="98" t="s">
        <v>3533</v>
      </c>
      <c r="D2083" s="120" t="s">
        <v>3563</v>
      </c>
      <c r="E2083" s="98">
        <v>2.0039999999999999E-2</v>
      </c>
      <c r="F2083" s="120">
        <v>0</v>
      </c>
      <c r="G2083" s="121">
        <v>299520</v>
      </c>
      <c r="H2083" s="123">
        <v>2.1887E-2</v>
      </c>
      <c r="I2083" s="122">
        <v>6555.5942400000004</v>
      </c>
      <c r="J2083" s="124">
        <f t="shared" si="32"/>
        <v>20.04</v>
      </c>
      <c r="K2083" s="98" t="s">
        <v>6765</v>
      </c>
    </row>
    <row r="2084" spans="1:11" ht="15" customHeight="1" x14ac:dyDescent="0.2">
      <c r="A2084" s="120" t="s">
        <v>6766</v>
      </c>
      <c r="B2084" s="120" t="s">
        <v>5906</v>
      </c>
      <c r="C2084" s="98" t="s">
        <v>3533</v>
      </c>
      <c r="D2084" s="120" t="s">
        <v>3563</v>
      </c>
      <c r="E2084" s="98">
        <v>0.29499999999999998</v>
      </c>
      <c r="F2084" s="120">
        <v>0</v>
      </c>
      <c r="G2084" s="121">
        <v>12060</v>
      </c>
      <c r="H2084" s="123">
        <v>0.29499999999999998</v>
      </c>
      <c r="I2084" s="122">
        <v>3557.7</v>
      </c>
      <c r="J2084" s="124">
        <f t="shared" si="32"/>
        <v>295</v>
      </c>
      <c r="K2084" s="98" t="s">
        <v>6767</v>
      </c>
    </row>
    <row r="2085" spans="1:11" ht="15" customHeight="1" x14ac:dyDescent="0.2">
      <c r="A2085" s="120" t="s">
        <v>6768</v>
      </c>
      <c r="B2085" s="120" t="s">
        <v>4720</v>
      </c>
      <c r="C2085" s="98" t="s">
        <v>3533</v>
      </c>
      <c r="D2085" s="120" t="s">
        <v>3563</v>
      </c>
      <c r="E2085" s="98">
        <v>4.1446208112874798E-2</v>
      </c>
      <c r="F2085" s="120">
        <v>0</v>
      </c>
      <c r="G2085" s="121">
        <v>34295</v>
      </c>
      <c r="H2085" s="123">
        <v>4.1445999999999997E-2</v>
      </c>
      <c r="I2085" s="122">
        <v>1421.3905699999998</v>
      </c>
      <c r="J2085" s="124">
        <f t="shared" si="32"/>
        <v>41.4462081128748</v>
      </c>
      <c r="K2085" s="98" t="s">
        <v>6769</v>
      </c>
    </row>
    <row r="2086" spans="1:11" ht="15" customHeight="1" x14ac:dyDescent="0.2">
      <c r="A2086" s="120" t="s">
        <v>6770</v>
      </c>
      <c r="B2086" s="120" t="s">
        <v>4720</v>
      </c>
      <c r="C2086" s="98" t="s">
        <v>3533</v>
      </c>
      <c r="D2086" s="120" t="s">
        <v>3563</v>
      </c>
      <c r="E2086" s="98">
        <v>2.2486772486772499E-2</v>
      </c>
      <c r="F2086" s="120">
        <v>0</v>
      </c>
      <c r="G2086" s="121">
        <v>23420</v>
      </c>
      <c r="H2086" s="123">
        <v>2.2487E-2</v>
      </c>
      <c r="I2086" s="122">
        <v>526.64553999999998</v>
      </c>
      <c r="J2086" s="124">
        <f t="shared" si="32"/>
        <v>22.486772486772498</v>
      </c>
      <c r="K2086" s="98" t="s">
        <v>6771</v>
      </c>
    </row>
    <row r="2087" spans="1:11" ht="15" customHeight="1" x14ac:dyDescent="0.2">
      <c r="A2087" s="120" t="s">
        <v>6772</v>
      </c>
      <c r="B2087" s="120" t="s">
        <v>4720</v>
      </c>
      <c r="C2087" s="98" t="s">
        <v>3533</v>
      </c>
      <c r="D2087" s="120" t="s">
        <v>3563</v>
      </c>
      <c r="E2087" s="98">
        <v>3.5273368606701903E-2</v>
      </c>
      <c r="F2087" s="120">
        <v>0</v>
      </c>
      <c r="G2087" s="121">
        <v>142560</v>
      </c>
      <c r="H2087" s="123">
        <v>3.5272999999999999E-2</v>
      </c>
      <c r="I2087" s="122">
        <v>5028.5188799999996</v>
      </c>
      <c r="J2087" s="124">
        <f t="shared" si="32"/>
        <v>35.273368606701901</v>
      </c>
      <c r="K2087" s="98" t="s">
        <v>6773</v>
      </c>
    </row>
    <row r="2088" spans="1:11" ht="15" customHeight="1" x14ac:dyDescent="0.2">
      <c r="A2088" s="120" t="s">
        <v>6774</v>
      </c>
      <c r="B2088" s="120" t="s">
        <v>4720</v>
      </c>
      <c r="C2088" s="98" t="s">
        <v>3533</v>
      </c>
      <c r="D2088" s="120" t="s">
        <v>3563</v>
      </c>
      <c r="E2088" s="98">
        <v>2.5573192239858902E-2</v>
      </c>
      <c r="F2088" s="120">
        <v>0</v>
      </c>
      <c r="G2088" s="121">
        <v>52590</v>
      </c>
      <c r="H2088" s="123">
        <v>2.5572999999999999E-2</v>
      </c>
      <c r="I2088" s="122">
        <v>1344.8840699999998</v>
      </c>
      <c r="J2088" s="124">
        <f t="shared" si="32"/>
        <v>25.573192239858901</v>
      </c>
      <c r="K2088" s="98" t="s">
        <v>6775</v>
      </c>
    </row>
    <row r="2089" spans="1:11" ht="15" customHeight="1" x14ac:dyDescent="0.2">
      <c r="A2089" s="120" t="s">
        <v>6776</v>
      </c>
      <c r="B2089" s="120" t="s">
        <v>2566</v>
      </c>
      <c r="C2089" s="98" t="s">
        <v>3533</v>
      </c>
      <c r="D2089" s="120" t="s">
        <v>3563</v>
      </c>
      <c r="E2089" s="98">
        <v>0.2</v>
      </c>
      <c r="F2089" s="120">
        <v>0</v>
      </c>
      <c r="G2089" s="121">
        <v>20085</v>
      </c>
      <c r="H2089" s="123">
        <v>0.2</v>
      </c>
      <c r="I2089" s="122">
        <v>4017</v>
      </c>
      <c r="J2089" s="124">
        <f t="shared" si="32"/>
        <v>200</v>
      </c>
      <c r="K2089" s="98" t="s">
        <v>6777</v>
      </c>
    </row>
    <row r="2090" spans="1:11" ht="15" customHeight="1" x14ac:dyDescent="0.2">
      <c r="A2090" s="120" t="s">
        <v>6778</v>
      </c>
      <c r="B2090" s="120" t="s">
        <v>5814</v>
      </c>
      <c r="C2090" s="98" t="s">
        <v>3533</v>
      </c>
      <c r="D2090" s="120" t="s">
        <v>3563</v>
      </c>
      <c r="E2090" s="98">
        <v>1.4189999999999999E-2</v>
      </c>
      <c r="F2090" s="120">
        <v>0</v>
      </c>
      <c r="G2090" s="121">
        <v>13745</v>
      </c>
      <c r="H2090" s="123">
        <v>1.4189999999999999E-2</v>
      </c>
      <c r="I2090" s="122">
        <v>195.04155</v>
      </c>
      <c r="J2090" s="124">
        <f t="shared" si="32"/>
        <v>14.19</v>
      </c>
      <c r="K2090" s="98" t="s">
        <v>6779</v>
      </c>
    </row>
    <row r="2091" spans="1:11" ht="15" customHeight="1" x14ac:dyDescent="0.2">
      <c r="A2091" s="120" t="s">
        <v>6780</v>
      </c>
      <c r="B2091" s="120" t="s">
        <v>2254</v>
      </c>
      <c r="C2091" s="98" t="s">
        <v>3533</v>
      </c>
      <c r="D2091" s="120" t="s">
        <v>3563</v>
      </c>
      <c r="E2091" s="98">
        <v>0.16500000000000001</v>
      </c>
      <c r="F2091" s="120">
        <v>0</v>
      </c>
      <c r="G2091" s="121">
        <v>20545</v>
      </c>
      <c r="H2091" s="123">
        <v>0.16500000000000001</v>
      </c>
      <c r="I2091" s="122">
        <v>3389.9250000000002</v>
      </c>
      <c r="J2091" s="124">
        <f t="shared" si="32"/>
        <v>165</v>
      </c>
      <c r="K2091" s="98" t="s">
        <v>2387</v>
      </c>
    </row>
    <row r="2092" spans="1:11" ht="15" customHeight="1" x14ac:dyDescent="0.2">
      <c r="A2092" s="120" t="s">
        <v>6781</v>
      </c>
      <c r="B2092" s="120" t="s">
        <v>2566</v>
      </c>
      <c r="C2092" s="98" t="s">
        <v>3533</v>
      </c>
      <c r="D2092" s="120" t="s">
        <v>3563</v>
      </c>
      <c r="E2092" s="98">
        <v>0.14000000000000001</v>
      </c>
      <c r="F2092" s="120">
        <v>0</v>
      </c>
      <c r="G2092" s="121">
        <v>6985</v>
      </c>
      <c r="H2092" s="123">
        <v>0.14000000000000001</v>
      </c>
      <c r="I2092" s="122">
        <v>977.90000000000009</v>
      </c>
      <c r="J2092" s="124">
        <f t="shared" si="32"/>
        <v>140</v>
      </c>
      <c r="K2092" s="98" t="s">
        <v>6782</v>
      </c>
    </row>
    <row r="2093" spans="1:11" ht="15" customHeight="1" x14ac:dyDescent="0.2">
      <c r="A2093" s="120" t="s">
        <v>6783</v>
      </c>
      <c r="B2093" s="120" t="s">
        <v>5696</v>
      </c>
      <c r="C2093" s="98" t="s">
        <v>3533</v>
      </c>
      <c r="D2093" s="120" t="s">
        <v>3563</v>
      </c>
      <c r="E2093" s="98">
        <v>1.6799999999999999E-2</v>
      </c>
      <c r="F2093" s="120">
        <v>0</v>
      </c>
      <c r="G2093" s="121">
        <v>0</v>
      </c>
      <c r="H2093" s="123">
        <v>1.6799999999999999E-2</v>
      </c>
      <c r="I2093" s="122">
        <v>0</v>
      </c>
      <c r="J2093" s="124">
        <f t="shared" si="32"/>
        <v>16.8</v>
      </c>
      <c r="K2093" s="98" t="s">
        <v>2387</v>
      </c>
    </row>
    <row r="2094" spans="1:11" ht="15" customHeight="1" x14ac:dyDescent="0.2">
      <c r="A2094" s="120" t="s">
        <v>6784</v>
      </c>
      <c r="B2094" s="120" t="s">
        <v>2254</v>
      </c>
      <c r="C2094" s="98" t="s">
        <v>3533</v>
      </c>
      <c r="D2094" s="120" t="s">
        <v>3563</v>
      </c>
      <c r="E2094" s="98">
        <v>1.0999999999999999E-2</v>
      </c>
      <c r="F2094" s="120">
        <v>0</v>
      </c>
      <c r="G2094" s="121">
        <v>15319</v>
      </c>
      <c r="H2094" s="123">
        <v>1.0999999999999999E-2</v>
      </c>
      <c r="I2094" s="122">
        <v>168.50899999999999</v>
      </c>
      <c r="J2094" s="124">
        <f t="shared" si="32"/>
        <v>11</v>
      </c>
      <c r="K2094" s="98" t="s">
        <v>5189</v>
      </c>
    </row>
    <row r="2095" spans="1:11" ht="15" customHeight="1" x14ac:dyDescent="0.2">
      <c r="A2095" s="120" t="s">
        <v>6785</v>
      </c>
      <c r="B2095" s="120" t="s">
        <v>5216</v>
      </c>
      <c r="C2095" s="98" t="s">
        <v>3533</v>
      </c>
      <c r="D2095" s="120" t="s">
        <v>3563</v>
      </c>
      <c r="E2095" s="98">
        <v>0.03</v>
      </c>
      <c r="F2095" s="120">
        <v>0</v>
      </c>
      <c r="G2095" s="121">
        <v>15654</v>
      </c>
      <c r="H2095" s="123">
        <v>0.03</v>
      </c>
      <c r="I2095" s="122">
        <v>469.62</v>
      </c>
      <c r="J2095" s="124">
        <f t="shared" si="32"/>
        <v>30</v>
      </c>
      <c r="K2095" s="98" t="s">
        <v>2387</v>
      </c>
    </row>
    <row r="2096" spans="1:11" ht="15" customHeight="1" x14ac:dyDescent="0.2">
      <c r="A2096" s="120" t="s">
        <v>6786</v>
      </c>
      <c r="B2096" s="120" t="s">
        <v>6297</v>
      </c>
      <c r="C2096" s="98" t="s">
        <v>3533</v>
      </c>
      <c r="D2096" s="120" t="s">
        <v>3563</v>
      </c>
      <c r="E2096" s="98">
        <v>3.6507936507936496E-2</v>
      </c>
      <c r="F2096" s="120">
        <v>0</v>
      </c>
      <c r="G2096" s="121">
        <v>18075</v>
      </c>
      <c r="H2096" s="123">
        <v>3.6507999999999999E-2</v>
      </c>
      <c r="I2096" s="122">
        <v>659.88209999999992</v>
      </c>
      <c r="J2096" s="124">
        <f t="shared" si="32"/>
        <v>36.507936507936499</v>
      </c>
      <c r="K2096" s="98" t="s">
        <v>2686</v>
      </c>
    </row>
    <row r="2097" spans="1:11" ht="15" customHeight="1" x14ac:dyDescent="0.2">
      <c r="A2097" s="120" t="s">
        <v>6787</v>
      </c>
      <c r="B2097" s="120" t="s">
        <v>6788</v>
      </c>
      <c r="C2097" s="98" t="s">
        <v>3533</v>
      </c>
      <c r="D2097" s="120" t="s">
        <v>3563</v>
      </c>
      <c r="E2097" s="98">
        <v>5.3499999999999999E-2</v>
      </c>
      <c r="F2097" s="120">
        <v>0</v>
      </c>
      <c r="G2097" s="121">
        <v>18965</v>
      </c>
      <c r="H2097" s="123">
        <v>5.3499999999999999E-2</v>
      </c>
      <c r="I2097" s="122">
        <v>1014.6274999999999</v>
      </c>
      <c r="J2097" s="124">
        <f t="shared" si="32"/>
        <v>53.5</v>
      </c>
      <c r="K2097" s="98" t="s">
        <v>2387</v>
      </c>
    </row>
    <row r="2098" spans="1:11" ht="15" customHeight="1" x14ac:dyDescent="0.2">
      <c r="A2098" s="120" t="s">
        <v>6789</v>
      </c>
      <c r="B2098" s="120" t="s">
        <v>5202</v>
      </c>
      <c r="C2098" s="98" t="s">
        <v>3533</v>
      </c>
      <c r="D2098" s="120" t="s">
        <v>3563</v>
      </c>
      <c r="E2098" s="98">
        <v>0.33</v>
      </c>
      <c r="F2098" s="120">
        <v>0</v>
      </c>
      <c r="G2098" s="121">
        <v>4480</v>
      </c>
      <c r="H2098" s="123">
        <v>0.33</v>
      </c>
      <c r="I2098" s="122">
        <v>1478.4</v>
      </c>
      <c r="J2098" s="124">
        <f t="shared" si="32"/>
        <v>330</v>
      </c>
      <c r="K2098" s="98" t="s">
        <v>6790</v>
      </c>
    </row>
    <row r="2099" spans="1:11" ht="15" customHeight="1" x14ac:dyDescent="0.2">
      <c r="A2099" s="120" t="s">
        <v>6791</v>
      </c>
      <c r="B2099" s="120" t="s">
        <v>5142</v>
      </c>
      <c r="C2099" s="98" t="s">
        <v>3533</v>
      </c>
      <c r="D2099" s="120" t="s">
        <v>3563</v>
      </c>
      <c r="E2099" s="98">
        <v>0.06</v>
      </c>
      <c r="F2099" s="120">
        <v>0</v>
      </c>
      <c r="G2099" s="121">
        <v>480</v>
      </c>
      <c r="H2099" s="123">
        <v>0.06</v>
      </c>
      <c r="I2099" s="122">
        <v>28.799999999999997</v>
      </c>
      <c r="J2099" s="124">
        <f t="shared" si="32"/>
        <v>60</v>
      </c>
      <c r="K2099" s="98" t="s">
        <v>6792</v>
      </c>
    </row>
    <row r="2100" spans="1:11" ht="15" customHeight="1" x14ac:dyDescent="0.2">
      <c r="A2100" s="120" t="s">
        <v>6793</v>
      </c>
      <c r="B2100" s="120" t="s">
        <v>5337</v>
      </c>
      <c r="C2100" s="98" t="s">
        <v>3533</v>
      </c>
      <c r="D2100" s="120" t="s">
        <v>3563</v>
      </c>
      <c r="E2100" s="98">
        <v>0.7</v>
      </c>
      <c r="F2100" s="120">
        <v>0</v>
      </c>
      <c r="G2100" s="121">
        <v>3395</v>
      </c>
      <c r="H2100" s="123">
        <v>0.7</v>
      </c>
      <c r="I2100" s="122">
        <v>2376.5</v>
      </c>
      <c r="J2100" s="124">
        <f t="shared" si="32"/>
        <v>700</v>
      </c>
      <c r="K2100" s="98" t="s">
        <v>6555</v>
      </c>
    </row>
    <row r="2101" spans="1:11" ht="15" customHeight="1" x14ac:dyDescent="0.2">
      <c r="A2101" s="120" t="s">
        <v>6794</v>
      </c>
      <c r="B2101" s="120" t="s">
        <v>5678</v>
      </c>
      <c r="C2101" s="98" t="s">
        <v>3533</v>
      </c>
      <c r="D2101" s="120" t="s">
        <v>3563</v>
      </c>
      <c r="E2101" s="98">
        <v>2.4013556603773599E-2</v>
      </c>
      <c r="F2101" s="120">
        <v>0</v>
      </c>
      <c r="G2101" s="121">
        <v>1269640</v>
      </c>
      <c r="H2101" s="123">
        <v>2.35E-2</v>
      </c>
      <c r="I2101" s="122">
        <v>29836.54</v>
      </c>
      <c r="J2101" s="124">
        <f t="shared" si="32"/>
        <v>24.013556603773598</v>
      </c>
      <c r="K2101" s="98" t="s">
        <v>2405</v>
      </c>
    </row>
    <row r="2102" spans="1:11" ht="15" customHeight="1" x14ac:dyDescent="0.2">
      <c r="A2102" s="120" t="s">
        <v>6795</v>
      </c>
      <c r="B2102" s="120" t="s">
        <v>6587</v>
      </c>
      <c r="C2102" s="98" t="s">
        <v>3533</v>
      </c>
      <c r="D2102" s="120" t="s">
        <v>3563</v>
      </c>
      <c r="E2102" s="98">
        <v>0.33500000000000002</v>
      </c>
      <c r="F2102" s="120">
        <v>0</v>
      </c>
      <c r="G2102" s="121">
        <v>2055</v>
      </c>
      <c r="H2102" s="123">
        <v>0.33500000000000002</v>
      </c>
      <c r="I2102" s="122">
        <v>688.42500000000007</v>
      </c>
      <c r="J2102" s="124">
        <f t="shared" si="32"/>
        <v>335</v>
      </c>
      <c r="K2102" s="98" t="s">
        <v>6796</v>
      </c>
    </row>
    <row r="2103" spans="1:11" ht="15" customHeight="1" x14ac:dyDescent="0.2">
      <c r="A2103" s="120" t="s">
        <v>6797</v>
      </c>
      <c r="B2103" s="120" t="s">
        <v>6743</v>
      </c>
      <c r="C2103" s="98" t="s">
        <v>3533</v>
      </c>
      <c r="D2103" s="120" t="s">
        <v>3563</v>
      </c>
      <c r="E2103" s="98">
        <v>2.9387125220458599E-2</v>
      </c>
      <c r="F2103" s="120">
        <v>0</v>
      </c>
      <c r="G2103" s="121">
        <v>33845</v>
      </c>
      <c r="H2103" s="123">
        <v>2.9387E-2</v>
      </c>
      <c r="I2103" s="122">
        <v>994.60301500000003</v>
      </c>
      <c r="J2103" s="124">
        <f t="shared" si="32"/>
        <v>29.3871252204586</v>
      </c>
      <c r="K2103" s="98" t="s">
        <v>6798</v>
      </c>
    </row>
    <row r="2104" spans="1:11" ht="15" customHeight="1" x14ac:dyDescent="0.2">
      <c r="A2104" s="120" t="s">
        <v>6799</v>
      </c>
      <c r="B2104" s="120" t="s">
        <v>6800</v>
      </c>
      <c r="C2104" s="98" t="s">
        <v>3533</v>
      </c>
      <c r="D2104" s="120" t="s">
        <v>3563</v>
      </c>
      <c r="E2104" s="98">
        <v>1.7999999999999999E-2</v>
      </c>
      <c r="F2104" s="120">
        <v>0</v>
      </c>
      <c r="G2104" s="121">
        <v>7720</v>
      </c>
      <c r="H2104" s="123">
        <v>1.7926000000000001E-2</v>
      </c>
      <c r="I2104" s="122">
        <v>138.38872000000001</v>
      </c>
      <c r="J2104" s="124">
        <f t="shared" si="32"/>
        <v>18</v>
      </c>
      <c r="K2104" s="98" t="s">
        <v>6801</v>
      </c>
    </row>
    <row r="2105" spans="1:11" ht="15" customHeight="1" x14ac:dyDescent="0.2">
      <c r="A2105" s="120" t="s">
        <v>6802</v>
      </c>
      <c r="B2105" s="120" t="s">
        <v>5337</v>
      </c>
      <c r="C2105" s="98" t="s">
        <v>3533</v>
      </c>
      <c r="D2105" s="120" t="s">
        <v>3563</v>
      </c>
      <c r="E2105" s="98">
        <v>0.54500000000000004</v>
      </c>
      <c r="F2105" s="120">
        <v>0</v>
      </c>
      <c r="G2105" s="121">
        <v>2980</v>
      </c>
      <c r="H2105" s="123">
        <v>0.54500000000000004</v>
      </c>
      <c r="I2105" s="122">
        <v>1624.1000000000001</v>
      </c>
      <c r="J2105" s="124">
        <f t="shared" si="32"/>
        <v>545</v>
      </c>
      <c r="K2105" s="98" t="s">
        <v>6803</v>
      </c>
    </row>
    <row r="2106" spans="1:11" ht="15" customHeight="1" x14ac:dyDescent="0.2">
      <c r="A2106" s="120" t="s">
        <v>6804</v>
      </c>
      <c r="B2106" s="120" t="s">
        <v>6805</v>
      </c>
      <c r="C2106" s="98" t="s">
        <v>3533</v>
      </c>
      <c r="D2106" s="120" t="s">
        <v>3563</v>
      </c>
      <c r="E2106" s="98">
        <v>0.19</v>
      </c>
      <c r="F2106" s="120">
        <v>0</v>
      </c>
      <c r="G2106" s="121">
        <v>4985</v>
      </c>
      <c r="H2106" s="123">
        <v>0.19</v>
      </c>
      <c r="I2106" s="122">
        <v>947.15</v>
      </c>
      <c r="J2106" s="124">
        <f t="shared" si="32"/>
        <v>190</v>
      </c>
      <c r="K2106" s="98" t="s">
        <v>2387</v>
      </c>
    </row>
    <row r="2107" spans="1:11" ht="15" customHeight="1" x14ac:dyDescent="0.2">
      <c r="A2107" s="120" t="s">
        <v>6806</v>
      </c>
      <c r="B2107" s="120" t="s">
        <v>2146</v>
      </c>
      <c r="C2107" s="98" t="s">
        <v>3533</v>
      </c>
      <c r="D2107" s="120" t="s">
        <v>3563</v>
      </c>
      <c r="E2107" s="98">
        <v>0.9</v>
      </c>
      <c r="F2107" s="120">
        <v>0</v>
      </c>
      <c r="G2107" s="121">
        <v>11245</v>
      </c>
      <c r="H2107" s="123">
        <v>0.9</v>
      </c>
      <c r="I2107" s="122">
        <v>10120.5</v>
      </c>
      <c r="J2107" s="124">
        <f t="shared" si="32"/>
        <v>900</v>
      </c>
      <c r="K2107" s="98" t="s">
        <v>2387</v>
      </c>
    </row>
    <row r="2108" spans="1:11" ht="15" customHeight="1" x14ac:dyDescent="0.2">
      <c r="A2108" s="120" t="s">
        <v>6807</v>
      </c>
      <c r="B2108" s="120" t="s">
        <v>5216</v>
      </c>
      <c r="C2108" s="98" t="s">
        <v>3533</v>
      </c>
      <c r="D2108" s="120" t="s">
        <v>3563</v>
      </c>
      <c r="E2108" s="98">
        <v>0.06</v>
      </c>
      <c r="F2108" s="120">
        <v>0</v>
      </c>
      <c r="G2108" s="121">
        <v>25965</v>
      </c>
      <c r="H2108" s="123">
        <v>0.06</v>
      </c>
      <c r="I2108" s="122">
        <v>1557.8999999999999</v>
      </c>
      <c r="J2108" s="124">
        <f t="shared" si="32"/>
        <v>60</v>
      </c>
      <c r="K2108" s="98" t="s">
        <v>2387</v>
      </c>
    </row>
    <row r="2109" spans="1:11" ht="15" customHeight="1" x14ac:dyDescent="0.2">
      <c r="A2109" s="120" t="s">
        <v>6808</v>
      </c>
      <c r="B2109" s="120" t="s">
        <v>5211</v>
      </c>
      <c r="C2109" s="98" t="s">
        <v>3533</v>
      </c>
      <c r="D2109" s="120" t="s">
        <v>3563</v>
      </c>
      <c r="E2109" s="98">
        <v>1.5949999999999999E-2</v>
      </c>
      <c r="F2109" s="120">
        <v>0</v>
      </c>
      <c r="G2109" s="121">
        <v>34965</v>
      </c>
      <c r="H2109" s="123">
        <v>1.5949999999999999E-2</v>
      </c>
      <c r="I2109" s="122">
        <v>557.69174999999996</v>
      </c>
      <c r="J2109" s="124">
        <f t="shared" si="32"/>
        <v>15.95</v>
      </c>
      <c r="K2109" s="98" t="s">
        <v>5214</v>
      </c>
    </row>
    <row r="2110" spans="1:11" ht="15" customHeight="1" x14ac:dyDescent="0.2">
      <c r="A2110" s="120" t="s">
        <v>6809</v>
      </c>
      <c r="B2110" s="120" t="s">
        <v>4773</v>
      </c>
      <c r="C2110" s="98" t="s">
        <v>3533</v>
      </c>
      <c r="D2110" s="120" t="s">
        <v>3563</v>
      </c>
      <c r="E2110" s="98">
        <v>1.9035E-2</v>
      </c>
      <c r="F2110" s="120">
        <v>0</v>
      </c>
      <c r="G2110" s="121">
        <v>8500</v>
      </c>
      <c r="H2110" s="123">
        <v>1.9035E-2</v>
      </c>
      <c r="I2110" s="122">
        <v>161.79749999999999</v>
      </c>
      <c r="J2110" s="124">
        <f t="shared" si="32"/>
        <v>19.035</v>
      </c>
      <c r="K2110" s="98" t="s">
        <v>2405</v>
      </c>
    </row>
    <row r="2111" spans="1:11" ht="15" customHeight="1" x14ac:dyDescent="0.2">
      <c r="A2111" s="120" t="s">
        <v>6810</v>
      </c>
      <c r="B2111" s="120" t="s">
        <v>5216</v>
      </c>
      <c r="C2111" s="98" t="s">
        <v>3533</v>
      </c>
      <c r="D2111" s="120" t="s">
        <v>3563</v>
      </c>
      <c r="E2111" s="98">
        <v>3.2000000000000001E-2</v>
      </c>
      <c r="F2111" s="120">
        <v>0</v>
      </c>
      <c r="G2111" s="121">
        <v>75570</v>
      </c>
      <c r="H2111" s="123">
        <v>3.2000000000000001E-2</v>
      </c>
      <c r="I2111" s="122">
        <v>2418.2400000000002</v>
      </c>
      <c r="J2111" s="124">
        <f t="shared" si="32"/>
        <v>32</v>
      </c>
      <c r="K2111" s="98" t="s">
        <v>2387</v>
      </c>
    </row>
    <row r="2112" spans="1:11" ht="15" customHeight="1" x14ac:dyDescent="0.2">
      <c r="A2112" s="120" t="s">
        <v>6811</v>
      </c>
      <c r="B2112" s="120" t="s">
        <v>5794</v>
      </c>
      <c r="C2112" s="98" t="s">
        <v>3533</v>
      </c>
      <c r="D2112" s="120" t="s">
        <v>3563</v>
      </c>
      <c r="E2112" s="98">
        <v>1.8499999999999999E-2</v>
      </c>
      <c r="F2112" s="120">
        <v>0</v>
      </c>
      <c r="G2112" s="121">
        <v>46825</v>
      </c>
      <c r="H2112" s="123">
        <v>1.8499999999999999E-2</v>
      </c>
      <c r="I2112" s="122">
        <v>866.26249999999993</v>
      </c>
      <c r="J2112" s="124">
        <f t="shared" si="32"/>
        <v>18.5</v>
      </c>
      <c r="K2112" s="98" t="s">
        <v>6259</v>
      </c>
    </row>
    <row r="2113" spans="1:11" ht="15" customHeight="1" x14ac:dyDescent="0.2">
      <c r="A2113" s="120" t="s">
        <v>6812</v>
      </c>
      <c r="B2113" s="120" t="s">
        <v>4833</v>
      </c>
      <c r="C2113" s="98" t="s">
        <v>3533</v>
      </c>
      <c r="D2113" s="120" t="s">
        <v>3563</v>
      </c>
      <c r="E2113" s="98">
        <v>4.9052028218694893E-2</v>
      </c>
      <c r="F2113" s="120">
        <v>0</v>
      </c>
      <c r="G2113" s="121">
        <v>15215</v>
      </c>
      <c r="H2113" s="123">
        <v>4.9051999999999998E-2</v>
      </c>
      <c r="I2113" s="122">
        <v>746.32618000000002</v>
      </c>
      <c r="J2113" s="124">
        <f t="shared" si="32"/>
        <v>49.052028218694893</v>
      </c>
      <c r="K2113" s="98" t="s">
        <v>6813</v>
      </c>
    </row>
    <row r="2114" spans="1:11" ht="15" customHeight="1" x14ac:dyDescent="0.2">
      <c r="A2114" s="120" t="s">
        <v>6814</v>
      </c>
      <c r="B2114" s="120" t="s">
        <v>6297</v>
      </c>
      <c r="C2114" s="98" t="s">
        <v>3533</v>
      </c>
      <c r="D2114" s="120" t="s">
        <v>3563</v>
      </c>
      <c r="E2114" s="98">
        <v>6.0629188712522E-2</v>
      </c>
      <c r="F2114" s="120">
        <v>0</v>
      </c>
      <c r="G2114" s="121">
        <v>18160</v>
      </c>
      <c r="H2114" s="123">
        <v>6.0629000000000002E-2</v>
      </c>
      <c r="I2114" s="122">
        <v>1101.0226400000001</v>
      </c>
      <c r="J2114" s="124">
        <f t="shared" ref="J2114:J2177" si="33">IF(D2114="gm", E2114*1000,+E2114)</f>
        <v>60.629188712522001</v>
      </c>
      <c r="K2114" s="98" t="s">
        <v>6695</v>
      </c>
    </row>
    <row r="2115" spans="1:11" ht="15" customHeight="1" x14ac:dyDescent="0.2">
      <c r="A2115" s="120" t="s">
        <v>6815</v>
      </c>
      <c r="B2115" s="120" t="s">
        <v>4720</v>
      </c>
      <c r="C2115" s="98" t="s">
        <v>3533</v>
      </c>
      <c r="D2115" s="120" t="s">
        <v>3563</v>
      </c>
      <c r="E2115" s="98">
        <v>2.2266313932980598E-2</v>
      </c>
      <c r="F2115" s="120">
        <v>0</v>
      </c>
      <c r="G2115" s="121">
        <v>20695</v>
      </c>
      <c r="H2115" s="123">
        <v>2.2266000000000001E-2</v>
      </c>
      <c r="I2115" s="122">
        <v>460.79487</v>
      </c>
      <c r="J2115" s="124">
        <f t="shared" si="33"/>
        <v>22.266313932980598</v>
      </c>
      <c r="K2115" s="98" t="s">
        <v>5298</v>
      </c>
    </row>
    <row r="2116" spans="1:11" ht="15" customHeight="1" x14ac:dyDescent="0.2">
      <c r="A2116" s="120" t="s">
        <v>6816</v>
      </c>
      <c r="B2116" s="120" t="s">
        <v>6080</v>
      </c>
      <c r="C2116" s="98" t="s">
        <v>3533</v>
      </c>
      <c r="D2116" s="120" t="s">
        <v>3563</v>
      </c>
      <c r="E2116" s="98">
        <v>1.494E-2</v>
      </c>
      <c r="F2116" s="120">
        <v>0</v>
      </c>
      <c r="G2116" s="121">
        <v>1217025</v>
      </c>
      <c r="H2116" s="123">
        <v>1.494E-2</v>
      </c>
      <c r="I2116" s="122">
        <v>18182.353500000001</v>
      </c>
      <c r="J2116" s="124">
        <f t="shared" si="33"/>
        <v>14.94</v>
      </c>
      <c r="K2116" s="98" t="s">
        <v>6817</v>
      </c>
    </row>
    <row r="2117" spans="1:11" ht="15" customHeight="1" x14ac:dyDescent="0.2">
      <c r="A2117" s="120" t="s">
        <v>6818</v>
      </c>
      <c r="B2117" s="120" t="s">
        <v>6060</v>
      </c>
      <c r="C2117" s="98" t="s">
        <v>3533</v>
      </c>
      <c r="D2117" s="120" t="s">
        <v>3563</v>
      </c>
      <c r="E2117" s="98">
        <v>1.73509375E-2</v>
      </c>
      <c r="F2117" s="120">
        <v>1000000</v>
      </c>
      <c r="G2117" s="121">
        <v>1385905</v>
      </c>
      <c r="H2117" s="123">
        <v>1.7350999999999998E-2</v>
      </c>
      <c r="I2117" s="122">
        <v>24046.837654999999</v>
      </c>
      <c r="J2117" s="124">
        <f t="shared" si="33"/>
        <v>17.350937500000001</v>
      </c>
      <c r="K2117" s="98" t="s">
        <v>6819</v>
      </c>
    </row>
    <row r="2118" spans="1:11" ht="15" customHeight="1" x14ac:dyDescent="0.2">
      <c r="A2118" s="120" t="s">
        <v>6820</v>
      </c>
      <c r="B2118" s="120" t="s">
        <v>2254</v>
      </c>
      <c r="C2118" s="98" t="s">
        <v>3533</v>
      </c>
      <c r="D2118" s="120" t="s">
        <v>3563</v>
      </c>
      <c r="E2118" s="98">
        <v>4.7E-2</v>
      </c>
      <c r="F2118" s="120">
        <v>0</v>
      </c>
      <c r="G2118" s="121">
        <v>17240</v>
      </c>
      <c r="H2118" s="123">
        <v>4.7E-2</v>
      </c>
      <c r="I2118" s="122">
        <v>810.28</v>
      </c>
      <c r="J2118" s="124">
        <f t="shared" si="33"/>
        <v>47</v>
      </c>
      <c r="K2118" s="98" t="s">
        <v>2387</v>
      </c>
    </row>
    <row r="2119" spans="1:11" ht="15" customHeight="1" x14ac:dyDescent="0.2">
      <c r="A2119" s="120" t="s">
        <v>3337</v>
      </c>
      <c r="B2119" s="120" t="s">
        <v>2254</v>
      </c>
      <c r="C2119" s="98" t="s">
        <v>3533</v>
      </c>
      <c r="D2119" s="120" t="s">
        <v>3563</v>
      </c>
      <c r="E2119" s="98">
        <v>0.19800000000000001</v>
      </c>
      <c r="F2119" s="120">
        <v>0</v>
      </c>
      <c r="G2119" s="121">
        <v>7570</v>
      </c>
      <c r="H2119" s="123">
        <v>0.19800000000000001</v>
      </c>
      <c r="I2119" s="122">
        <v>1498.8600000000001</v>
      </c>
      <c r="J2119" s="124">
        <f t="shared" si="33"/>
        <v>198</v>
      </c>
      <c r="K2119" s="98" t="s">
        <v>2387</v>
      </c>
    </row>
    <row r="2120" spans="1:11" ht="15" customHeight="1" x14ac:dyDescent="0.2">
      <c r="A2120" s="120" t="s">
        <v>6821</v>
      </c>
      <c r="B2120" s="120" t="s">
        <v>6822</v>
      </c>
      <c r="C2120" s="98" t="s">
        <v>3533</v>
      </c>
      <c r="D2120" s="120" t="s">
        <v>3563</v>
      </c>
      <c r="E2120" s="98">
        <v>3.0759573132454498E-3</v>
      </c>
      <c r="F2120" s="120">
        <v>0</v>
      </c>
      <c r="G2120" s="121">
        <v>890560</v>
      </c>
      <c r="H2120" s="123">
        <v>3.0760000000000002E-3</v>
      </c>
      <c r="I2120" s="122">
        <v>2739.36256</v>
      </c>
      <c r="J2120" s="124">
        <f t="shared" si="33"/>
        <v>3.0759573132454499</v>
      </c>
      <c r="K2120" s="98" t="s">
        <v>5298</v>
      </c>
    </row>
    <row r="2121" spans="1:11" ht="15" customHeight="1" x14ac:dyDescent="0.2">
      <c r="A2121" s="120" t="s">
        <v>6823</v>
      </c>
      <c r="B2121" s="120" t="s">
        <v>6822</v>
      </c>
      <c r="C2121" s="98" t="s">
        <v>3533</v>
      </c>
      <c r="D2121" s="120" t="s">
        <v>3563</v>
      </c>
      <c r="E2121" s="98">
        <v>4.27047198570377E-3</v>
      </c>
      <c r="F2121" s="120">
        <v>0</v>
      </c>
      <c r="G2121" s="121">
        <v>1273975</v>
      </c>
      <c r="H2121" s="123">
        <v>4.2700000000000004E-3</v>
      </c>
      <c r="I2121" s="122">
        <v>5439.8732500000006</v>
      </c>
      <c r="J2121" s="124">
        <f t="shared" si="33"/>
        <v>4.2704719857037698</v>
      </c>
      <c r="K2121" s="98" t="s">
        <v>5298</v>
      </c>
    </row>
    <row r="2122" spans="1:11" ht="15" customHeight="1" x14ac:dyDescent="0.2">
      <c r="A2122" s="120" t="s">
        <v>6824</v>
      </c>
      <c r="B2122" s="120" t="s">
        <v>6822</v>
      </c>
      <c r="C2122" s="98" t="s">
        <v>3533</v>
      </c>
      <c r="D2122" s="120" t="s">
        <v>3563</v>
      </c>
      <c r="E2122" s="98">
        <v>5.1799999999999997E-3</v>
      </c>
      <c r="F2122" s="120">
        <v>0</v>
      </c>
      <c r="G2122" s="121">
        <v>130793</v>
      </c>
      <c r="H2122" s="123">
        <v>5.1799999999999997E-3</v>
      </c>
      <c r="I2122" s="122">
        <v>677.50774000000001</v>
      </c>
      <c r="J2122" s="124">
        <f t="shared" si="33"/>
        <v>5.18</v>
      </c>
      <c r="K2122" s="98" t="s">
        <v>5298</v>
      </c>
    </row>
    <row r="2123" spans="1:11" ht="15" customHeight="1" x14ac:dyDescent="0.2">
      <c r="A2123" s="120" t="s">
        <v>6825</v>
      </c>
      <c r="B2123" s="120" t="s">
        <v>2254</v>
      </c>
      <c r="C2123" s="98" t="s">
        <v>3533</v>
      </c>
      <c r="D2123" s="120" t="s">
        <v>3563</v>
      </c>
      <c r="E2123" s="98">
        <v>8.9999999999999993E-3</v>
      </c>
      <c r="F2123" s="120">
        <v>0</v>
      </c>
      <c r="G2123" s="121">
        <v>44045</v>
      </c>
      <c r="H2123" s="123">
        <v>8.9999999999999993E-3</v>
      </c>
      <c r="I2123" s="122">
        <v>396.40499999999997</v>
      </c>
      <c r="J2123" s="124">
        <f t="shared" si="33"/>
        <v>9</v>
      </c>
      <c r="K2123" s="98" t="s">
        <v>2387</v>
      </c>
    </row>
    <row r="2124" spans="1:11" ht="15" customHeight="1" x14ac:dyDescent="0.2">
      <c r="A2124" s="120" t="s">
        <v>6826</v>
      </c>
      <c r="B2124" s="120" t="s">
        <v>6671</v>
      </c>
      <c r="C2124" s="98" t="s">
        <v>3533</v>
      </c>
      <c r="D2124" s="120" t="s">
        <v>3563</v>
      </c>
      <c r="E2124" s="98">
        <v>3.0859999999999999E-2</v>
      </c>
      <c r="F2124" s="120">
        <v>0</v>
      </c>
      <c r="G2124" s="121">
        <v>45360</v>
      </c>
      <c r="H2124" s="123">
        <v>3.0859999999999999E-2</v>
      </c>
      <c r="I2124" s="122">
        <v>1399.8096</v>
      </c>
      <c r="J2124" s="124">
        <f t="shared" si="33"/>
        <v>30.86</v>
      </c>
      <c r="K2124" s="98" t="s">
        <v>6827</v>
      </c>
    </row>
    <row r="2125" spans="1:11" ht="15" customHeight="1" x14ac:dyDescent="0.2">
      <c r="A2125" s="120" t="s">
        <v>6828</v>
      </c>
      <c r="B2125" s="120" t="s">
        <v>5302</v>
      </c>
      <c r="C2125" s="98" t="s">
        <v>3533</v>
      </c>
      <c r="D2125" s="120" t="s">
        <v>3563</v>
      </c>
      <c r="E2125" s="98">
        <v>6.6800000000000002E-3</v>
      </c>
      <c r="F2125" s="120">
        <v>0</v>
      </c>
      <c r="G2125" s="121">
        <v>44570</v>
      </c>
      <c r="H2125" s="123">
        <v>6.6800000000000002E-3</v>
      </c>
      <c r="I2125" s="122">
        <v>297.7276</v>
      </c>
      <c r="J2125" s="124">
        <f t="shared" si="33"/>
        <v>6.6800000000000006</v>
      </c>
      <c r="K2125" s="98" t="s">
        <v>6829</v>
      </c>
    </row>
    <row r="2126" spans="1:11" ht="15" customHeight="1" x14ac:dyDescent="0.2">
      <c r="A2126" s="120" t="s">
        <v>6830</v>
      </c>
      <c r="B2126" s="120" t="s">
        <v>6136</v>
      </c>
      <c r="C2126" s="98" t="s">
        <v>3533</v>
      </c>
      <c r="D2126" s="120" t="s">
        <v>3563</v>
      </c>
      <c r="E2126" s="98">
        <v>7.0326278659611999E-3</v>
      </c>
      <c r="F2126" s="120">
        <v>0</v>
      </c>
      <c r="G2126" s="121">
        <v>237690</v>
      </c>
      <c r="H2126" s="123">
        <v>7.0330000000000002E-3</v>
      </c>
      <c r="I2126" s="122">
        <v>1671.6737700000001</v>
      </c>
      <c r="J2126" s="124">
        <f t="shared" si="33"/>
        <v>7.0326278659612003</v>
      </c>
      <c r="K2126" s="98" t="s">
        <v>6831</v>
      </c>
    </row>
    <row r="2127" spans="1:11" ht="15" customHeight="1" x14ac:dyDescent="0.2">
      <c r="A2127" s="120" t="s">
        <v>6832</v>
      </c>
      <c r="B2127" s="120" t="s">
        <v>6833</v>
      </c>
      <c r="C2127" s="98" t="s">
        <v>3533</v>
      </c>
      <c r="D2127" s="120" t="s">
        <v>3563</v>
      </c>
      <c r="E2127" s="98">
        <v>5.3350970017636704E-3</v>
      </c>
      <c r="F2127" s="120">
        <v>0</v>
      </c>
      <c r="G2127" s="121">
        <v>14341</v>
      </c>
      <c r="H2127" s="123">
        <v>5.3350000000000003E-3</v>
      </c>
      <c r="I2127" s="122">
        <v>76.509235000000004</v>
      </c>
      <c r="J2127" s="124">
        <f t="shared" si="33"/>
        <v>5.3350970017636703</v>
      </c>
      <c r="K2127" s="98" t="s">
        <v>6834</v>
      </c>
    </row>
    <row r="2128" spans="1:11" ht="15" customHeight="1" x14ac:dyDescent="0.2">
      <c r="A2128" s="120" t="s">
        <v>6835</v>
      </c>
      <c r="B2128" s="120" t="s">
        <v>6836</v>
      </c>
      <c r="C2128" s="98" t="s">
        <v>3533</v>
      </c>
      <c r="D2128" s="120" t="s">
        <v>3563</v>
      </c>
      <c r="E2128" s="98">
        <v>0.28499999999999998</v>
      </c>
      <c r="F2128" s="120">
        <v>0</v>
      </c>
      <c r="G2128" s="121">
        <v>5958</v>
      </c>
      <c r="H2128" s="123">
        <v>0.28499999999999998</v>
      </c>
      <c r="I2128" s="122">
        <v>1698.0299999999997</v>
      </c>
      <c r="J2128" s="124">
        <f t="shared" si="33"/>
        <v>285</v>
      </c>
      <c r="K2128" s="98" t="s">
        <v>5571</v>
      </c>
    </row>
    <row r="2129" spans="1:11" ht="15" customHeight="1" x14ac:dyDescent="0.2">
      <c r="A2129" s="120" t="s">
        <v>6837</v>
      </c>
      <c r="B2129" s="120" t="s">
        <v>6838</v>
      </c>
      <c r="C2129" s="98" t="s">
        <v>3533</v>
      </c>
      <c r="D2129" s="120" t="s">
        <v>3563</v>
      </c>
      <c r="E2129" s="98">
        <v>8.4899999999999993E-3</v>
      </c>
      <c r="F2129" s="120">
        <v>0</v>
      </c>
      <c r="G2129" s="121">
        <v>206665</v>
      </c>
      <c r="H2129" s="123">
        <v>8.4899999999999993E-3</v>
      </c>
      <c r="I2129" s="122">
        <v>1754.5858499999999</v>
      </c>
      <c r="J2129" s="124">
        <f t="shared" si="33"/>
        <v>8.4899999999999984</v>
      </c>
      <c r="K2129" s="98" t="s">
        <v>6839</v>
      </c>
    </row>
    <row r="2130" spans="1:11" ht="15" customHeight="1" x14ac:dyDescent="0.2">
      <c r="A2130" s="120" t="s">
        <v>6840</v>
      </c>
      <c r="B2130" s="120" t="s">
        <v>5211</v>
      </c>
      <c r="C2130" s="98" t="s">
        <v>3533</v>
      </c>
      <c r="D2130" s="120" t="s">
        <v>3563</v>
      </c>
      <c r="E2130" s="98">
        <v>3.6490000000000002E-2</v>
      </c>
      <c r="F2130" s="120">
        <v>0</v>
      </c>
      <c r="G2130" s="121">
        <v>8970</v>
      </c>
      <c r="H2130" s="123">
        <v>3.6490000000000002E-2</v>
      </c>
      <c r="I2130" s="122">
        <v>327.31530000000004</v>
      </c>
      <c r="J2130" s="124">
        <f t="shared" si="33"/>
        <v>36.49</v>
      </c>
      <c r="K2130" s="98" t="s">
        <v>6841</v>
      </c>
    </row>
    <row r="2131" spans="1:11" ht="15" customHeight="1" x14ac:dyDescent="0.2">
      <c r="A2131" s="120" t="s">
        <v>6842</v>
      </c>
      <c r="B2131" s="120" t="s">
        <v>5211</v>
      </c>
      <c r="C2131" s="98" t="s">
        <v>3533</v>
      </c>
      <c r="D2131" s="120" t="s">
        <v>3563</v>
      </c>
      <c r="E2131" s="98">
        <v>2.7830000000000001E-2</v>
      </c>
      <c r="F2131" s="120">
        <v>0</v>
      </c>
      <c r="G2131" s="121">
        <v>9150</v>
      </c>
      <c r="H2131" s="123">
        <v>2.7830000000000001E-2</v>
      </c>
      <c r="I2131" s="122">
        <v>254.64449999999999</v>
      </c>
      <c r="J2131" s="124">
        <f t="shared" si="33"/>
        <v>27.830000000000002</v>
      </c>
      <c r="K2131" s="98" t="s">
        <v>6843</v>
      </c>
    </row>
    <row r="2132" spans="1:11" ht="15" customHeight="1" x14ac:dyDescent="0.2">
      <c r="A2132" s="120" t="s">
        <v>6844</v>
      </c>
      <c r="B2132" s="120" t="s">
        <v>5696</v>
      </c>
      <c r="C2132" s="98" t="s">
        <v>3533</v>
      </c>
      <c r="D2132" s="120" t="s">
        <v>3563</v>
      </c>
      <c r="E2132" s="98">
        <v>0</v>
      </c>
      <c r="F2132" s="120">
        <v>0</v>
      </c>
      <c r="G2132" s="121">
        <v>19688</v>
      </c>
      <c r="H2132" s="123">
        <v>0</v>
      </c>
      <c r="I2132" s="122">
        <v>0</v>
      </c>
      <c r="J2132" s="124">
        <f t="shared" si="33"/>
        <v>0</v>
      </c>
      <c r="K2132" s="98" t="s">
        <v>2387</v>
      </c>
    </row>
    <row r="2133" spans="1:11" ht="15" customHeight="1" x14ac:dyDescent="0.2">
      <c r="A2133" s="120" t="s">
        <v>6845</v>
      </c>
      <c r="B2133" s="120" t="s">
        <v>2254</v>
      </c>
      <c r="C2133" s="98" t="s">
        <v>3533</v>
      </c>
      <c r="D2133" s="120" t="s">
        <v>3563</v>
      </c>
      <c r="E2133" s="98">
        <v>0.03</v>
      </c>
      <c r="F2133" s="120">
        <v>0</v>
      </c>
      <c r="G2133" s="121">
        <v>24155</v>
      </c>
      <c r="H2133" s="123">
        <v>0.03</v>
      </c>
      <c r="I2133" s="122">
        <v>724.65</v>
      </c>
      <c r="J2133" s="124">
        <f t="shared" si="33"/>
        <v>30</v>
      </c>
      <c r="K2133" s="98" t="s">
        <v>2387</v>
      </c>
    </row>
    <row r="2134" spans="1:11" ht="15" customHeight="1" x14ac:dyDescent="0.2">
      <c r="A2134" s="120" t="s">
        <v>6846</v>
      </c>
      <c r="B2134" s="120" t="s">
        <v>2184</v>
      </c>
      <c r="C2134" s="98" t="s">
        <v>3533</v>
      </c>
      <c r="D2134" s="120" t="s">
        <v>3563</v>
      </c>
      <c r="E2134" s="98">
        <v>0.03</v>
      </c>
      <c r="F2134" s="120">
        <v>0</v>
      </c>
      <c r="G2134" s="121">
        <v>21960</v>
      </c>
      <c r="H2134" s="123">
        <v>0.03</v>
      </c>
      <c r="I2134" s="122">
        <v>658.8</v>
      </c>
      <c r="J2134" s="124">
        <f t="shared" si="33"/>
        <v>30</v>
      </c>
      <c r="K2134" s="98" t="s">
        <v>5102</v>
      </c>
    </row>
    <row r="2135" spans="1:11" ht="15" customHeight="1" x14ac:dyDescent="0.2">
      <c r="A2135" s="120" t="s">
        <v>6847</v>
      </c>
      <c r="B2135" s="120" t="s">
        <v>2254</v>
      </c>
      <c r="C2135" s="98" t="s">
        <v>3533</v>
      </c>
      <c r="D2135" s="120" t="s">
        <v>3563</v>
      </c>
      <c r="E2135" s="98">
        <v>2.3E-2</v>
      </c>
      <c r="F2135" s="120">
        <v>0</v>
      </c>
      <c r="G2135" s="121">
        <v>24997</v>
      </c>
      <c r="H2135" s="123">
        <v>2.3E-2</v>
      </c>
      <c r="I2135" s="122">
        <v>574.93100000000004</v>
      </c>
      <c r="J2135" s="124">
        <f t="shared" si="33"/>
        <v>23</v>
      </c>
      <c r="K2135" s="98" t="s">
        <v>2387</v>
      </c>
    </row>
    <row r="2136" spans="1:11" ht="15" customHeight="1" x14ac:dyDescent="0.2">
      <c r="A2136" s="120" t="s">
        <v>6848</v>
      </c>
      <c r="B2136" s="120" t="s">
        <v>5216</v>
      </c>
      <c r="C2136" s="98" t="s">
        <v>3533</v>
      </c>
      <c r="D2136" s="120" t="s">
        <v>3563</v>
      </c>
      <c r="E2136" s="98">
        <v>0</v>
      </c>
      <c r="F2136" s="120">
        <v>0</v>
      </c>
      <c r="G2136" s="121">
        <v>0</v>
      </c>
      <c r="H2136" s="123">
        <v>0</v>
      </c>
      <c r="I2136" s="122">
        <v>0</v>
      </c>
      <c r="J2136" s="124">
        <f t="shared" si="33"/>
        <v>0</v>
      </c>
      <c r="K2136" s="98" t="s">
        <v>2387</v>
      </c>
    </row>
    <row r="2137" spans="1:11" ht="15" customHeight="1" x14ac:dyDescent="0.2">
      <c r="A2137" s="120" t="s">
        <v>6849</v>
      </c>
      <c r="B2137" s="120" t="s">
        <v>5306</v>
      </c>
      <c r="C2137" s="98" t="s">
        <v>3533</v>
      </c>
      <c r="D2137" s="120" t="s">
        <v>3563</v>
      </c>
      <c r="E2137" s="98">
        <v>0.14549999999999999</v>
      </c>
      <c r="F2137" s="120">
        <v>0</v>
      </c>
      <c r="G2137" s="121">
        <v>75000</v>
      </c>
      <c r="H2137" s="123">
        <v>0.14549999999999999</v>
      </c>
      <c r="I2137" s="122">
        <v>10912.5</v>
      </c>
      <c r="J2137" s="124">
        <f t="shared" si="33"/>
        <v>145.5</v>
      </c>
      <c r="K2137" s="98" t="s">
        <v>2387</v>
      </c>
    </row>
    <row r="2138" spans="1:11" ht="15" customHeight="1" x14ac:dyDescent="0.2">
      <c r="A2138" s="120" t="s">
        <v>6850</v>
      </c>
      <c r="B2138" s="120" t="s">
        <v>5306</v>
      </c>
      <c r="C2138" s="98" t="s">
        <v>3533</v>
      </c>
      <c r="D2138" s="120" t="s">
        <v>3563</v>
      </c>
      <c r="E2138" s="98">
        <v>9.9750000000000005E-2</v>
      </c>
      <c r="F2138" s="120">
        <v>0</v>
      </c>
      <c r="G2138" s="121">
        <v>175000</v>
      </c>
      <c r="H2138" s="123">
        <v>9.9750000000000005E-2</v>
      </c>
      <c r="I2138" s="122">
        <v>17456.25</v>
      </c>
      <c r="J2138" s="124">
        <f t="shared" si="33"/>
        <v>99.75</v>
      </c>
      <c r="K2138" s="98" t="s">
        <v>2387</v>
      </c>
    </row>
    <row r="2139" spans="1:11" ht="15" customHeight="1" x14ac:dyDescent="0.2">
      <c r="A2139" s="120" t="s">
        <v>6851</v>
      </c>
      <c r="B2139" s="120" t="s">
        <v>4873</v>
      </c>
      <c r="C2139" s="98" t="s">
        <v>3533</v>
      </c>
      <c r="D2139" s="120" t="s">
        <v>3563</v>
      </c>
      <c r="E2139" s="98">
        <v>1.465E-2</v>
      </c>
      <c r="F2139" s="120">
        <v>0</v>
      </c>
      <c r="G2139" s="121">
        <v>51515</v>
      </c>
      <c r="H2139" s="123">
        <v>1.465E-2</v>
      </c>
      <c r="I2139" s="122">
        <v>754.69475</v>
      </c>
      <c r="J2139" s="124">
        <f t="shared" si="33"/>
        <v>14.65</v>
      </c>
      <c r="K2139" s="98" t="s">
        <v>6852</v>
      </c>
    </row>
    <row r="2140" spans="1:11" ht="15" customHeight="1" x14ac:dyDescent="0.2">
      <c r="A2140" s="120" t="s">
        <v>6853</v>
      </c>
      <c r="B2140" s="120" t="s">
        <v>4873</v>
      </c>
      <c r="C2140" s="98" t="s">
        <v>3533</v>
      </c>
      <c r="D2140" s="120" t="s">
        <v>3563</v>
      </c>
      <c r="E2140" s="98">
        <v>1.77E-2</v>
      </c>
      <c r="F2140" s="120">
        <v>0</v>
      </c>
      <c r="G2140" s="121">
        <v>50000</v>
      </c>
      <c r="H2140" s="123">
        <v>1.77E-2</v>
      </c>
      <c r="I2140" s="122">
        <v>885</v>
      </c>
      <c r="J2140" s="124">
        <f t="shared" si="33"/>
        <v>17.7</v>
      </c>
      <c r="K2140" s="98" t="s">
        <v>6854</v>
      </c>
    </row>
    <row r="2141" spans="1:11" ht="15" customHeight="1" x14ac:dyDescent="0.2">
      <c r="A2141" s="120" t="s">
        <v>6855</v>
      </c>
      <c r="B2141" s="120" t="s">
        <v>4873</v>
      </c>
      <c r="C2141" s="98" t="s">
        <v>3533</v>
      </c>
      <c r="D2141" s="120" t="s">
        <v>3563</v>
      </c>
      <c r="E2141" s="98">
        <v>1.7899999999999999E-2</v>
      </c>
      <c r="F2141" s="120">
        <v>0</v>
      </c>
      <c r="G2141" s="121">
        <v>51515</v>
      </c>
      <c r="H2141" s="123">
        <v>1.7899999999999999E-2</v>
      </c>
      <c r="I2141" s="122">
        <v>922.11849999999993</v>
      </c>
      <c r="J2141" s="124">
        <f t="shared" si="33"/>
        <v>17.899999999999999</v>
      </c>
      <c r="K2141" s="98" t="s">
        <v>6856</v>
      </c>
    </row>
    <row r="2142" spans="1:11" ht="15" customHeight="1" x14ac:dyDescent="0.2">
      <c r="A2142" s="120" t="s">
        <v>6857</v>
      </c>
      <c r="B2142" s="120" t="s">
        <v>2254</v>
      </c>
      <c r="C2142" s="98" t="s">
        <v>3533</v>
      </c>
      <c r="D2142" s="120" t="s">
        <v>3563</v>
      </c>
      <c r="E2142" s="98">
        <v>3.6999999999999998E-2</v>
      </c>
      <c r="F2142" s="120">
        <v>0</v>
      </c>
      <c r="G2142" s="121">
        <v>23030</v>
      </c>
      <c r="H2142" s="123">
        <v>3.6999999999999998E-2</v>
      </c>
      <c r="I2142" s="122">
        <v>852.11</v>
      </c>
      <c r="J2142" s="124">
        <f t="shared" si="33"/>
        <v>37</v>
      </c>
      <c r="K2142" s="98" t="s">
        <v>2387</v>
      </c>
    </row>
    <row r="2143" spans="1:11" ht="15" customHeight="1" x14ac:dyDescent="0.2">
      <c r="A2143" s="120" t="s">
        <v>6858</v>
      </c>
      <c r="B2143" s="120" t="s">
        <v>5678</v>
      </c>
      <c r="C2143" s="98" t="s">
        <v>3533</v>
      </c>
      <c r="D2143" s="120" t="s">
        <v>3563</v>
      </c>
      <c r="E2143" s="98">
        <v>0.40500000000000003</v>
      </c>
      <c r="F2143" s="120">
        <v>0</v>
      </c>
      <c r="G2143" s="121">
        <v>6545</v>
      </c>
      <c r="H2143" s="123">
        <v>0.40500000000000003</v>
      </c>
      <c r="I2143" s="122">
        <v>2650.7250000000004</v>
      </c>
      <c r="J2143" s="124">
        <f t="shared" si="33"/>
        <v>405</v>
      </c>
      <c r="K2143" s="98" t="s">
        <v>5571</v>
      </c>
    </row>
    <row r="2144" spans="1:11" ht="15" customHeight="1" x14ac:dyDescent="0.2">
      <c r="A2144" s="120" t="s">
        <v>6859</v>
      </c>
      <c r="B2144" s="120" t="s">
        <v>5202</v>
      </c>
      <c r="C2144" s="98" t="s">
        <v>3533</v>
      </c>
      <c r="D2144" s="120" t="s">
        <v>3563</v>
      </c>
      <c r="E2144" s="98">
        <v>0.39500000000000002</v>
      </c>
      <c r="F2144" s="120">
        <v>0</v>
      </c>
      <c r="G2144" s="121">
        <v>6635</v>
      </c>
      <c r="H2144" s="123">
        <v>0.39500000000000002</v>
      </c>
      <c r="I2144" s="122">
        <v>2620.8250000000003</v>
      </c>
      <c r="J2144" s="124">
        <f t="shared" si="33"/>
        <v>395</v>
      </c>
      <c r="K2144" s="98" t="s">
        <v>6860</v>
      </c>
    </row>
    <row r="2145" spans="1:11" ht="15" customHeight="1" x14ac:dyDescent="0.2">
      <c r="A2145" s="120" t="s">
        <v>6861</v>
      </c>
      <c r="B2145" s="120" t="s">
        <v>5861</v>
      </c>
      <c r="C2145" s="98" t="s">
        <v>3533</v>
      </c>
      <c r="D2145" s="120" t="s">
        <v>3563</v>
      </c>
      <c r="E2145" s="98">
        <v>5.93492647058824E-2</v>
      </c>
      <c r="F2145" s="120">
        <v>0</v>
      </c>
      <c r="G2145" s="121">
        <v>0</v>
      </c>
      <c r="H2145" s="123">
        <v>5.9348999999999999E-2</v>
      </c>
      <c r="I2145" s="122">
        <v>0</v>
      </c>
      <c r="J2145" s="124">
        <f t="shared" si="33"/>
        <v>59.349264705882398</v>
      </c>
      <c r="K2145" s="98" t="s">
        <v>6862</v>
      </c>
    </row>
    <row r="2146" spans="1:11" ht="15" customHeight="1" x14ac:dyDescent="0.2">
      <c r="A2146" s="120" t="s">
        <v>6863</v>
      </c>
      <c r="B2146" s="120" t="s">
        <v>4879</v>
      </c>
      <c r="C2146" s="98" t="s">
        <v>3533</v>
      </c>
      <c r="D2146" s="120" t="s">
        <v>3563</v>
      </c>
      <c r="E2146" s="98">
        <v>5.94E-3</v>
      </c>
      <c r="F2146" s="120">
        <v>0</v>
      </c>
      <c r="G2146" s="121">
        <v>48050</v>
      </c>
      <c r="H2146" s="123">
        <v>5.94E-3</v>
      </c>
      <c r="I2146" s="122">
        <v>285.41699999999997</v>
      </c>
      <c r="J2146" s="124">
        <f t="shared" si="33"/>
        <v>5.94</v>
      </c>
      <c r="K2146" s="98" t="s">
        <v>6864</v>
      </c>
    </row>
    <row r="2147" spans="1:11" ht="15" customHeight="1" x14ac:dyDescent="0.2">
      <c r="A2147" s="120" t="s">
        <v>2238</v>
      </c>
      <c r="B2147" s="120" t="s">
        <v>5198</v>
      </c>
      <c r="C2147" s="98" t="s">
        <v>3533</v>
      </c>
      <c r="D2147" s="120" t="s">
        <v>3563</v>
      </c>
      <c r="E2147" s="98">
        <v>0.22900000000000001</v>
      </c>
      <c r="F2147" s="120">
        <v>0</v>
      </c>
      <c r="G2147" s="121">
        <v>1770</v>
      </c>
      <c r="H2147" s="123">
        <v>0.22900000000000001</v>
      </c>
      <c r="I2147" s="122">
        <v>405.33000000000004</v>
      </c>
      <c r="J2147" s="124">
        <f t="shared" si="33"/>
        <v>229</v>
      </c>
      <c r="K2147" s="98" t="s">
        <v>6796</v>
      </c>
    </row>
    <row r="2148" spans="1:11" ht="15" customHeight="1" x14ac:dyDescent="0.2">
      <c r="A2148" s="120" t="s">
        <v>6865</v>
      </c>
      <c r="B2148" s="120" t="s">
        <v>4720</v>
      </c>
      <c r="C2148" s="98" t="s">
        <v>3533</v>
      </c>
      <c r="D2148" s="120" t="s">
        <v>3563</v>
      </c>
      <c r="E2148" s="98">
        <v>2.6675485008818299E-2</v>
      </c>
      <c r="F2148" s="120">
        <v>0</v>
      </c>
      <c r="G2148" s="121">
        <v>15250</v>
      </c>
      <c r="H2148" s="123">
        <v>2.6675000000000001E-2</v>
      </c>
      <c r="I2148" s="122">
        <v>406.79374999999999</v>
      </c>
      <c r="J2148" s="124">
        <f t="shared" si="33"/>
        <v>26.675485008818299</v>
      </c>
      <c r="K2148" s="98" t="s">
        <v>6866</v>
      </c>
    </row>
    <row r="2149" spans="1:11" ht="15" customHeight="1" x14ac:dyDescent="0.2">
      <c r="A2149" s="120" t="s">
        <v>6867</v>
      </c>
      <c r="B2149" s="120" t="s">
        <v>5076</v>
      </c>
      <c r="C2149" s="98" t="s">
        <v>3533</v>
      </c>
      <c r="D2149" s="120" t="s">
        <v>3563</v>
      </c>
      <c r="E2149" s="98">
        <v>9.3768371546149292E-3</v>
      </c>
      <c r="F2149" s="120">
        <v>0</v>
      </c>
      <c r="G2149" s="121">
        <v>273750</v>
      </c>
      <c r="H2149" s="123">
        <v>9.3769999999999999E-3</v>
      </c>
      <c r="I2149" s="122">
        <v>2566.9537500000001</v>
      </c>
      <c r="J2149" s="124">
        <f t="shared" si="33"/>
        <v>9.3768371546149289</v>
      </c>
      <c r="K2149" s="98" t="s">
        <v>6868</v>
      </c>
    </row>
    <row r="2150" spans="1:11" ht="15" customHeight="1" x14ac:dyDescent="0.2">
      <c r="A2150" s="120" t="s">
        <v>6869</v>
      </c>
      <c r="B2150" s="120" t="s">
        <v>4720</v>
      </c>
      <c r="C2150" s="98" t="s">
        <v>3533</v>
      </c>
      <c r="D2150" s="120" t="s">
        <v>3563</v>
      </c>
      <c r="E2150" s="98">
        <v>3.3289241622575003E-2</v>
      </c>
      <c r="F2150" s="120">
        <v>0</v>
      </c>
      <c r="G2150" s="121">
        <v>12700</v>
      </c>
      <c r="H2150" s="123">
        <v>3.3288999999999999E-2</v>
      </c>
      <c r="I2150" s="122">
        <v>422.77029999999996</v>
      </c>
      <c r="J2150" s="124">
        <f t="shared" si="33"/>
        <v>33.289241622575005</v>
      </c>
      <c r="K2150" s="98" t="s">
        <v>6870</v>
      </c>
    </row>
    <row r="2151" spans="1:11" ht="15" customHeight="1" x14ac:dyDescent="0.2">
      <c r="A2151" s="120" t="s">
        <v>6871</v>
      </c>
      <c r="B2151" s="120" t="s">
        <v>4720</v>
      </c>
      <c r="C2151" s="98" t="s">
        <v>3533</v>
      </c>
      <c r="D2151" s="120" t="s">
        <v>3563</v>
      </c>
      <c r="E2151" s="98">
        <v>2.2045855379188701E-2</v>
      </c>
      <c r="F2151" s="120">
        <v>0</v>
      </c>
      <c r="G2151" s="121">
        <v>987680</v>
      </c>
      <c r="H2151" s="123">
        <v>2.2046E-2</v>
      </c>
      <c r="I2151" s="122">
        <v>21774.39328</v>
      </c>
      <c r="J2151" s="124">
        <f t="shared" si="33"/>
        <v>22.045855379188701</v>
      </c>
      <c r="K2151" s="98" t="s">
        <v>6872</v>
      </c>
    </row>
    <row r="2152" spans="1:11" ht="15" customHeight="1" x14ac:dyDescent="0.2">
      <c r="A2152" s="120" t="s">
        <v>6873</v>
      </c>
      <c r="B2152" s="120" t="s">
        <v>4720</v>
      </c>
      <c r="C2152" s="98" t="s">
        <v>3533</v>
      </c>
      <c r="D2152" s="120" t="s">
        <v>3563</v>
      </c>
      <c r="E2152" s="98">
        <v>2.9761904761904798E-2</v>
      </c>
      <c r="F2152" s="120">
        <v>0</v>
      </c>
      <c r="G2152" s="121">
        <v>4395</v>
      </c>
      <c r="H2152" s="123">
        <v>2.9762E-2</v>
      </c>
      <c r="I2152" s="122">
        <v>130.80399</v>
      </c>
      <c r="J2152" s="124">
        <f t="shared" si="33"/>
        <v>29.761904761904798</v>
      </c>
      <c r="K2152" s="98" t="s">
        <v>6874</v>
      </c>
    </row>
    <row r="2153" spans="1:11" ht="15" customHeight="1" x14ac:dyDescent="0.2">
      <c r="A2153" s="120" t="s">
        <v>6875</v>
      </c>
      <c r="B2153" s="120" t="s">
        <v>5939</v>
      </c>
      <c r="C2153" s="98" t="s">
        <v>3533</v>
      </c>
      <c r="D2153" s="120" t="s">
        <v>3563</v>
      </c>
      <c r="E2153" s="98">
        <v>2.1000000000000001E-2</v>
      </c>
      <c r="F2153" s="120">
        <v>0</v>
      </c>
      <c r="G2153" s="121">
        <v>17610</v>
      </c>
      <c r="H2153" s="123">
        <v>2.1000000000000001E-2</v>
      </c>
      <c r="I2153" s="122">
        <v>369.81</v>
      </c>
      <c r="J2153" s="124">
        <f t="shared" si="33"/>
        <v>21</v>
      </c>
      <c r="K2153" s="98" t="s">
        <v>2387</v>
      </c>
    </row>
    <row r="2154" spans="1:11" ht="15" customHeight="1" x14ac:dyDescent="0.2">
      <c r="A2154" s="120" t="s">
        <v>6876</v>
      </c>
      <c r="B2154" s="120" t="s">
        <v>4720</v>
      </c>
      <c r="C2154" s="98" t="s">
        <v>3533</v>
      </c>
      <c r="D2154" s="120" t="s">
        <v>3563</v>
      </c>
      <c r="E2154" s="98">
        <v>2.9320987654321E-2</v>
      </c>
      <c r="F2154" s="120">
        <v>0</v>
      </c>
      <c r="G2154" s="121">
        <v>0</v>
      </c>
      <c r="H2154" s="123">
        <v>2.9321E-2</v>
      </c>
      <c r="I2154" s="122">
        <v>0</v>
      </c>
      <c r="J2154" s="124">
        <f t="shared" si="33"/>
        <v>29.320987654321002</v>
      </c>
      <c r="K2154" s="98" t="s">
        <v>6877</v>
      </c>
    </row>
    <row r="2155" spans="1:11" ht="15" customHeight="1" x14ac:dyDescent="0.2">
      <c r="A2155" s="120" t="s">
        <v>6878</v>
      </c>
      <c r="B2155" s="120" t="s">
        <v>2566</v>
      </c>
      <c r="C2155" s="98" t="s">
        <v>3533</v>
      </c>
      <c r="D2155" s="120" t="s">
        <v>3563</v>
      </c>
      <c r="E2155" s="98">
        <v>0.43</v>
      </c>
      <c r="F2155" s="120">
        <v>0</v>
      </c>
      <c r="G2155" s="121">
        <v>3985</v>
      </c>
      <c r="H2155" s="123">
        <v>0.43</v>
      </c>
      <c r="I2155" s="122">
        <v>1713.55</v>
      </c>
      <c r="J2155" s="124">
        <f t="shared" si="33"/>
        <v>430</v>
      </c>
      <c r="K2155" s="98" t="s">
        <v>6555</v>
      </c>
    </row>
    <row r="2156" spans="1:11" ht="15" customHeight="1" x14ac:dyDescent="0.2">
      <c r="A2156" s="120" t="s">
        <v>6879</v>
      </c>
      <c r="B2156" s="120" t="s">
        <v>2254</v>
      </c>
      <c r="C2156" s="98" t="s">
        <v>3533</v>
      </c>
      <c r="D2156" s="120" t="s">
        <v>3563</v>
      </c>
      <c r="E2156" s="98">
        <v>1.7000000000000001E-2</v>
      </c>
      <c r="F2156" s="120">
        <v>0</v>
      </c>
      <c r="G2156" s="121">
        <v>4750</v>
      </c>
      <c r="H2156" s="123">
        <v>1.7000000000000001E-2</v>
      </c>
      <c r="I2156" s="122">
        <v>80.75</v>
      </c>
      <c r="J2156" s="124">
        <f t="shared" si="33"/>
        <v>17</v>
      </c>
      <c r="K2156" s="98" t="s">
        <v>2387</v>
      </c>
    </row>
    <row r="2157" spans="1:11" ht="15" customHeight="1" x14ac:dyDescent="0.2">
      <c r="A2157" s="120" t="s">
        <v>6880</v>
      </c>
      <c r="B2157" s="120" t="s">
        <v>5696</v>
      </c>
      <c r="C2157" s="98" t="s">
        <v>3533</v>
      </c>
      <c r="D2157" s="120" t="s">
        <v>3563</v>
      </c>
      <c r="E2157" s="98">
        <v>1.9E-2</v>
      </c>
      <c r="F2157" s="120">
        <v>0</v>
      </c>
      <c r="G2157" s="121">
        <v>4750</v>
      </c>
      <c r="H2157" s="123">
        <v>1.9E-2</v>
      </c>
      <c r="I2157" s="122">
        <v>90.25</v>
      </c>
      <c r="J2157" s="124">
        <f t="shared" si="33"/>
        <v>19</v>
      </c>
      <c r="K2157" s="98" t="s">
        <v>2387</v>
      </c>
    </row>
    <row r="2158" spans="1:11" ht="15" customHeight="1" x14ac:dyDescent="0.2">
      <c r="A2158" s="120" t="s">
        <v>6881</v>
      </c>
      <c r="B2158" s="120" t="s">
        <v>5216</v>
      </c>
      <c r="C2158" s="98" t="s">
        <v>3533</v>
      </c>
      <c r="D2158" s="120" t="s">
        <v>3563</v>
      </c>
      <c r="E2158" s="98">
        <v>3.2000000000000001E-2</v>
      </c>
      <c r="F2158" s="120">
        <v>0</v>
      </c>
      <c r="G2158" s="121">
        <v>4840</v>
      </c>
      <c r="H2158" s="123">
        <v>3.2000000000000001E-2</v>
      </c>
      <c r="I2158" s="122">
        <v>154.88</v>
      </c>
      <c r="J2158" s="124">
        <f t="shared" si="33"/>
        <v>32</v>
      </c>
      <c r="K2158" s="98" t="s">
        <v>2387</v>
      </c>
    </row>
    <row r="2159" spans="1:11" ht="15" customHeight="1" x14ac:dyDescent="0.2">
      <c r="A2159" s="120" t="s">
        <v>6882</v>
      </c>
      <c r="B2159" s="120" t="s">
        <v>5216</v>
      </c>
      <c r="C2159" s="98" t="s">
        <v>3533</v>
      </c>
      <c r="D2159" s="120" t="s">
        <v>3563</v>
      </c>
      <c r="E2159" s="98">
        <v>2.1000000000000001E-2</v>
      </c>
      <c r="F2159" s="120">
        <v>0</v>
      </c>
      <c r="G2159" s="121">
        <v>9698</v>
      </c>
      <c r="H2159" s="123">
        <v>2.1000000000000001E-2</v>
      </c>
      <c r="I2159" s="122">
        <v>203.65800000000002</v>
      </c>
      <c r="J2159" s="124">
        <f t="shared" si="33"/>
        <v>21</v>
      </c>
      <c r="K2159" s="98" t="s">
        <v>2387</v>
      </c>
    </row>
    <row r="2160" spans="1:11" ht="15" customHeight="1" x14ac:dyDescent="0.2">
      <c r="A2160" s="120" t="s">
        <v>6883</v>
      </c>
      <c r="B2160" s="120" t="s">
        <v>5696</v>
      </c>
      <c r="C2160" s="98" t="s">
        <v>3533</v>
      </c>
      <c r="D2160" s="120" t="s">
        <v>3563</v>
      </c>
      <c r="E2160" s="98">
        <v>1.6E-2</v>
      </c>
      <c r="F2160" s="120">
        <v>0</v>
      </c>
      <c r="G2160" s="121">
        <v>4840</v>
      </c>
      <c r="H2160" s="123">
        <v>1.6E-2</v>
      </c>
      <c r="I2160" s="122">
        <v>77.44</v>
      </c>
      <c r="J2160" s="124">
        <f t="shared" si="33"/>
        <v>16</v>
      </c>
      <c r="K2160" s="98" t="s">
        <v>2387</v>
      </c>
    </row>
    <row r="2161" spans="1:11" ht="15" customHeight="1" x14ac:dyDescent="0.2">
      <c r="A2161" s="120" t="s">
        <v>6884</v>
      </c>
      <c r="B2161" s="120" t="s">
        <v>2254</v>
      </c>
      <c r="C2161" s="98" t="s">
        <v>3533</v>
      </c>
      <c r="D2161" s="120" t="s">
        <v>3563</v>
      </c>
      <c r="E2161" s="98">
        <v>1.9E-2</v>
      </c>
      <c r="F2161" s="120">
        <v>0</v>
      </c>
      <c r="G2161" s="121">
        <v>39360</v>
      </c>
      <c r="H2161" s="123">
        <v>1.9E-2</v>
      </c>
      <c r="I2161" s="122">
        <v>747.84</v>
      </c>
      <c r="J2161" s="124">
        <f t="shared" si="33"/>
        <v>19</v>
      </c>
      <c r="K2161" s="98" t="s">
        <v>5214</v>
      </c>
    </row>
    <row r="2162" spans="1:11" ht="15" customHeight="1" x14ac:dyDescent="0.2">
      <c r="A2162" s="120" t="s">
        <v>6885</v>
      </c>
      <c r="B2162" s="120" t="s">
        <v>5216</v>
      </c>
      <c r="C2162" s="98" t="s">
        <v>3533</v>
      </c>
      <c r="D2162" s="120" t="s">
        <v>3563</v>
      </c>
      <c r="E2162" s="98">
        <v>5.1999999999999998E-2</v>
      </c>
      <c r="F2162" s="120">
        <v>0</v>
      </c>
      <c r="G2162" s="121">
        <v>16900</v>
      </c>
      <c r="H2162" s="123">
        <v>5.1999999999999998E-2</v>
      </c>
      <c r="I2162" s="122">
        <v>878.8</v>
      </c>
      <c r="J2162" s="124">
        <f t="shared" si="33"/>
        <v>52</v>
      </c>
      <c r="K2162" s="98" t="s">
        <v>2387</v>
      </c>
    </row>
    <row r="2163" spans="1:11" ht="15" customHeight="1" x14ac:dyDescent="0.2">
      <c r="A2163" s="120" t="s">
        <v>6886</v>
      </c>
      <c r="B2163" s="120" t="s">
        <v>6547</v>
      </c>
      <c r="C2163" s="98" t="s">
        <v>3533</v>
      </c>
      <c r="D2163" s="120" t="s">
        <v>3563</v>
      </c>
      <c r="E2163" s="98">
        <v>0.21285750000000001</v>
      </c>
      <c r="F2163" s="120">
        <v>0</v>
      </c>
      <c r="G2163" s="121">
        <v>31260</v>
      </c>
      <c r="H2163" s="123">
        <v>0.21285799999999999</v>
      </c>
      <c r="I2163" s="122">
        <v>6653.9410799999996</v>
      </c>
      <c r="J2163" s="124">
        <f t="shared" si="33"/>
        <v>212.85750000000002</v>
      </c>
      <c r="K2163" s="98" t="s">
        <v>5189</v>
      </c>
    </row>
    <row r="2164" spans="1:11" ht="15" customHeight="1" x14ac:dyDescent="0.2">
      <c r="A2164" s="120" t="s">
        <v>6887</v>
      </c>
      <c r="B2164" s="120" t="s">
        <v>2254</v>
      </c>
      <c r="C2164" s="98" t="s">
        <v>3533</v>
      </c>
      <c r="D2164" s="120" t="s">
        <v>3563</v>
      </c>
      <c r="E2164" s="98">
        <v>0.16500000000000001</v>
      </c>
      <c r="F2164" s="120">
        <v>0</v>
      </c>
      <c r="G2164" s="121">
        <v>20950</v>
      </c>
      <c r="H2164" s="123">
        <v>0.16500000000000001</v>
      </c>
      <c r="I2164" s="122">
        <v>3456.75</v>
      </c>
      <c r="J2164" s="124">
        <f t="shared" si="33"/>
        <v>165</v>
      </c>
      <c r="K2164" s="98" t="s">
        <v>2387</v>
      </c>
    </row>
    <row r="2165" spans="1:11" ht="15" customHeight="1" x14ac:dyDescent="0.2">
      <c r="A2165" s="120" t="s">
        <v>6888</v>
      </c>
      <c r="B2165" s="120" t="s">
        <v>2198</v>
      </c>
      <c r="C2165" s="98" t="s">
        <v>3533</v>
      </c>
      <c r="D2165" s="120" t="s">
        <v>3563</v>
      </c>
      <c r="E2165" s="98">
        <v>0.58799999999999997</v>
      </c>
      <c r="F2165" s="120">
        <v>0</v>
      </c>
      <c r="G2165" s="121">
        <v>1900</v>
      </c>
      <c r="H2165" s="123">
        <v>0.58799999999999997</v>
      </c>
      <c r="I2165" s="122">
        <v>1117.2</v>
      </c>
      <c r="J2165" s="124">
        <f t="shared" si="33"/>
        <v>588</v>
      </c>
      <c r="K2165" s="98" t="s">
        <v>6555</v>
      </c>
    </row>
    <row r="2166" spans="1:11" ht="15" customHeight="1" x14ac:dyDescent="0.2">
      <c r="A2166" s="120" t="s">
        <v>6889</v>
      </c>
      <c r="B2166" s="120" t="s">
        <v>2184</v>
      </c>
      <c r="C2166" s="98" t="s">
        <v>3533</v>
      </c>
      <c r="D2166" s="120" t="s">
        <v>3563</v>
      </c>
      <c r="E2166" s="98">
        <v>1.49E-2</v>
      </c>
      <c r="F2166" s="120">
        <v>0</v>
      </c>
      <c r="G2166" s="121">
        <v>23210</v>
      </c>
      <c r="H2166" s="123">
        <v>1.49E-2</v>
      </c>
      <c r="I2166" s="122">
        <v>345.82900000000001</v>
      </c>
      <c r="J2166" s="124">
        <f t="shared" si="33"/>
        <v>14.9</v>
      </c>
      <c r="K2166" s="98" t="s">
        <v>6259</v>
      </c>
    </row>
    <row r="2167" spans="1:11" ht="15" customHeight="1" x14ac:dyDescent="0.2">
      <c r="A2167" s="120" t="s">
        <v>6890</v>
      </c>
      <c r="B2167" s="120" t="s">
        <v>5906</v>
      </c>
      <c r="C2167" s="98" t="s">
        <v>3533</v>
      </c>
      <c r="D2167" s="120" t="s">
        <v>3563</v>
      </c>
      <c r="E2167" s="98">
        <v>1.95E-2</v>
      </c>
      <c r="F2167" s="120">
        <v>0</v>
      </c>
      <c r="G2167" s="121">
        <v>57340</v>
      </c>
      <c r="H2167" s="123">
        <v>1.95E-2</v>
      </c>
      <c r="I2167" s="122">
        <v>1118.1300000000001</v>
      </c>
      <c r="J2167" s="124">
        <f t="shared" si="33"/>
        <v>19.5</v>
      </c>
      <c r="K2167" s="98" t="s">
        <v>6891</v>
      </c>
    </row>
    <row r="2168" spans="1:11" ht="15" customHeight="1" x14ac:dyDescent="0.2">
      <c r="A2168" s="120" t="s">
        <v>6892</v>
      </c>
      <c r="B2168" s="120" t="s">
        <v>5202</v>
      </c>
      <c r="C2168" s="98" t="s">
        <v>3533</v>
      </c>
      <c r="D2168" s="120" t="s">
        <v>3563</v>
      </c>
      <c r="E2168" s="98">
        <v>4.7509922822491696E-2</v>
      </c>
      <c r="F2168" s="120">
        <v>0</v>
      </c>
      <c r="G2168" s="121">
        <v>22825</v>
      </c>
      <c r="H2168" s="123">
        <v>4.7509999999999997E-2</v>
      </c>
      <c r="I2168" s="122">
        <v>1084.4157499999999</v>
      </c>
      <c r="J2168" s="124">
        <f t="shared" si="33"/>
        <v>47.509922822491696</v>
      </c>
      <c r="K2168" s="98" t="s">
        <v>6893</v>
      </c>
    </row>
    <row r="2169" spans="1:11" ht="15" customHeight="1" x14ac:dyDescent="0.2">
      <c r="A2169" s="120" t="s">
        <v>6894</v>
      </c>
      <c r="B2169" s="120" t="s">
        <v>6607</v>
      </c>
      <c r="C2169" s="98" t="s">
        <v>3533</v>
      </c>
      <c r="D2169" s="120" t="s">
        <v>3563</v>
      </c>
      <c r="E2169" s="98">
        <v>1.325E-2</v>
      </c>
      <c r="F2169" s="120">
        <v>0</v>
      </c>
      <c r="G2169" s="121">
        <v>23205</v>
      </c>
      <c r="H2169" s="123">
        <v>1.325E-2</v>
      </c>
      <c r="I2169" s="122">
        <v>307.46625</v>
      </c>
      <c r="J2169" s="124">
        <f t="shared" si="33"/>
        <v>13.25</v>
      </c>
      <c r="K2169" s="98" t="s">
        <v>6895</v>
      </c>
    </row>
    <row r="2170" spans="1:11" ht="15" customHeight="1" x14ac:dyDescent="0.2">
      <c r="A2170" s="120" t="s">
        <v>6896</v>
      </c>
      <c r="B2170" s="120" t="s">
        <v>6897</v>
      </c>
      <c r="C2170" s="98" t="s">
        <v>3533</v>
      </c>
      <c r="D2170" s="120" t="s">
        <v>3563</v>
      </c>
      <c r="E2170" s="98">
        <v>0.09</v>
      </c>
      <c r="F2170" s="120">
        <v>0</v>
      </c>
      <c r="G2170" s="121">
        <v>2540</v>
      </c>
      <c r="H2170" s="123">
        <v>0.09</v>
      </c>
      <c r="I2170" s="122">
        <v>228.6</v>
      </c>
      <c r="J2170" s="124">
        <f t="shared" si="33"/>
        <v>90</v>
      </c>
    </row>
    <row r="2171" spans="1:11" ht="15" customHeight="1" x14ac:dyDescent="0.2">
      <c r="A2171" s="120" t="s">
        <v>6898</v>
      </c>
      <c r="B2171" s="120" t="s">
        <v>6743</v>
      </c>
      <c r="C2171" s="98" t="s">
        <v>3533</v>
      </c>
      <c r="D2171" s="120" t="s">
        <v>3563</v>
      </c>
      <c r="E2171" s="98">
        <v>3.5780423280423301E-2</v>
      </c>
      <c r="F2171" s="120">
        <v>0</v>
      </c>
      <c r="G2171" s="121">
        <v>49965</v>
      </c>
      <c r="H2171" s="123">
        <v>3.5779999999999999E-2</v>
      </c>
      <c r="I2171" s="122">
        <v>1787.7476999999999</v>
      </c>
      <c r="J2171" s="124">
        <f t="shared" si="33"/>
        <v>35.7804232804233</v>
      </c>
      <c r="K2171" s="98" t="s">
        <v>6899</v>
      </c>
    </row>
    <row r="2172" spans="1:11" ht="15" customHeight="1" x14ac:dyDescent="0.2">
      <c r="A2172" s="120" t="s">
        <v>6900</v>
      </c>
      <c r="B2172" s="120" t="s">
        <v>4720</v>
      </c>
      <c r="C2172" s="98" t="s">
        <v>3533</v>
      </c>
      <c r="D2172" s="120" t="s">
        <v>3563</v>
      </c>
      <c r="E2172" s="98">
        <v>3.1305114638447998E-2</v>
      </c>
      <c r="F2172" s="120">
        <v>0</v>
      </c>
      <c r="G2172" s="121">
        <v>19090</v>
      </c>
      <c r="H2172" s="123">
        <v>3.1304999999999999E-2</v>
      </c>
      <c r="I2172" s="122">
        <v>597.61244999999997</v>
      </c>
      <c r="J2172" s="124">
        <f t="shared" si="33"/>
        <v>31.305114638447996</v>
      </c>
      <c r="K2172" s="98" t="s">
        <v>6901</v>
      </c>
    </row>
    <row r="2173" spans="1:11" ht="15" customHeight="1" x14ac:dyDescent="0.2">
      <c r="A2173" s="120" t="s">
        <v>6902</v>
      </c>
      <c r="B2173" s="120" t="s">
        <v>6903</v>
      </c>
      <c r="C2173" s="98" t="s">
        <v>3533</v>
      </c>
      <c r="D2173" s="120" t="s">
        <v>3563</v>
      </c>
      <c r="E2173" s="98">
        <v>4.7160000000000001E-2</v>
      </c>
      <c r="F2173" s="120">
        <v>0</v>
      </c>
      <c r="G2173" s="121">
        <v>19710</v>
      </c>
      <c r="H2173" s="123">
        <v>4.7160000000000001E-2</v>
      </c>
      <c r="I2173" s="122">
        <v>929.52359999999999</v>
      </c>
      <c r="J2173" s="124">
        <f t="shared" si="33"/>
        <v>47.160000000000004</v>
      </c>
      <c r="K2173" s="98" t="s">
        <v>6904</v>
      </c>
    </row>
    <row r="2174" spans="1:11" ht="15" customHeight="1" x14ac:dyDescent="0.2">
      <c r="A2174" s="120" t="s">
        <v>6905</v>
      </c>
      <c r="B2174" s="120" t="s">
        <v>6743</v>
      </c>
      <c r="C2174" s="98" t="s">
        <v>3533</v>
      </c>
      <c r="D2174" s="120" t="s">
        <v>3563</v>
      </c>
      <c r="E2174" s="98">
        <v>2.81305114638448E-2</v>
      </c>
      <c r="F2174" s="120">
        <v>0</v>
      </c>
      <c r="G2174" s="121">
        <v>37285</v>
      </c>
      <c r="H2174" s="123">
        <v>2.8131E-2</v>
      </c>
      <c r="I2174" s="122">
        <v>1048.864335</v>
      </c>
      <c r="J2174" s="124">
        <f t="shared" si="33"/>
        <v>28.130511463844801</v>
      </c>
      <c r="K2174" s="98" t="s">
        <v>6906</v>
      </c>
    </row>
    <row r="2175" spans="1:11" ht="15" customHeight="1" x14ac:dyDescent="0.2">
      <c r="A2175" s="120" t="s">
        <v>6907</v>
      </c>
      <c r="B2175" s="120" t="s">
        <v>4783</v>
      </c>
      <c r="C2175" s="98" t="s">
        <v>3533</v>
      </c>
      <c r="D2175" s="120" t="s">
        <v>3563</v>
      </c>
      <c r="E2175" s="98">
        <v>1.7000000000000001E-2</v>
      </c>
      <c r="F2175" s="120">
        <v>0</v>
      </c>
      <c r="G2175" s="121">
        <v>4635</v>
      </c>
      <c r="H2175" s="123">
        <v>1.7000000000000001E-2</v>
      </c>
      <c r="I2175" s="122">
        <v>78.795000000000002</v>
      </c>
      <c r="J2175" s="124">
        <f t="shared" si="33"/>
        <v>17</v>
      </c>
      <c r="K2175" s="98" t="s">
        <v>6908</v>
      </c>
    </row>
    <row r="2176" spans="1:11" ht="15" customHeight="1" x14ac:dyDescent="0.2">
      <c r="A2176" s="120" t="s">
        <v>6909</v>
      </c>
      <c r="B2176" s="120" t="s">
        <v>2566</v>
      </c>
      <c r="C2176" s="98" t="s">
        <v>3533</v>
      </c>
      <c r="D2176" s="120" t="s">
        <v>3563</v>
      </c>
      <c r="E2176" s="98">
        <v>0.85</v>
      </c>
      <c r="F2176" s="120">
        <v>0</v>
      </c>
      <c r="G2176" s="121">
        <v>21755</v>
      </c>
      <c r="H2176" s="123">
        <v>0.80072900000000002</v>
      </c>
      <c r="I2176" s="122">
        <v>17419.859394999999</v>
      </c>
      <c r="J2176" s="124">
        <f t="shared" si="33"/>
        <v>850</v>
      </c>
      <c r="K2176" s="98" t="s">
        <v>6910</v>
      </c>
    </row>
    <row r="2177" spans="1:11" ht="15" customHeight="1" x14ac:dyDescent="0.2">
      <c r="A2177" s="120" t="s">
        <v>6911</v>
      </c>
      <c r="B2177" s="120" t="s">
        <v>4720</v>
      </c>
      <c r="C2177" s="98" t="s">
        <v>3533</v>
      </c>
      <c r="D2177" s="120" t="s">
        <v>3563</v>
      </c>
      <c r="E2177" s="98">
        <v>4.2328042328042305E-2</v>
      </c>
      <c r="F2177" s="120">
        <v>0</v>
      </c>
      <c r="G2177" s="121">
        <v>19990</v>
      </c>
      <c r="H2177" s="123">
        <v>4.2327999999999998E-2</v>
      </c>
      <c r="I2177" s="122">
        <v>846.13671999999997</v>
      </c>
      <c r="J2177" s="124">
        <f t="shared" si="33"/>
        <v>42.328042328042308</v>
      </c>
      <c r="K2177" s="98" t="s">
        <v>6912</v>
      </c>
    </row>
    <row r="2178" spans="1:11" ht="15" customHeight="1" x14ac:dyDescent="0.2">
      <c r="A2178" s="120" t="s">
        <v>6913</v>
      </c>
      <c r="B2178" s="120" t="s">
        <v>4833</v>
      </c>
      <c r="C2178" s="98" t="s">
        <v>3533</v>
      </c>
      <c r="D2178" s="120" t="s">
        <v>3563</v>
      </c>
      <c r="E2178" s="98">
        <v>5.5004409171075803E-2</v>
      </c>
      <c r="F2178" s="120">
        <v>0</v>
      </c>
      <c r="G2178" s="121">
        <v>22135</v>
      </c>
      <c r="H2178" s="123">
        <v>5.5003999999999997E-2</v>
      </c>
      <c r="I2178" s="122">
        <v>1217.5135399999999</v>
      </c>
      <c r="J2178" s="124">
        <f t="shared" ref="J2178:J2241" si="34">IF(D2178="gm", E2178*1000,+E2178)</f>
        <v>55.004409171075807</v>
      </c>
      <c r="K2178" s="98" t="s">
        <v>5298</v>
      </c>
    </row>
    <row r="2179" spans="1:11" ht="15" customHeight="1" x14ac:dyDescent="0.2">
      <c r="A2179" s="120" t="s">
        <v>6914</v>
      </c>
      <c r="B2179" s="120" t="s">
        <v>6613</v>
      </c>
      <c r="C2179" s="98" t="s">
        <v>3533</v>
      </c>
      <c r="D2179" s="120" t="s">
        <v>3563</v>
      </c>
      <c r="E2179" s="98">
        <v>2.095E-2</v>
      </c>
      <c r="F2179" s="120">
        <v>0</v>
      </c>
      <c r="G2179" s="121">
        <v>5740</v>
      </c>
      <c r="H2179" s="123">
        <v>2.095E-2</v>
      </c>
      <c r="I2179" s="122">
        <v>120.253</v>
      </c>
      <c r="J2179" s="124">
        <f t="shared" si="34"/>
        <v>20.95</v>
      </c>
      <c r="K2179" s="98" t="s">
        <v>2387</v>
      </c>
    </row>
    <row r="2180" spans="1:11" ht="15" customHeight="1" x14ac:dyDescent="0.2">
      <c r="A2180" s="120" t="s">
        <v>6915</v>
      </c>
      <c r="B2180" s="120" t="s">
        <v>6743</v>
      </c>
      <c r="C2180" s="98" t="s">
        <v>3533</v>
      </c>
      <c r="D2180" s="120" t="s">
        <v>3563</v>
      </c>
      <c r="E2180" s="98">
        <v>2.8593474426807802E-2</v>
      </c>
      <c r="F2180" s="120">
        <v>0</v>
      </c>
      <c r="G2180" s="121">
        <v>6220</v>
      </c>
      <c r="H2180" s="123">
        <v>2.8593E-2</v>
      </c>
      <c r="I2180" s="122">
        <v>177.84845999999999</v>
      </c>
      <c r="J2180" s="124">
        <f t="shared" si="34"/>
        <v>28.593474426807802</v>
      </c>
      <c r="K2180" s="98" t="s">
        <v>6916</v>
      </c>
    </row>
    <row r="2181" spans="1:11" ht="15" customHeight="1" x14ac:dyDescent="0.2">
      <c r="A2181" s="120" t="s">
        <v>6917</v>
      </c>
      <c r="B2181" s="120" t="s">
        <v>4720</v>
      </c>
      <c r="C2181" s="98" t="s">
        <v>3533</v>
      </c>
      <c r="D2181" s="120" t="s">
        <v>3563</v>
      </c>
      <c r="E2181" s="98">
        <v>4.5194003527336893E-2</v>
      </c>
      <c r="F2181" s="120">
        <v>0</v>
      </c>
      <c r="G2181" s="121">
        <v>627560</v>
      </c>
      <c r="H2181" s="123">
        <v>4.5193999999999998E-2</v>
      </c>
      <c r="I2181" s="122">
        <v>28361.946639999998</v>
      </c>
      <c r="J2181" s="124">
        <f t="shared" si="34"/>
        <v>45.194003527336896</v>
      </c>
      <c r="K2181" s="98" t="s">
        <v>5298</v>
      </c>
    </row>
    <row r="2182" spans="1:11" ht="15" customHeight="1" x14ac:dyDescent="0.2">
      <c r="A2182" s="120" t="s">
        <v>6918</v>
      </c>
      <c r="B2182" s="120" t="s">
        <v>6297</v>
      </c>
      <c r="C2182" s="98" t="s">
        <v>3533</v>
      </c>
      <c r="D2182" s="120" t="s">
        <v>3563</v>
      </c>
      <c r="E2182" s="98">
        <v>3.6070105820105801E-2</v>
      </c>
      <c r="F2182" s="120">
        <v>0</v>
      </c>
      <c r="G2182" s="121">
        <v>22680</v>
      </c>
      <c r="H2182" s="123">
        <v>3.6069999999999998E-2</v>
      </c>
      <c r="I2182" s="122">
        <v>818.06759999999997</v>
      </c>
      <c r="J2182" s="124">
        <f t="shared" si="34"/>
        <v>36.070105820105802</v>
      </c>
      <c r="K2182" s="98" t="s">
        <v>5298</v>
      </c>
    </row>
    <row r="2183" spans="1:11" ht="15" customHeight="1" x14ac:dyDescent="0.2">
      <c r="A2183" s="120" t="s">
        <v>6919</v>
      </c>
      <c r="B2183" s="120" t="s">
        <v>5216</v>
      </c>
      <c r="C2183" s="98" t="s">
        <v>3533</v>
      </c>
      <c r="D2183" s="120" t="s">
        <v>3563</v>
      </c>
      <c r="E2183" s="98">
        <v>2.9000000000000001E-2</v>
      </c>
      <c r="F2183" s="120">
        <v>0</v>
      </c>
      <c r="G2183" s="121">
        <v>20330</v>
      </c>
      <c r="H2183" s="123">
        <v>2.9000000000000001E-2</v>
      </c>
      <c r="I2183" s="122">
        <v>589.57000000000005</v>
      </c>
      <c r="J2183" s="124">
        <f t="shared" si="34"/>
        <v>29</v>
      </c>
      <c r="K2183" s="98" t="s">
        <v>2387</v>
      </c>
    </row>
    <row r="2184" spans="1:11" ht="15" customHeight="1" x14ac:dyDescent="0.2">
      <c r="A2184" s="120" t="s">
        <v>6920</v>
      </c>
      <c r="B2184" s="120" t="s">
        <v>4720</v>
      </c>
      <c r="C2184" s="98" t="s">
        <v>3533</v>
      </c>
      <c r="D2184" s="120" t="s">
        <v>3563</v>
      </c>
      <c r="E2184" s="98">
        <v>5.0705467372134001E-2</v>
      </c>
      <c r="F2184" s="120">
        <v>0</v>
      </c>
      <c r="G2184" s="121">
        <v>3980</v>
      </c>
      <c r="H2184" s="123">
        <v>5.0705E-2</v>
      </c>
      <c r="I2184" s="122">
        <v>201.80590000000001</v>
      </c>
      <c r="J2184" s="124">
        <f t="shared" si="34"/>
        <v>50.705467372134002</v>
      </c>
      <c r="K2184" s="98" t="s">
        <v>5298</v>
      </c>
    </row>
    <row r="2185" spans="1:11" ht="15" customHeight="1" x14ac:dyDescent="0.2">
      <c r="A2185" s="120" t="s">
        <v>6921</v>
      </c>
      <c r="B2185" s="120" t="s">
        <v>2184</v>
      </c>
      <c r="C2185" s="98" t="s">
        <v>3533</v>
      </c>
      <c r="D2185" s="120" t="s">
        <v>3563</v>
      </c>
      <c r="E2185" s="98">
        <v>0.75</v>
      </c>
      <c r="F2185" s="120">
        <v>0</v>
      </c>
      <c r="G2185" s="121">
        <v>1200</v>
      </c>
      <c r="H2185" s="123">
        <v>0.75</v>
      </c>
      <c r="I2185" s="122">
        <v>900</v>
      </c>
      <c r="J2185" s="124">
        <f t="shared" si="34"/>
        <v>750</v>
      </c>
      <c r="K2185" s="98" t="s">
        <v>6922</v>
      </c>
    </row>
    <row r="2186" spans="1:11" ht="15" customHeight="1" x14ac:dyDescent="0.2">
      <c r="A2186" s="120" t="s">
        <v>6923</v>
      </c>
      <c r="B2186" s="120" t="s">
        <v>2254</v>
      </c>
      <c r="C2186" s="98" t="s">
        <v>3533</v>
      </c>
      <c r="D2186" s="120" t="s">
        <v>3563</v>
      </c>
      <c r="E2186" s="98">
        <v>1.9E-2</v>
      </c>
      <c r="F2186" s="120">
        <v>0</v>
      </c>
      <c r="G2186" s="121">
        <v>20000</v>
      </c>
      <c r="H2186" s="123">
        <v>1.9E-2</v>
      </c>
      <c r="I2186" s="122">
        <v>380</v>
      </c>
      <c r="J2186" s="124">
        <f t="shared" si="34"/>
        <v>19</v>
      </c>
      <c r="K2186" s="98" t="s">
        <v>5189</v>
      </c>
    </row>
    <row r="2187" spans="1:11" ht="15" customHeight="1" x14ac:dyDescent="0.2">
      <c r="A2187" s="120" t="s">
        <v>6924</v>
      </c>
      <c r="B2187" s="120" t="s">
        <v>2184</v>
      </c>
      <c r="C2187" s="98" t="s">
        <v>3533</v>
      </c>
      <c r="D2187" s="120" t="s">
        <v>3563</v>
      </c>
      <c r="E2187" s="98">
        <v>0.375</v>
      </c>
      <c r="F2187" s="120">
        <v>0</v>
      </c>
      <c r="G2187" s="121">
        <v>7285</v>
      </c>
      <c r="H2187" s="123">
        <v>0.375</v>
      </c>
      <c r="I2187" s="122">
        <v>2731.875</v>
      </c>
      <c r="J2187" s="124">
        <f t="shared" si="34"/>
        <v>375</v>
      </c>
      <c r="K2187" s="98" t="s">
        <v>5189</v>
      </c>
    </row>
    <row r="2188" spans="1:11" ht="15" customHeight="1" x14ac:dyDescent="0.2">
      <c r="A2188" s="120" t="s">
        <v>6925</v>
      </c>
      <c r="B2188" s="120" t="s">
        <v>6587</v>
      </c>
      <c r="C2188" s="98" t="s">
        <v>3533</v>
      </c>
      <c r="D2188" s="120" t="s">
        <v>3563</v>
      </c>
      <c r="E2188" s="98">
        <v>0.51329166666666703</v>
      </c>
      <c r="F2188" s="120">
        <v>0</v>
      </c>
      <c r="G2188" s="121">
        <v>2815</v>
      </c>
      <c r="H2188" s="123">
        <v>0.51329199999999997</v>
      </c>
      <c r="I2188" s="122">
        <v>1444.91698</v>
      </c>
      <c r="J2188" s="124">
        <f t="shared" si="34"/>
        <v>513.29166666666708</v>
      </c>
      <c r="K2188" s="98" t="s">
        <v>6926</v>
      </c>
    </row>
    <row r="2189" spans="1:11" ht="15" customHeight="1" x14ac:dyDescent="0.2">
      <c r="A2189" s="120" t="s">
        <v>6927</v>
      </c>
      <c r="B2189" s="120" t="s">
        <v>5814</v>
      </c>
      <c r="C2189" s="98" t="s">
        <v>3533</v>
      </c>
      <c r="D2189" s="120" t="s">
        <v>3563</v>
      </c>
      <c r="E2189" s="98">
        <v>7.4889770723104099E-2</v>
      </c>
      <c r="F2189" s="120">
        <v>0</v>
      </c>
      <c r="G2189" s="121">
        <v>2505</v>
      </c>
      <c r="H2189" s="123">
        <v>7.4889999999999998E-2</v>
      </c>
      <c r="I2189" s="122">
        <v>187.59944999999999</v>
      </c>
      <c r="J2189" s="124">
        <f t="shared" si="34"/>
        <v>74.889770723104093</v>
      </c>
      <c r="K2189" s="98" t="s">
        <v>6928</v>
      </c>
    </row>
    <row r="2190" spans="1:11" ht="15" customHeight="1" x14ac:dyDescent="0.2">
      <c r="A2190" s="120" t="s">
        <v>6929</v>
      </c>
      <c r="B2190" s="120" t="s">
        <v>2184</v>
      </c>
      <c r="C2190" s="98" t="s">
        <v>3533</v>
      </c>
      <c r="D2190" s="120" t="s">
        <v>3563</v>
      </c>
      <c r="E2190" s="98">
        <v>0.55000000000000004</v>
      </c>
      <c r="F2190" s="120">
        <v>0</v>
      </c>
      <c r="G2190" s="121">
        <v>870</v>
      </c>
      <c r="H2190" s="123">
        <v>0.55000000000000004</v>
      </c>
      <c r="I2190" s="122">
        <v>478.50000000000006</v>
      </c>
      <c r="J2190" s="124">
        <f t="shared" si="34"/>
        <v>550</v>
      </c>
      <c r="K2190" s="98" t="s">
        <v>2571</v>
      </c>
    </row>
    <row r="2191" spans="1:11" ht="15" customHeight="1" x14ac:dyDescent="0.2">
      <c r="A2191" s="120" t="s">
        <v>6930</v>
      </c>
      <c r="B2191" s="120" t="s">
        <v>2184</v>
      </c>
      <c r="C2191" s="98" t="s">
        <v>3533</v>
      </c>
      <c r="D2191" s="120" t="s">
        <v>3563</v>
      </c>
      <c r="E2191" s="98">
        <v>0.14000000000000001</v>
      </c>
      <c r="F2191" s="120">
        <v>0</v>
      </c>
      <c r="G2191" s="121">
        <v>177695</v>
      </c>
      <c r="H2191" s="123">
        <v>0.14000000000000001</v>
      </c>
      <c r="I2191" s="122">
        <v>24877.300000000003</v>
      </c>
      <c r="J2191" s="124">
        <f t="shared" si="34"/>
        <v>140</v>
      </c>
      <c r="K2191" s="98" t="s">
        <v>2379</v>
      </c>
    </row>
    <row r="2192" spans="1:11" ht="15" customHeight="1" x14ac:dyDescent="0.2">
      <c r="A2192" s="120" t="s">
        <v>6931</v>
      </c>
      <c r="B2192" s="120" t="s">
        <v>2254</v>
      </c>
      <c r="C2192" s="98" t="s">
        <v>3533</v>
      </c>
      <c r="D2192" s="120" t="s">
        <v>3563</v>
      </c>
      <c r="E2192" s="98">
        <v>0.02</v>
      </c>
      <c r="F2192" s="120">
        <v>0</v>
      </c>
      <c r="G2192" s="121">
        <v>12925</v>
      </c>
      <c r="H2192" s="123">
        <v>0.02</v>
      </c>
      <c r="I2192" s="122">
        <v>258.5</v>
      </c>
      <c r="J2192" s="124">
        <f t="shared" si="34"/>
        <v>20</v>
      </c>
      <c r="K2192" s="98" t="s">
        <v>5214</v>
      </c>
    </row>
    <row r="2193" spans="1:11" ht="15" customHeight="1" x14ac:dyDescent="0.2">
      <c r="A2193" s="120" t="s">
        <v>6932</v>
      </c>
      <c r="B2193" s="120" t="s">
        <v>6743</v>
      </c>
      <c r="C2193" s="98" t="s">
        <v>3533</v>
      </c>
      <c r="D2193" s="120" t="s">
        <v>3563</v>
      </c>
      <c r="E2193" s="98">
        <v>3.5780423280423301E-2</v>
      </c>
      <c r="F2193" s="120">
        <v>0</v>
      </c>
      <c r="G2193" s="121">
        <v>0</v>
      </c>
      <c r="H2193" s="123">
        <v>3.5779999999999999E-2</v>
      </c>
      <c r="I2193" s="122">
        <v>0</v>
      </c>
      <c r="J2193" s="124">
        <f t="shared" si="34"/>
        <v>35.7804232804233</v>
      </c>
      <c r="K2193" s="98" t="s">
        <v>6933</v>
      </c>
    </row>
    <row r="2194" spans="1:11" ht="15" customHeight="1" x14ac:dyDescent="0.2">
      <c r="A2194" s="120" t="s">
        <v>6934</v>
      </c>
      <c r="B2194" s="120" t="s">
        <v>2184</v>
      </c>
      <c r="C2194" s="98" t="s">
        <v>3533</v>
      </c>
      <c r="D2194" s="120" t="s">
        <v>3563</v>
      </c>
      <c r="E2194" s="98">
        <v>9.1000000000000004E-3</v>
      </c>
      <c r="F2194" s="120">
        <v>0</v>
      </c>
      <c r="G2194" s="121">
        <v>4032536</v>
      </c>
      <c r="H2194" s="123">
        <v>9.2999999999999992E-3</v>
      </c>
      <c r="I2194" s="122">
        <v>37502.584799999997</v>
      </c>
      <c r="J2194" s="124">
        <f t="shared" si="34"/>
        <v>9.1</v>
      </c>
      <c r="K2194" s="98" t="s">
        <v>6935</v>
      </c>
    </row>
    <row r="2195" spans="1:11" ht="15" customHeight="1" x14ac:dyDescent="0.2">
      <c r="A2195" s="120" t="s">
        <v>6936</v>
      </c>
      <c r="B2195" s="120" t="s">
        <v>5749</v>
      </c>
      <c r="C2195" s="98" t="s">
        <v>3533</v>
      </c>
      <c r="D2195" s="120" t="s">
        <v>3563</v>
      </c>
      <c r="E2195" s="98">
        <v>0.248</v>
      </c>
      <c r="F2195" s="120">
        <v>0</v>
      </c>
      <c r="G2195" s="121">
        <v>1000</v>
      </c>
      <c r="H2195" s="123">
        <v>0.248</v>
      </c>
      <c r="I2195" s="122">
        <v>248</v>
      </c>
      <c r="J2195" s="124">
        <f t="shared" si="34"/>
        <v>248</v>
      </c>
      <c r="K2195" s="98" t="s">
        <v>5880</v>
      </c>
    </row>
    <row r="2196" spans="1:11" ht="15" customHeight="1" x14ac:dyDescent="0.2">
      <c r="A2196" s="120" t="s">
        <v>6937</v>
      </c>
      <c r="B2196" s="120" t="s">
        <v>5906</v>
      </c>
      <c r="C2196" s="98" t="s">
        <v>3533</v>
      </c>
      <c r="D2196" s="120" t="s">
        <v>3563</v>
      </c>
      <c r="E2196" s="98">
        <v>1.729E-2</v>
      </c>
      <c r="F2196" s="120">
        <v>0</v>
      </c>
      <c r="G2196" s="121">
        <v>86850</v>
      </c>
      <c r="H2196" s="123">
        <v>1.729E-2</v>
      </c>
      <c r="I2196" s="122">
        <v>1501.6365000000001</v>
      </c>
      <c r="J2196" s="124">
        <f t="shared" si="34"/>
        <v>17.29</v>
      </c>
      <c r="K2196" s="98" t="s">
        <v>5189</v>
      </c>
    </row>
    <row r="2197" spans="1:11" ht="15" customHeight="1" x14ac:dyDescent="0.2">
      <c r="A2197" s="120" t="s">
        <v>6938</v>
      </c>
      <c r="B2197" s="120" t="s">
        <v>6743</v>
      </c>
      <c r="C2197" s="98" t="s">
        <v>3533</v>
      </c>
      <c r="D2197" s="120" t="s">
        <v>3563</v>
      </c>
      <c r="E2197" s="98">
        <v>4.2107363315696603E-2</v>
      </c>
      <c r="F2197" s="120">
        <v>0</v>
      </c>
      <c r="G2197" s="121">
        <v>20520</v>
      </c>
      <c r="H2197" s="123">
        <v>4.2106999999999999E-2</v>
      </c>
      <c r="I2197" s="122">
        <v>864.03563999999994</v>
      </c>
      <c r="J2197" s="124">
        <f t="shared" si="34"/>
        <v>42.107363315696603</v>
      </c>
      <c r="K2197" s="98" t="s">
        <v>6939</v>
      </c>
    </row>
    <row r="2198" spans="1:11" ht="15" customHeight="1" x14ac:dyDescent="0.2">
      <c r="A2198" s="120" t="s">
        <v>6940</v>
      </c>
      <c r="B2198" s="120" t="s">
        <v>4929</v>
      </c>
      <c r="C2198" s="98" t="s">
        <v>3533</v>
      </c>
      <c r="D2198" s="120" t="s">
        <v>3563</v>
      </c>
      <c r="E2198" s="98">
        <v>0.05</v>
      </c>
      <c r="F2198" s="120">
        <v>0</v>
      </c>
      <c r="G2198" s="121">
        <v>3355</v>
      </c>
      <c r="H2198" s="123">
        <v>0.05</v>
      </c>
      <c r="I2198" s="122">
        <v>167.75</v>
      </c>
      <c r="J2198" s="124">
        <f t="shared" si="34"/>
        <v>50</v>
      </c>
      <c r="K2198" s="98" t="s">
        <v>6941</v>
      </c>
    </row>
    <row r="2199" spans="1:11" ht="15" customHeight="1" x14ac:dyDescent="0.2">
      <c r="A2199" s="120" t="s">
        <v>6942</v>
      </c>
      <c r="B2199" s="120" t="s">
        <v>4929</v>
      </c>
      <c r="C2199" s="98" t="s">
        <v>3533</v>
      </c>
      <c r="D2199" s="120" t="s">
        <v>3563</v>
      </c>
      <c r="E2199" s="98">
        <v>3.5000000000000003E-2</v>
      </c>
      <c r="F2199" s="120">
        <v>0</v>
      </c>
      <c r="G2199" s="121">
        <v>3355</v>
      </c>
      <c r="H2199" s="123">
        <v>3.5000000000000003E-2</v>
      </c>
      <c r="I2199" s="122">
        <v>117.42500000000001</v>
      </c>
      <c r="J2199" s="124">
        <f t="shared" si="34"/>
        <v>35</v>
      </c>
      <c r="K2199" s="98" t="s">
        <v>6941</v>
      </c>
    </row>
    <row r="2200" spans="1:11" ht="15" customHeight="1" x14ac:dyDescent="0.2">
      <c r="A2200" s="120" t="s">
        <v>6943</v>
      </c>
      <c r="B2200" s="120" t="s">
        <v>3532</v>
      </c>
      <c r="C2200" s="98" t="s">
        <v>3533</v>
      </c>
      <c r="D2200" s="120" t="s">
        <v>3563</v>
      </c>
      <c r="E2200" s="98">
        <v>0</v>
      </c>
      <c r="F2200" s="120">
        <v>0</v>
      </c>
      <c r="G2200" s="121">
        <v>0</v>
      </c>
      <c r="H2200" s="123">
        <v>0</v>
      </c>
      <c r="I2200" s="122">
        <v>0</v>
      </c>
      <c r="J2200" s="124">
        <f t="shared" si="34"/>
        <v>0</v>
      </c>
    </row>
    <row r="2201" spans="1:11" ht="15" customHeight="1" x14ac:dyDescent="0.2">
      <c r="A2201" s="120" t="s">
        <v>6944</v>
      </c>
      <c r="B2201" s="120" t="s">
        <v>5696</v>
      </c>
      <c r="C2201" s="98" t="s">
        <v>3533</v>
      </c>
      <c r="D2201" s="120" t="s">
        <v>3563</v>
      </c>
      <c r="E2201" s="98">
        <v>7.0000000000000001E-3</v>
      </c>
      <c r="F2201" s="120">
        <v>0</v>
      </c>
      <c r="G2201" s="121">
        <v>23830</v>
      </c>
      <c r="H2201" s="123">
        <v>7.0000000000000001E-3</v>
      </c>
      <c r="I2201" s="122">
        <v>166.81</v>
      </c>
      <c r="J2201" s="124">
        <f t="shared" si="34"/>
        <v>7</v>
      </c>
      <c r="K2201" s="98" t="s">
        <v>2387</v>
      </c>
    </row>
    <row r="2202" spans="1:11" ht="15" customHeight="1" x14ac:dyDescent="0.2">
      <c r="A2202" s="120" t="s">
        <v>6945</v>
      </c>
      <c r="B2202" s="120" t="s">
        <v>5696</v>
      </c>
      <c r="C2202" s="98" t="s">
        <v>3533</v>
      </c>
      <c r="D2202" s="120" t="s">
        <v>3563</v>
      </c>
      <c r="E2202" s="98">
        <v>5.8421516754850102E-3</v>
      </c>
      <c r="F2202" s="120">
        <v>0</v>
      </c>
      <c r="G2202" s="121">
        <v>6000</v>
      </c>
      <c r="H2202" s="123">
        <v>5.842E-3</v>
      </c>
      <c r="I2202" s="122">
        <v>35.052</v>
      </c>
      <c r="J2202" s="124">
        <f t="shared" si="34"/>
        <v>5.8421516754850105</v>
      </c>
      <c r="K2202" s="98" t="s">
        <v>6946</v>
      </c>
    </row>
    <row r="2203" spans="1:11" ht="15" customHeight="1" x14ac:dyDescent="0.2">
      <c r="A2203" s="120" t="s">
        <v>6947</v>
      </c>
      <c r="B2203" s="120" t="s">
        <v>5906</v>
      </c>
      <c r="C2203" s="98" t="s">
        <v>3533</v>
      </c>
      <c r="D2203" s="120" t="s">
        <v>3563</v>
      </c>
      <c r="E2203" s="98">
        <v>1.9E-2</v>
      </c>
      <c r="F2203" s="120">
        <v>0</v>
      </c>
      <c r="G2203" s="121">
        <v>26385</v>
      </c>
      <c r="H2203" s="123">
        <v>1.9E-2</v>
      </c>
      <c r="I2203" s="122">
        <v>501.315</v>
      </c>
      <c r="J2203" s="124">
        <f t="shared" si="34"/>
        <v>19</v>
      </c>
    </row>
    <row r="2204" spans="1:11" ht="15" customHeight="1" x14ac:dyDescent="0.2">
      <c r="A2204" s="120" t="s">
        <v>6948</v>
      </c>
      <c r="B2204" s="120" t="s">
        <v>4562</v>
      </c>
      <c r="C2204" s="98" t="s">
        <v>3533</v>
      </c>
      <c r="D2204" s="120" t="s">
        <v>3563</v>
      </c>
      <c r="E2204" s="98">
        <v>9.9000000000000008E-3</v>
      </c>
      <c r="F2204" s="120">
        <v>0</v>
      </c>
      <c r="G2204" s="121">
        <v>362500</v>
      </c>
      <c r="H2204" s="123">
        <v>9.9000000000000008E-3</v>
      </c>
      <c r="I2204" s="122">
        <v>3588.7500000000005</v>
      </c>
      <c r="J2204" s="124">
        <f t="shared" si="34"/>
        <v>9.9</v>
      </c>
      <c r="K2204" s="98" t="s">
        <v>6949</v>
      </c>
    </row>
    <row r="2205" spans="1:11" ht="15" customHeight="1" x14ac:dyDescent="0.2">
      <c r="A2205" s="120" t="s">
        <v>6950</v>
      </c>
      <c r="B2205" s="120" t="s">
        <v>4562</v>
      </c>
      <c r="C2205" s="98" t="s">
        <v>3533</v>
      </c>
      <c r="D2205" s="120" t="s">
        <v>3563</v>
      </c>
      <c r="E2205" s="98">
        <v>3.4000000000000002E-2</v>
      </c>
      <c r="F2205" s="120">
        <v>0</v>
      </c>
      <c r="G2205" s="121">
        <v>2440</v>
      </c>
      <c r="H2205" s="123">
        <v>3.4000000000000002E-2</v>
      </c>
      <c r="I2205" s="122">
        <v>82.960000000000008</v>
      </c>
      <c r="J2205" s="124">
        <f t="shared" si="34"/>
        <v>34</v>
      </c>
      <c r="K2205" s="98" t="s">
        <v>6951</v>
      </c>
    </row>
    <row r="2206" spans="1:11" ht="15" customHeight="1" x14ac:dyDescent="0.2">
      <c r="A2206" s="120" t="s">
        <v>6952</v>
      </c>
      <c r="B2206" s="120" t="s">
        <v>3532</v>
      </c>
      <c r="C2206" s="98" t="s">
        <v>3533</v>
      </c>
      <c r="D2206" s="120" t="s">
        <v>3563</v>
      </c>
      <c r="E2206" s="98">
        <v>0</v>
      </c>
      <c r="F2206" s="120">
        <v>0</v>
      </c>
      <c r="G2206" s="121">
        <v>0</v>
      </c>
      <c r="H2206" s="123">
        <v>0</v>
      </c>
      <c r="I2206" s="122">
        <v>0</v>
      </c>
      <c r="J2206" s="124">
        <f t="shared" si="34"/>
        <v>0</v>
      </c>
    </row>
    <row r="2207" spans="1:11" ht="15" customHeight="1" x14ac:dyDescent="0.2">
      <c r="A2207" s="120" t="s">
        <v>6953</v>
      </c>
      <c r="B2207" s="120" t="s">
        <v>5216</v>
      </c>
      <c r="C2207" s="98" t="s">
        <v>3533</v>
      </c>
      <c r="D2207" s="120" t="s">
        <v>3563</v>
      </c>
      <c r="E2207" s="98">
        <v>2.5999999999999999E-2</v>
      </c>
      <c r="F2207" s="120">
        <v>0</v>
      </c>
      <c r="G2207" s="121">
        <v>12370</v>
      </c>
      <c r="H2207" s="123">
        <v>2.5999999999999999E-2</v>
      </c>
      <c r="I2207" s="122">
        <v>321.62</v>
      </c>
      <c r="J2207" s="124">
        <f t="shared" si="34"/>
        <v>26</v>
      </c>
      <c r="K2207" s="98" t="s">
        <v>3272</v>
      </c>
    </row>
    <row r="2208" spans="1:11" ht="15" customHeight="1" x14ac:dyDescent="0.2">
      <c r="A2208" s="120" t="s">
        <v>6954</v>
      </c>
      <c r="B2208" s="120" t="s">
        <v>6955</v>
      </c>
      <c r="C2208" s="98" t="s">
        <v>3533</v>
      </c>
      <c r="D2208" s="120" t="s">
        <v>3563</v>
      </c>
      <c r="E2208" s="98">
        <v>0.85</v>
      </c>
      <c r="F2208" s="120">
        <v>0</v>
      </c>
      <c r="G2208" s="121">
        <v>13900</v>
      </c>
      <c r="H2208" s="123">
        <v>0.85</v>
      </c>
      <c r="I2208" s="122">
        <v>11815</v>
      </c>
      <c r="J2208" s="124">
        <f t="shared" si="34"/>
        <v>850</v>
      </c>
      <c r="K2208" s="98" t="s">
        <v>6956</v>
      </c>
    </row>
    <row r="2209" spans="1:11" ht="15" customHeight="1" x14ac:dyDescent="0.2">
      <c r="A2209" s="120" t="s">
        <v>6957</v>
      </c>
      <c r="B2209" s="120" t="s">
        <v>5021</v>
      </c>
      <c r="C2209" s="98" t="s">
        <v>3533</v>
      </c>
      <c r="D2209" s="120" t="s">
        <v>3563</v>
      </c>
      <c r="E2209" s="98">
        <v>2.5149999999999999E-2</v>
      </c>
      <c r="F2209" s="120">
        <v>0</v>
      </c>
      <c r="G2209" s="121">
        <v>20000</v>
      </c>
      <c r="H2209" s="123">
        <v>2.5149999999999999E-2</v>
      </c>
      <c r="I2209" s="122">
        <v>503</v>
      </c>
      <c r="J2209" s="124">
        <f t="shared" si="34"/>
        <v>25.15</v>
      </c>
      <c r="K2209" s="98" t="s">
        <v>6958</v>
      </c>
    </row>
    <row r="2210" spans="1:11" ht="15" customHeight="1" x14ac:dyDescent="0.2">
      <c r="A2210" s="120" t="s">
        <v>6959</v>
      </c>
      <c r="B2210" s="120" t="s">
        <v>6960</v>
      </c>
      <c r="C2210" s="98" t="s">
        <v>3533</v>
      </c>
      <c r="D2210" s="120" t="s">
        <v>3563</v>
      </c>
      <c r="E2210" s="98">
        <v>2.1999999999999999E-2</v>
      </c>
      <c r="F2210" s="120">
        <v>0</v>
      </c>
      <c r="G2210" s="121">
        <v>16190</v>
      </c>
      <c r="H2210" s="123">
        <v>2.1999999999999999E-2</v>
      </c>
      <c r="I2210" s="122">
        <v>356.18</v>
      </c>
      <c r="J2210" s="124">
        <f t="shared" si="34"/>
        <v>22</v>
      </c>
    </row>
    <row r="2211" spans="1:11" ht="15" customHeight="1" x14ac:dyDescent="0.2">
      <c r="A2211" s="120" t="s">
        <v>6961</v>
      </c>
      <c r="B2211" s="120" t="s">
        <v>5072</v>
      </c>
      <c r="C2211" s="98" t="s">
        <v>3533</v>
      </c>
      <c r="D2211" s="120" t="s">
        <v>3563</v>
      </c>
      <c r="E2211" s="98">
        <v>2.5000000000000001E-2</v>
      </c>
      <c r="F2211" s="120">
        <v>0</v>
      </c>
      <c r="G2211" s="121">
        <v>9665</v>
      </c>
      <c r="H2211" s="123">
        <v>2.5000000000000001E-2</v>
      </c>
      <c r="I2211" s="122">
        <v>241.625</v>
      </c>
      <c r="J2211" s="124">
        <f t="shared" si="34"/>
        <v>25</v>
      </c>
      <c r="K2211" s="98" t="s">
        <v>2387</v>
      </c>
    </row>
    <row r="2212" spans="1:11" ht="15" customHeight="1" x14ac:dyDescent="0.2">
      <c r="A2212" s="120" t="s">
        <v>6962</v>
      </c>
      <c r="B2212" s="120" t="s">
        <v>2198</v>
      </c>
      <c r="C2212" s="98" t="s">
        <v>3533</v>
      </c>
      <c r="D2212" s="120" t="s">
        <v>3563</v>
      </c>
      <c r="E2212" s="98">
        <v>2.2707231040564402E-3</v>
      </c>
      <c r="F2212" s="120">
        <v>0</v>
      </c>
      <c r="G2212" s="121">
        <v>728985</v>
      </c>
      <c r="H2212" s="123">
        <v>2.271E-3</v>
      </c>
      <c r="I2212" s="122">
        <v>1655.5249349999999</v>
      </c>
      <c r="J2212" s="124">
        <f t="shared" si="34"/>
        <v>2.2707231040564402</v>
      </c>
      <c r="K2212" s="98" t="s">
        <v>2686</v>
      </c>
    </row>
    <row r="2213" spans="1:11" ht="15" customHeight="1" x14ac:dyDescent="0.2">
      <c r="A2213" s="120" t="s">
        <v>6963</v>
      </c>
      <c r="B2213" s="120" t="s">
        <v>6964</v>
      </c>
      <c r="C2213" s="98" t="s">
        <v>3533</v>
      </c>
      <c r="D2213" s="120" t="s">
        <v>3563</v>
      </c>
      <c r="E2213" s="98">
        <v>6.1710000000000001E-2</v>
      </c>
      <c r="F2213" s="120">
        <v>0</v>
      </c>
      <c r="G2213" s="121">
        <v>31380</v>
      </c>
      <c r="H2213" s="123">
        <v>6.1710000000000001E-2</v>
      </c>
      <c r="I2213" s="122">
        <v>1936.4598000000001</v>
      </c>
      <c r="J2213" s="124">
        <f t="shared" si="34"/>
        <v>61.71</v>
      </c>
      <c r="K2213" s="98" t="s">
        <v>6965</v>
      </c>
    </row>
    <row r="2214" spans="1:11" ht="15" customHeight="1" x14ac:dyDescent="0.2">
      <c r="A2214" s="120" t="s">
        <v>6966</v>
      </c>
      <c r="B2214" s="120" t="s">
        <v>6967</v>
      </c>
      <c r="C2214" s="98" t="s">
        <v>3533</v>
      </c>
      <c r="D2214" s="120" t="s">
        <v>3563</v>
      </c>
      <c r="E2214" s="98">
        <v>0.28999999999999998</v>
      </c>
      <c r="F2214" s="120">
        <v>0</v>
      </c>
      <c r="G2214" s="121">
        <v>16495</v>
      </c>
      <c r="H2214" s="123">
        <v>0.28999999999999998</v>
      </c>
      <c r="I2214" s="122">
        <v>4783.5499999999993</v>
      </c>
      <c r="J2214" s="124">
        <f t="shared" si="34"/>
        <v>290</v>
      </c>
      <c r="K2214" s="98" t="s">
        <v>2375</v>
      </c>
    </row>
    <row r="2215" spans="1:11" ht="15" customHeight="1" x14ac:dyDescent="0.2">
      <c r="A2215" s="120" t="s">
        <v>6968</v>
      </c>
      <c r="B2215" s="120" t="s">
        <v>6381</v>
      </c>
      <c r="C2215" s="98" t="s">
        <v>3533</v>
      </c>
      <c r="D2215" s="120" t="s">
        <v>3563</v>
      </c>
      <c r="E2215" s="98">
        <v>0.32</v>
      </c>
      <c r="F2215" s="120">
        <v>0</v>
      </c>
      <c r="G2215" s="121">
        <v>3925</v>
      </c>
      <c r="H2215" s="123">
        <v>0.32</v>
      </c>
      <c r="I2215" s="122">
        <v>1256</v>
      </c>
      <c r="J2215" s="124">
        <f t="shared" si="34"/>
        <v>320</v>
      </c>
      <c r="K2215" s="98" t="s">
        <v>5571</v>
      </c>
    </row>
    <row r="2216" spans="1:11" ht="15" customHeight="1" x14ac:dyDescent="0.2">
      <c r="A2216" s="120" t="s">
        <v>6969</v>
      </c>
      <c r="B2216" s="120" t="s">
        <v>2184</v>
      </c>
      <c r="C2216" s="98" t="s">
        <v>3533</v>
      </c>
      <c r="D2216" s="120" t="s">
        <v>3563</v>
      </c>
      <c r="E2216" s="98">
        <v>0.28999999999999998</v>
      </c>
      <c r="F2216" s="120">
        <v>0</v>
      </c>
      <c r="G2216" s="121">
        <v>190</v>
      </c>
      <c r="H2216" s="123">
        <v>0.28999999999999998</v>
      </c>
      <c r="I2216" s="122">
        <v>55.099999999999994</v>
      </c>
      <c r="J2216" s="124">
        <f t="shared" si="34"/>
        <v>290</v>
      </c>
      <c r="K2216" s="98" t="s">
        <v>2387</v>
      </c>
    </row>
    <row r="2217" spans="1:11" ht="15" customHeight="1" x14ac:dyDescent="0.2">
      <c r="A2217" s="120" t="s">
        <v>6970</v>
      </c>
      <c r="B2217" s="120" t="s">
        <v>2184</v>
      </c>
      <c r="C2217" s="98" t="s">
        <v>3533</v>
      </c>
      <c r="D2217" s="120" t="s">
        <v>3563</v>
      </c>
      <c r="E2217" s="98">
        <v>4.8000000000000001E-2</v>
      </c>
      <c r="F2217" s="120">
        <v>0</v>
      </c>
      <c r="G2217" s="121">
        <v>9120</v>
      </c>
      <c r="H2217" s="123">
        <v>4.8000000000000001E-2</v>
      </c>
      <c r="I2217" s="122">
        <v>437.76</v>
      </c>
      <c r="J2217" s="124">
        <f t="shared" si="34"/>
        <v>48</v>
      </c>
      <c r="K2217" s="98" t="s">
        <v>2379</v>
      </c>
    </row>
    <row r="2218" spans="1:11" ht="15" customHeight="1" x14ac:dyDescent="0.2">
      <c r="A2218" s="120" t="s">
        <v>6971</v>
      </c>
      <c r="B2218" s="120" t="s">
        <v>2566</v>
      </c>
      <c r="C2218" s="98" t="s">
        <v>3533</v>
      </c>
      <c r="D2218" s="120" t="s">
        <v>3563</v>
      </c>
      <c r="E2218" s="98">
        <v>0.27500000000000002</v>
      </c>
      <c r="F2218" s="120">
        <v>0</v>
      </c>
      <c r="G2218" s="121">
        <v>2405</v>
      </c>
      <c r="H2218" s="123">
        <v>0.27500000000000002</v>
      </c>
      <c r="I2218" s="122">
        <v>661.375</v>
      </c>
      <c r="J2218" s="124">
        <f t="shared" si="34"/>
        <v>275</v>
      </c>
      <c r="K2218" s="98" t="s">
        <v>6972</v>
      </c>
    </row>
    <row r="2219" spans="1:11" ht="15" customHeight="1" x14ac:dyDescent="0.2">
      <c r="A2219" s="120" t="s">
        <v>6973</v>
      </c>
      <c r="B2219" s="120" t="s">
        <v>6974</v>
      </c>
      <c r="C2219" s="98" t="s">
        <v>3533</v>
      </c>
      <c r="D2219" s="120" t="s">
        <v>3563</v>
      </c>
      <c r="E2219" s="98">
        <v>2.0750000000000001E-2</v>
      </c>
      <c r="F2219" s="120">
        <v>200000</v>
      </c>
      <c r="G2219" s="121">
        <v>381030</v>
      </c>
      <c r="H2219" s="123">
        <v>2.0750000000000001E-2</v>
      </c>
      <c r="I2219" s="122">
        <v>7906.3725000000004</v>
      </c>
      <c r="J2219" s="124">
        <f t="shared" si="34"/>
        <v>20.75</v>
      </c>
      <c r="K2219" s="98" t="s">
        <v>2567</v>
      </c>
    </row>
    <row r="2220" spans="1:11" ht="15" customHeight="1" x14ac:dyDescent="0.2">
      <c r="A2220" s="120" t="s">
        <v>6975</v>
      </c>
      <c r="B2220" s="120" t="s">
        <v>2184</v>
      </c>
      <c r="C2220" s="98" t="s">
        <v>3533</v>
      </c>
      <c r="D2220" s="120" t="s">
        <v>3563</v>
      </c>
      <c r="E2220" s="98">
        <v>0.109</v>
      </c>
      <c r="F2220" s="120">
        <v>0</v>
      </c>
      <c r="G2220" s="121">
        <v>40730</v>
      </c>
      <c r="H2220" s="123">
        <v>0.109</v>
      </c>
      <c r="I2220" s="122">
        <v>4439.57</v>
      </c>
      <c r="J2220" s="124">
        <f t="shared" si="34"/>
        <v>109</v>
      </c>
      <c r="K2220" s="98" t="s">
        <v>6976</v>
      </c>
    </row>
    <row r="2221" spans="1:11" ht="15" customHeight="1" x14ac:dyDescent="0.2">
      <c r="A2221" s="120" t="s">
        <v>6977</v>
      </c>
      <c r="B2221" s="120" t="s">
        <v>6743</v>
      </c>
      <c r="C2221" s="98" t="s">
        <v>3533</v>
      </c>
      <c r="D2221" s="120" t="s">
        <v>3563</v>
      </c>
      <c r="E2221" s="98">
        <v>3.12354497354497E-2</v>
      </c>
      <c r="F2221" s="120">
        <v>0</v>
      </c>
      <c r="G2221" s="121">
        <v>40825</v>
      </c>
      <c r="H2221" s="123">
        <v>3.1234999999999999E-2</v>
      </c>
      <c r="I2221" s="122">
        <v>1275.1688749999998</v>
      </c>
      <c r="J2221" s="124">
        <f t="shared" si="34"/>
        <v>31.235449735449698</v>
      </c>
      <c r="K2221" s="98" t="s">
        <v>6978</v>
      </c>
    </row>
    <row r="2222" spans="1:11" ht="15" customHeight="1" x14ac:dyDescent="0.2">
      <c r="A2222" s="120" t="s">
        <v>6979</v>
      </c>
      <c r="B2222" s="120" t="s">
        <v>2254</v>
      </c>
      <c r="C2222" s="98" t="s">
        <v>3533</v>
      </c>
      <c r="D2222" s="120" t="s">
        <v>3563</v>
      </c>
      <c r="E2222" s="98">
        <v>1.7999999999999999E-2</v>
      </c>
      <c r="F2222" s="120">
        <v>0</v>
      </c>
      <c r="G2222" s="121">
        <v>14155</v>
      </c>
      <c r="H2222" s="123">
        <v>1.7999999999999999E-2</v>
      </c>
      <c r="I2222" s="122">
        <v>254.79</v>
      </c>
      <c r="J2222" s="124">
        <f t="shared" si="34"/>
        <v>18</v>
      </c>
      <c r="K2222" s="98" t="s">
        <v>2466</v>
      </c>
    </row>
    <row r="2223" spans="1:11" ht="15" customHeight="1" x14ac:dyDescent="0.2">
      <c r="A2223" s="120" t="s">
        <v>6980</v>
      </c>
      <c r="B2223" s="120" t="s">
        <v>2254</v>
      </c>
      <c r="C2223" s="98" t="s">
        <v>3533</v>
      </c>
      <c r="D2223" s="120" t="s">
        <v>3563</v>
      </c>
      <c r="E2223" s="98">
        <v>7.8E-2</v>
      </c>
      <c r="F2223" s="120">
        <v>0</v>
      </c>
      <c r="G2223" s="121">
        <v>2866</v>
      </c>
      <c r="H2223" s="123">
        <v>7.8E-2</v>
      </c>
      <c r="I2223" s="122">
        <v>223.548</v>
      </c>
      <c r="J2223" s="124">
        <f t="shared" si="34"/>
        <v>78</v>
      </c>
      <c r="K2223" s="98" t="s">
        <v>4930</v>
      </c>
    </row>
    <row r="2224" spans="1:11" ht="15" customHeight="1" x14ac:dyDescent="0.2">
      <c r="A2224" s="120" t="s">
        <v>6981</v>
      </c>
      <c r="B2224" s="120" t="s">
        <v>2184</v>
      </c>
      <c r="C2224" s="98" t="s">
        <v>3533</v>
      </c>
      <c r="D2224" s="120" t="s">
        <v>3563</v>
      </c>
      <c r="E2224" s="98">
        <v>0.33500000000000002</v>
      </c>
      <c r="F2224" s="120">
        <v>0</v>
      </c>
      <c r="G2224" s="121">
        <v>12885</v>
      </c>
      <c r="H2224" s="123">
        <v>0.33500000000000002</v>
      </c>
      <c r="I2224" s="122">
        <v>4316.4750000000004</v>
      </c>
      <c r="J2224" s="124">
        <f t="shared" si="34"/>
        <v>335</v>
      </c>
      <c r="K2224" s="98" t="s">
        <v>2379</v>
      </c>
    </row>
    <row r="2225" spans="1:11" ht="15" customHeight="1" x14ac:dyDescent="0.2">
      <c r="A2225" s="120" t="s">
        <v>6982</v>
      </c>
      <c r="B2225" s="120" t="s">
        <v>6983</v>
      </c>
      <c r="C2225" s="98" t="s">
        <v>3533</v>
      </c>
      <c r="D2225" s="120" t="s">
        <v>3563</v>
      </c>
      <c r="E2225" s="98">
        <v>0.16800000000000001</v>
      </c>
      <c r="F2225" s="120">
        <v>0</v>
      </c>
      <c r="G2225" s="121">
        <v>3185</v>
      </c>
      <c r="H2225" s="123">
        <v>0.16800000000000001</v>
      </c>
      <c r="I2225" s="122">
        <v>535.08000000000004</v>
      </c>
      <c r="J2225" s="124">
        <f t="shared" si="34"/>
        <v>168</v>
      </c>
      <c r="K2225" s="98" t="s">
        <v>5571</v>
      </c>
    </row>
    <row r="2226" spans="1:11" ht="15" customHeight="1" x14ac:dyDescent="0.2">
      <c r="A2226" s="120" t="s">
        <v>6984</v>
      </c>
      <c r="B2226" s="120" t="s">
        <v>2198</v>
      </c>
      <c r="C2226" s="98" t="s">
        <v>3533</v>
      </c>
      <c r="D2226" s="120" t="s">
        <v>3563</v>
      </c>
      <c r="E2226" s="98">
        <v>7.9365079365079395E-3</v>
      </c>
      <c r="F2226" s="120">
        <v>0</v>
      </c>
      <c r="G2226" s="121">
        <v>17195</v>
      </c>
      <c r="H2226" s="123">
        <v>7.9369999999999996E-3</v>
      </c>
      <c r="I2226" s="122">
        <v>136.47671499999998</v>
      </c>
      <c r="J2226" s="124">
        <f t="shared" si="34"/>
        <v>7.9365079365079394</v>
      </c>
      <c r="K2226" s="98" t="s">
        <v>2686</v>
      </c>
    </row>
    <row r="2227" spans="1:11" ht="15" customHeight="1" x14ac:dyDescent="0.2">
      <c r="A2227" s="120" t="s">
        <v>6985</v>
      </c>
      <c r="B2227" s="120" t="s">
        <v>5696</v>
      </c>
      <c r="C2227" s="98" t="s">
        <v>3533</v>
      </c>
      <c r="D2227" s="120" t="s">
        <v>3563</v>
      </c>
      <c r="E2227" s="98">
        <v>3.7999999999999999E-2</v>
      </c>
      <c r="F2227" s="120">
        <v>0</v>
      </c>
      <c r="G2227" s="121">
        <v>15300</v>
      </c>
      <c r="H2227" s="123">
        <v>3.7999999999999999E-2</v>
      </c>
      <c r="I2227" s="122">
        <v>581.4</v>
      </c>
      <c r="J2227" s="124">
        <f t="shared" si="34"/>
        <v>38</v>
      </c>
      <c r="K2227" s="98" t="s">
        <v>2466</v>
      </c>
    </row>
    <row r="2228" spans="1:11" ht="15" customHeight="1" x14ac:dyDescent="0.2">
      <c r="A2228" s="120" t="s">
        <v>6986</v>
      </c>
      <c r="B2228" s="120" t="s">
        <v>5814</v>
      </c>
      <c r="C2228" s="98" t="s">
        <v>3533</v>
      </c>
      <c r="D2228" s="120" t="s">
        <v>3563</v>
      </c>
      <c r="E2228" s="98">
        <v>2.5672799999999999E-2</v>
      </c>
      <c r="F2228" s="120">
        <v>0</v>
      </c>
      <c r="G2228" s="121">
        <v>10960</v>
      </c>
      <c r="H2228" s="123">
        <v>2.5673000000000001E-2</v>
      </c>
      <c r="I2228" s="122">
        <v>281.37608</v>
      </c>
      <c r="J2228" s="124">
        <f t="shared" si="34"/>
        <v>25.672799999999999</v>
      </c>
      <c r="K2228" s="98" t="s">
        <v>2387</v>
      </c>
    </row>
    <row r="2229" spans="1:11" ht="15" customHeight="1" x14ac:dyDescent="0.2">
      <c r="A2229" s="120" t="s">
        <v>6987</v>
      </c>
      <c r="B2229" s="120" t="s">
        <v>4720</v>
      </c>
      <c r="C2229" s="98" t="s">
        <v>3533</v>
      </c>
      <c r="D2229" s="120" t="s">
        <v>3563</v>
      </c>
      <c r="E2229" s="98">
        <v>1.6093474426807801E-2</v>
      </c>
      <c r="F2229" s="120">
        <v>0</v>
      </c>
      <c r="G2229" s="121">
        <v>6410</v>
      </c>
      <c r="H2229" s="123">
        <v>1.6093E-2</v>
      </c>
      <c r="I2229" s="122">
        <v>103.15613</v>
      </c>
      <c r="J2229" s="124">
        <f t="shared" si="34"/>
        <v>16.093474426807802</v>
      </c>
      <c r="K2229" s="98" t="s">
        <v>5298</v>
      </c>
    </row>
    <row r="2230" spans="1:11" ht="15" customHeight="1" x14ac:dyDescent="0.2">
      <c r="A2230" s="120" t="s">
        <v>6988</v>
      </c>
      <c r="B2230" s="120" t="s">
        <v>4720</v>
      </c>
      <c r="C2230" s="98" t="s">
        <v>3533</v>
      </c>
      <c r="D2230" s="120" t="s">
        <v>3563</v>
      </c>
      <c r="E2230" s="98">
        <v>1.5652557319223999E-2</v>
      </c>
      <c r="F2230" s="120">
        <v>0</v>
      </c>
      <c r="G2230" s="121">
        <v>6410</v>
      </c>
      <c r="H2230" s="123">
        <v>1.5653E-2</v>
      </c>
      <c r="I2230" s="122">
        <v>100.33573</v>
      </c>
      <c r="J2230" s="124">
        <f t="shared" si="34"/>
        <v>15.652557319223998</v>
      </c>
      <c r="K2230" s="98" t="s">
        <v>5298</v>
      </c>
    </row>
    <row r="2231" spans="1:11" ht="15" customHeight="1" x14ac:dyDescent="0.2">
      <c r="A2231" s="120" t="s">
        <v>6989</v>
      </c>
      <c r="B2231" s="120" t="s">
        <v>4720</v>
      </c>
      <c r="C2231" s="98" t="s">
        <v>3533</v>
      </c>
      <c r="D2231" s="120" t="s">
        <v>3563</v>
      </c>
      <c r="E2231" s="98">
        <v>1.6313932980599601E-2</v>
      </c>
      <c r="F2231" s="120">
        <v>0</v>
      </c>
      <c r="G2231" s="121">
        <v>6410</v>
      </c>
      <c r="H2231" s="123">
        <v>1.6313999999999999E-2</v>
      </c>
      <c r="I2231" s="122">
        <v>104.57274</v>
      </c>
      <c r="J2231" s="124">
        <f t="shared" si="34"/>
        <v>16.313932980599603</v>
      </c>
      <c r="K2231" s="98" t="s">
        <v>5298</v>
      </c>
    </row>
    <row r="2232" spans="1:11" ht="15" customHeight="1" x14ac:dyDescent="0.2">
      <c r="A2232" s="120" t="s">
        <v>6990</v>
      </c>
      <c r="B2232" s="120" t="s">
        <v>4688</v>
      </c>
      <c r="C2232" s="98" t="s">
        <v>3533</v>
      </c>
      <c r="D2232" s="120" t="s">
        <v>3563</v>
      </c>
      <c r="E2232" s="98">
        <v>6.5276663993584602E-2</v>
      </c>
      <c r="F2232" s="120">
        <v>0</v>
      </c>
      <c r="G2232" s="121">
        <v>0</v>
      </c>
      <c r="H2232" s="123">
        <v>6.5277000000000002E-2</v>
      </c>
      <c r="I2232" s="122">
        <v>0</v>
      </c>
      <c r="J2232" s="124">
        <f t="shared" si="34"/>
        <v>65.276663993584606</v>
      </c>
      <c r="K2232" s="98" t="s">
        <v>6991</v>
      </c>
    </row>
    <row r="2233" spans="1:11" ht="15" customHeight="1" x14ac:dyDescent="0.2">
      <c r="A2233" s="120" t="s">
        <v>6992</v>
      </c>
      <c r="B2233" s="120" t="s">
        <v>4720</v>
      </c>
      <c r="C2233" s="98" t="s">
        <v>3533</v>
      </c>
      <c r="D2233" s="120" t="s">
        <v>3563</v>
      </c>
      <c r="E2233" s="98">
        <v>2.7998236331569702E-2</v>
      </c>
      <c r="F2233" s="120">
        <v>0</v>
      </c>
      <c r="G2233" s="121">
        <v>1124900</v>
      </c>
      <c r="H2233" s="123">
        <v>2.7956000000000002E-2</v>
      </c>
      <c r="I2233" s="122">
        <v>31447.704400000002</v>
      </c>
      <c r="J2233" s="124">
        <f t="shared" si="34"/>
        <v>27.9982363315697</v>
      </c>
      <c r="K2233" s="98" t="s">
        <v>6993</v>
      </c>
    </row>
    <row r="2234" spans="1:11" ht="15" customHeight="1" x14ac:dyDescent="0.2">
      <c r="A2234" s="120" t="s">
        <v>6994</v>
      </c>
      <c r="B2234" s="120" t="s">
        <v>6743</v>
      </c>
      <c r="C2234" s="98" t="s">
        <v>3533</v>
      </c>
      <c r="D2234" s="120" t="s">
        <v>3563</v>
      </c>
      <c r="E2234" s="98">
        <v>2.4105820105820099E-2</v>
      </c>
      <c r="F2234" s="120">
        <v>0</v>
      </c>
      <c r="G2234" s="121">
        <v>1272545</v>
      </c>
      <c r="H2234" s="123">
        <v>2.4486999999999998E-2</v>
      </c>
      <c r="I2234" s="122">
        <v>31160.809415</v>
      </c>
      <c r="J2234" s="124">
        <f t="shared" si="34"/>
        <v>24.105820105820101</v>
      </c>
      <c r="K2234" s="98" t="s">
        <v>6995</v>
      </c>
    </row>
    <row r="2235" spans="1:11" ht="15" customHeight="1" x14ac:dyDescent="0.2">
      <c r="A2235" s="120" t="s">
        <v>6996</v>
      </c>
      <c r="B2235" s="120" t="s">
        <v>2198</v>
      </c>
      <c r="C2235" s="98" t="s">
        <v>3533</v>
      </c>
      <c r="D2235" s="120" t="s">
        <v>3563</v>
      </c>
      <c r="E2235" s="98">
        <v>2.35890652557319E-3</v>
      </c>
      <c r="F2235" s="120">
        <v>0</v>
      </c>
      <c r="G2235" s="121">
        <v>267190</v>
      </c>
      <c r="H2235" s="123">
        <v>2.359E-3</v>
      </c>
      <c r="I2235" s="122">
        <v>630.30120999999997</v>
      </c>
      <c r="J2235" s="124">
        <f t="shared" si="34"/>
        <v>2.35890652557319</v>
      </c>
      <c r="K2235" s="98" t="s">
        <v>5298</v>
      </c>
    </row>
    <row r="2236" spans="1:11" ht="15" customHeight="1" x14ac:dyDescent="0.2">
      <c r="A2236" s="120" t="s">
        <v>6997</v>
      </c>
      <c r="B2236" s="120" t="s">
        <v>3532</v>
      </c>
      <c r="C2236" s="98" t="s">
        <v>3533</v>
      </c>
      <c r="D2236" s="120" t="s">
        <v>3563</v>
      </c>
      <c r="E2236" s="98">
        <v>3.1327160493827201E-2</v>
      </c>
      <c r="F2236" s="120">
        <v>0</v>
      </c>
      <c r="G2236" s="121">
        <v>7050</v>
      </c>
      <c r="H2236" s="123">
        <v>3.1328000000000002E-2</v>
      </c>
      <c r="I2236" s="122">
        <v>220.86240000000001</v>
      </c>
      <c r="J2236" s="124">
        <f t="shared" si="34"/>
        <v>31.327160493827201</v>
      </c>
    </row>
    <row r="2237" spans="1:11" ht="15" customHeight="1" x14ac:dyDescent="0.2">
      <c r="A2237" s="120" t="s">
        <v>6998</v>
      </c>
      <c r="B2237" s="120" t="s">
        <v>3532</v>
      </c>
      <c r="C2237" s="98" t="s">
        <v>3533</v>
      </c>
      <c r="D2237" s="120" t="s">
        <v>3563</v>
      </c>
      <c r="E2237" s="98">
        <v>0</v>
      </c>
      <c r="F2237" s="120">
        <v>0</v>
      </c>
      <c r="G2237" s="121">
        <v>0</v>
      </c>
      <c r="H2237" s="123">
        <v>0</v>
      </c>
      <c r="I2237" s="122">
        <v>0</v>
      </c>
      <c r="J2237" s="124">
        <f t="shared" si="34"/>
        <v>0</v>
      </c>
    </row>
    <row r="2238" spans="1:11" ht="15" customHeight="1" x14ac:dyDescent="0.2">
      <c r="A2238" s="120" t="s">
        <v>6999</v>
      </c>
      <c r="B2238" s="120" t="s">
        <v>3532</v>
      </c>
      <c r="C2238" s="98" t="s">
        <v>3532</v>
      </c>
      <c r="D2238" s="120" t="s">
        <v>3563</v>
      </c>
      <c r="E2238" s="98">
        <v>0</v>
      </c>
      <c r="F2238" s="120">
        <v>0</v>
      </c>
      <c r="G2238" s="121">
        <v>0</v>
      </c>
      <c r="H2238" s="123">
        <v>0</v>
      </c>
      <c r="I2238" s="122">
        <v>0</v>
      </c>
      <c r="J2238" s="124">
        <f t="shared" si="34"/>
        <v>0</v>
      </c>
    </row>
    <row r="2239" spans="1:11" ht="15" customHeight="1" x14ac:dyDescent="0.2">
      <c r="A2239" s="120" t="s">
        <v>7000</v>
      </c>
      <c r="B2239" s="120" t="s">
        <v>6836</v>
      </c>
      <c r="C2239" s="98" t="s">
        <v>3533</v>
      </c>
      <c r="D2239" s="120" t="s">
        <v>3563</v>
      </c>
      <c r="E2239" s="98">
        <v>0</v>
      </c>
      <c r="F2239" s="120">
        <v>0</v>
      </c>
      <c r="G2239" s="121">
        <v>0</v>
      </c>
      <c r="H2239" s="123">
        <v>0</v>
      </c>
      <c r="I2239" s="122">
        <v>0</v>
      </c>
      <c r="J2239" s="124">
        <f t="shared" si="34"/>
        <v>0</v>
      </c>
    </row>
    <row r="2240" spans="1:11" ht="15" customHeight="1" x14ac:dyDescent="0.2">
      <c r="A2240" s="120" t="s">
        <v>7001</v>
      </c>
      <c r="B2240" s="120" t="s">
        <v>3532</v>
      </c>
      <c r="C2240" s="98" t="s">
        <v>3533</v>
      </c>
      <c r="D2240" s="120" t="s">
        <v>3563</v>
      </c>
      <c r="E2240" s="98">
        <v>0</v>
      </c>
      <c r="F2240" s="120">
        <v>0</v>
      </c>
      <c r="G2240" s="121">
        <v>0</v>
      </c>
      <c r="H2240" s="123">
        <v>0</v>
      </c>
      <c r="I2240" s="122">
        <v>0</v>
      </c>
      <c r="J2240" s="124">
        <f t="shared" si="34"/>
        <v>0</v>
      </c>
    </row>
    <row r="2241" spans="1:11" ht="15" customHeight="1" x14ac:dyDescent="0.2">
      <c r="A2241" s="120" t="s">
        <v>7002</v>
      </c>
      <c r="B2241" s="120" t="s">
        <v>7003</v>
      </c>
      <c r="C2241" s="98" t="s">
        <v>3533</v>
      </c>
      <c r="D2241" s="120" t="s">
        <v>3563</v>
      </c>
      <c r="E2241" s="98">
        <v>0</v>
      </c>
      <c r="F2241" s="120">
        <v>0</v>
      </c>
      <c r="G2241" s="121">
        <v>0</v>
      </c>
      <c r="H2241" s="123">
        <v>0</v>
      </c>
      <c r="I2241" s="122">
        <v>0</v>
      </c>
      <c r="J2241" s="124">
        <f t="shared" si="34"/>
        <v>0</v>
      </c>
    </row>
    <row r="2242" spans="1:11" ht="15" customHeight="1" x14ac:dyDescent="0.2">
      <c r="A2242" s="120" t="s">
        <v>7004</v>
      </c>
      <c r="B2242" s="120" t="s">
        <v>6663</v>
      </c>
      <c r="C2242" s="98" t="s">
        <v>3533</v>
      </c>
      <c r="D2242" s="120" t="s">
        <v>3563</v>
      </c>
      <c r="E2242" s="98">
        <v>0</v>
      </c>
      <c r="F2242" s="120">
        <v>0</v>
      </c>
      <c r="G2242" s="121">
        <v>0</v>
      </c>
      <c r="H2242" s="123">
        <v>0</v>
      </c>
      <c r="I2242" s="122">
        <v>0</v>
      </c>
      <c r="J2242" s="124">
        <f t="shared" ref="J2242:J2305" si="35">IF(D2242="gm", E2242*1000,+E2242)</f>
        <v>0</v>
      </c>
    </row>
    <row r="2243" spans="1:11" ht="15" customHeight="1" x14ac:dyDescent="0.2">
      <c r="A2243" s="120" t="s">
        <v>7005</v>
      </c>
      <c r="B2243" s="120" t="s">
        <v>6387</v>
      </c>
      <c r="C2243" s="98" t="s">
        <v>3533</v>
      </c>
      <c r="D2243" s="120" t="s">
        <v>3563</v>
      </c>
      <c r="E2243" s="98">
        <v>0</v>
      </c>
      <c r="F2243" s="120">
        <v>0</v>
      </c>
      <c r="G2243" s="121">
        <v>0</v>
      </c>
      <c r="H2243" s="123">
        <v>0</v>
      </c>
      <c r="I2243" s="122">
        <v>0</v>
      </c>
      <c r="J2243" s="124">
        <f t="shared" si="35"/>
        <v>0</v>
      </c>
    </row>
    <row r="2244" spans="1:11" ht="15" customHeight="1" x14ac:dyDescent="0.2">
      <c r="A2244" s="120" t="s">
        <v>7006</v>
      </c>
      <c r="B2244" s="120" t="s">
        <v>2184</v>
      </c>
      <c r="C2244" s="98" t="s">
        <v>3533</v>
      </c>
      <c r="D2244" s="120" t="s">
        <v>3563</v>
      </c>
      <c r="E2244" s="98">
        <v>0.02</v>
      </c>
      <c r="F2244" s="120">
        <v>0</v>
      </c>
      <c r="G2244" s="121">
        <v>15110</v>
      </c>
      <c r="H2244" s="123">
        <v>0.02</v>
      </c>
      <c r="I2244" s="122">
        <v>302.2</v>
      </c>
      <c r="J2244" s="124">
        <f t="shared" si="35"/>
        <v>20</v>
      </c>
    </row>
    <row r="2245" spans="1:11" ht="15" customHeight="1" x14ac:dyDescent="0.2">
      <c r="A2245" s="120" t="s">
        <v>7007</v>
      </c>
      <c r="B2245" s="120" t="s">
        <v>2184</v>
      </c>
      <c r="C2245" s="98" t="s">
        <v>3533</v>
      </c>
      <c r="D2245" s="120" t="s">
        <v>3563</v>
      </c>
      <c r="E2245" s="98">
        <v>0</v>
      </c>
      <c r="F2245" s="120">
        <v>0</v>
      </c>
      <c r="G2245" s="121">
        <v>0</v>
      </c>
      <c r="H2245" s="123">
        <v>0</v>
      </c>
      <c r="I2245" s="122">
        <v>0</v>
      </c>
      <c r="J2245" s="124">
        <f t="shared" si="35"/>
        <v>0</v>
      </c>
    </row>
    <row r="2246" spans="1:11" ht="15" customHeight="1" x14ac:dyDescent="0.2">
      <c r="A2246" s="120" t="s">
        <v>7008</v>
      </c>
      <c r="B2246" s="120" t="s">
        <v>5906</v>
      </c>
      <c r="C2246" s="98" t="s">
        <v>3533</v>
      </c>
      <c r="D2246" s="120" t="s">
        <v>3563</v>
      </c>
      <c r="E2246" s="98">
        <v>0</v>
      </c>
      <c r="F2246" s="120">
        <v>0</v>
      </c>
      <c r="G2246" s="121">
        <v>0</v>
      </c>
      <c r="H2246" s="123">
        <v>0</v>
      </c>
      <c r="I2246" s="122">
        <v>0</v>
      </c>
      <c r="J2246" s="124">
        <f t="shared" si="35"/>
        <v>0</v>
      </c>
    </row>
    <row r="2247" spans="1:11" ht="15" customHeight="1" x14ac:dyDescent="0.2">
      <c r="A2247" s="120" t="s">
        <v>7009</v>
      </c>
      <c r="B2247" s="120" t="s">
        <v>7010</v>
      </c>
      <c r="C2247" s="98" t="s">
        <v>3533</v>
      </c>
      <c r="D2247" s="120" t="s">
        <v>3563</v>
      </c>
      <c r="E2247" s="98">
        <v>0</v>
      </c>
      <c r="F2247" s="120">
        <v>0</v>
      </c>
      <c r="G2247" s="121">
        <v>0</v>
      </c>
      <c r="H2247" s="123">
        <v>0</v>
      </c>
      <c r="I2247" s="122">
        <v>0</v>
      </c>
      <c r="J2247" s="124">
        <f t="shared" si="35"/>
        <v>0</v>
      </c>
    </row>
    <row r="2248" spans="1:11" ht="15" customHeight="1" x14ac:dyDescent="0.2">
      <c r="A2248" s="120" t="s">
        <v>7011</v>
      </c>
      <c r="B2248" s="120" t="s">
        <v>6547</v>
      </c>
      <c r="C2248" s="98" t="s">
        <v>3533</v>
      </c>
      <c r="D2248" s="120" t="s">
        <v>3563</v>
      </c>
      <c r="E2248" s="98">
        <v>3.2989999999999998E-2</v>
      </c>
      <c r="F2248" s="120">
        <v>0</v>
      </c>
      <c r="G2248" s="121">
        <v>225000</v>
      </c>
      <c r="H2248" s="123">
        <v>3.2989999999999998E-2</v>
      </c>
      <c r="I2248" s="122">
        <v>7422.75</v>
      </c>
      <c r="J2248" s="124">
        <f t="shared" si="35"/>
        <v>32.99</v>
      </c>
    </row>
    <row r="2249" spans="1:11" ht="15" customHeight="1" x14ac:dyDescent="0.2">
      <c r="A2249" s="120" t="s">
        <v>7012</v>
      </c>
      <c r="B2249" s="120" t="s">
        <v>7013</v>
      </c>
      <c r="C2249" s="98" t="s">
        <v>3533</v>
      </c>
      <c r="D2249" s="120" t="s">
        <v>3563</v>
      </c>
      <c r="E2249" s="98">
        <v>0</v>
      </c>
      <c r="F2249" s="120">
        <v>0</v>
      </c>
      <c r="G2249" s="121">
        <v>0</v>
      </c>
      <c r="H2249" s="123">
        <v>0</v>
      </c>
      <c r="I2249" s="122">
        <v>0</v>
      </c>
      <c r="J2249" s="124">
        <f t="shared" si="35"/>
        <v>0</v>
      </c>
    </row>
    <row r="2250" spans="1:11" ht="15" customHeight="1" x14ac:dyDescent="0.2">
      <c r="A2250" s="120" t="s">
        <v>7014</v>
      </c>
      <c r="B2250" s="120" t="s">
        <v>6643</v>
      </c>
      <c r="C2250" s="98" t="s">
        <v>3533</v>
      </c>
      <c r="D2250" s="120" t="s">
        <v>3563</v>
      </c>
      <c r="E2250" s="98">
        <v>0</v>
      </c>
      <c r="F2250" s="120">
        <v>0</v>
      </c>
      <c r="G2250" s="121">
        <v>0</v>
      </c>
      <c r="H2250" s="123">
        <v>0</v>
      </c>
      <c r="I2250" s="122">
        <v>0</v>
      </c>
      <c r="J2250" s="124">
        <f t="shared" si="35"/>
        <v>0</v>
      </c>
    </row>
    <row r="2251" spans="1:11" ht="15" customHeight="1" x14ac:dyDescent="0.2">
      <c r="A2251" s="120" t="s">
        <v>7015</v>
      </c>
      <c r="B2251" s="120" t="s">
        <v>3532</v>
      </c>
      <c r="C2251" s="98" t="s">
        <v>3533</v>
      </c>
      <c r="D2251" s="120" t="s">
        <v>3563</v>
      </c>
      <c r="E2251" s="98">
        <v>0</v>
      </c>
      <c r="F2251" s="120">
        <v>0</v>
      </c>
      <c r="G2251" s="121">
        <v>0</v>
      </c>
      <c r="H2251" s="123">
        <v>0</v>
      </c>
      <c r="I2251" s="122">
        <v>0</v>
      </c>
      <c r="J2251" s="124">
        <f t="shared" si="35"/>
        <v>0</v>
      </c>
    </row>
    <row r="2252" spans="1:11" ht="15" customHeight="1" x14ac:dyDescent="0.2">
      <c r="A2252" s="120" t="s">
        <v>7016</v>
      </c>
      <c r="B2252" s="120" t="s">
        <v>6581</v>
      </c>
      <c r="C2252" s="98" t="s">
        <v>3533</v>
      </c>
      <c r="D2252" s="120" t="s">
        <v>3563</v>
      </c>
      <c r="E2252" s="98">
        <v>0</v>
      </c>
      <c r="F2252" s="120">
        <v>0</v>
      </c>
      <c r="G2252" s="121">
        <v>0</v>
      </c>
      <c r="H2252" s="123">
        <v>0</v>
      </c>
      <c r="I2252" s="122">
        <v>0</v>
      </c>
      <c r="J2252" s="124">
        <f t="shared" si="35"/>
        <v>0</v>
      </c>
    </row>
    <row r="2253" spans="1:11" ht="15" customHeight="1" x14ac:dyDescent="0.2">
      <c r="A2253" s="120" t="s">
        <v>2967</v>
      </c>
      <c r="B2253" s="120" t="s">
        <v>3532</v>
      </c>
      <c r="C2253" s="98" t="s">
        <v>3533</v>
      </c>
      <c r="D2253" s="120" t="s">
        <v>3563</v>
      </c>
      <c r="E2253" s="98">
        <v>0</v>
      </c>
      <c r="F2253" s="120">
        <v>0</v>
      </c>
      <c r="G2253" s="121">
        <v>0</v>
      </c>
      <c r="H2253" s="123">
        <v>0</v>
      </c>
      <c r="I2253" s="122">
        <v>0</v>
      </c>
      <c r="J2253" s="124">
        <f t="shared" si="35"/>
        <v>0</v>
      </c>
    </row>
    <row r="2254" spans="1:11" ht="15" customHeight="1" x14ac:dyDescent="0.2">
      <c r="A2254" s="120" t="s">
        <v>7017</v>
      </c>
      <c r="B2254" s="120" t="s">
        <v>6604</v>
      </c>
      <c r="C2254" s="98" t="s">
        <v>3533</v>
      </c>
      <c r="D2254" s="120" t="s">
        <v>3563</v>
      </c>
      <c r="E2254" s="98">
        <v>0</v>
      </c>
      <c r="F2254" s="120">
        <v>0</v>
      </c>
      <c r="G2254" s="121">
        <v>0</v>
      </c>
      <c r="H2254" s="123">
        <v>0</v>
      </c>
      <c r="I2254" s="122">
        <v>0</v>
      </c>
      <c r="J2254" s="124">
        <f t="shared" si="35"/>
        <v>0</v>
      </c>
    </row>
    <row r="2255" spans="1:11" ht="15" customHeight="1" x14ac:dyDescent="0.2">
      <c r="A2255" s="120" t="s">
        <v>7018</v>
      </c>
      <c r="B2255" s="120" t="s">
        <v>2566</v>
      </c>
      <c r="C2255" s="98" t="s">
        <v>3533</v>
      </c>
      <c r="D2255" s="120" t="s">
        <v>3563</v>
      </c>
      <c r="E2255" s="98">
        <v>0</v>
      </c>
      <c r="F2255" s="120">
        <v>0</v>
      </c>
      <c r="G2255" s="121">
        <v>0</v>
      </c>
      <c r="H2255" s="123">
        <v>0</v>
      </c>
      <c r="I2255" s="122">
        <v>0</v>
      </c>
      <c r="J2255" s="124">
        <f t="shared" si="35"/>
        <v>0</v>
      </c>
      <c r="K2255" s="98" t="s">
        <v>7019</v>
      </c>
    </row>
    <row r="2256" spans="1:11" ht="15" customHeight="1" x14ac:dyDescent="0.2">
      <c r="A2256" s="120" t="s">
        <v>7020</v>
      </c>
      <c r="B2256" s="120" t="s">
        <v>5216</v>
      </c>
      <c r="C2256" s="98" t="s">
        <v>3533</v>
      </c>
      <c r="D2256" s="120" t="s">
        <v>3563</v>
      </c>
      <c r="E2256" s="98">
        <v>0.01</v>
      </c>
      <c r="F2256" s="120">
        <v>0</v>
      </c>
      <c r="G2256" s="121">
        <v>24130</v>
      </c>
      <c r="H2256" s="123">
        <v>0.01</v>
      </c>
      <c r="I2256" s="122">
        <v>241.3</v>
      </c>
      <c r="J2256" s="124">
        <f t="shared" si="35"/>
        <v>10</v>
      </c>
      <c r="K2256" s="98" t="s">
        <v>5111</v>
      </c>
    </row>
    <row r="2257" spans="1:11" ht="15" customHeight="1" x14ac:dyDescent="0.2">
      <c r="A2257" s="120" t="s">
        <v>7021</v>
      </c>
      <c r="B2257" s="120" t="s">
        <v>5216</v>
      </c>
      <c r="C2257" s="98" t="s">
        <v>3533</v>
      </c>
      <c r="D2257" s="120" t="s">
        <v>3563</v>
      </c>
      <c r="E2257" s="98">
        <v>1.4E-2</v>
      </c>
      <c r="F2257" s="120">
        <v>0</v>
      </c>
      <c r="G2257" s="121">
        <v>24420</v>
      </c>
      <c r="H2257" s="123">
        <v>1.4E-2</v>
      </c>
      <c r="I2257" s="122">
        <v>341.88</v>
      </c>
      <c r="J2257" s="124">
        <f t="shared" si="35"/>
        <v>14</v>
      </c>
      <c r="K2257" s="98" t="s">
        <v>5111</v>
      </c>
    </row>
    <row r="2258" spans="1:11" ht="15" customHeight="1" x14ac:dyDescent="0.2">
      <c r="A2258" s="120" t="s">
        <v>7022</v>
      </c>
      <c r="B2258" s="120" t="s">
        <v>6542</v>
      </c>
      <c r="C2258" s="98" t="s">
        <v>3533</v>
      </c>
      <c r="D2258" s="120" t="s">
        <v>3563</v>
      </c>
      <c r="E2258" s="98">
        <v>0</v>
      </c>
      <c r="F2258" s="120">
        <v>0</v>
      </c>
      <c r="G2258" s="121">
        <v>0</v>
      </c>
      <c r="H2258" s="123">
        <v>0</v>
      </c>
      <c r="I2258" s="122">
        <v>0</v>
      </c>
      <c r="J2258" s="124">
        <f t="shared" si="35"/>
        <v>0</v>
      </c>
      <c r="K2258" s="98" t="s">
        <v>5111</v>
      </c>
    </row>
    <row r="2259" spans="1:11" ht="15" customHeight="1" x14ac:dyDescent="0.2">
      <c r="A2259" s="120" t="s">
        <v>7023</v>
      </c>
      <c r="B2259" s="120" t="s">
        <v>7024</v>
      </c>
      <c r="C2259" s="98" t="s">
        <v>3533</v>
      </c>
      <c r="D2259" s="120" t="s">
        <v>3534</v>
      </c>
      <c r="E2259" s="98">
        <v>5.9700000000000003E-2</v>
      </c>
      <c r="F2259" s="120">
        <v>0</v>
      </c>
      <c r="G2259" s="121">
        <v>2451</v>
      </c>
      <c r="H2259" s="123">
        <v>5.9700000000000003E-2</v>
      </c>
      <c r="I2259" s="122">
        <v>146.32470000000001</v>
      </c>
      <c r="J2259" s="124">
        <f t="shared" si="35"/>
        <v>5.9700000000000003E-2</v>
      </c>
      <c r="K2259" s="98" t="s">
        <v>7025</v>
      </c>
    </row>
    <row r="2260" spans="1:11" ht="15" customHeight="1" x14ac:dyDescent="0.2">
      <c r="A2260" s="120" t="s">
        <v>7026</v>
      </c>
      <c r="B2260" s="120" t="s">
        <v>7024</v>
      </c>
      <c r="C2260" s="98" t="s">
        <v>3533</v>
      </c>
      <c r="D2260" s="120" t="s">
        <v>3534</v>
      </c>
      <c r="E2260" s="98">
        <v>5.6625000000000002E-2</v>
      </c>
      <c r="F2260" s="120">
        <v>0</v>
      </c>
      <c r="G2260" s="121">
        <v>1000</v>
      </c>
      <c r="H2260" s="123">
        <v>5.6625000000000002E-2</v>
      </c>
      <c r="I2260" s="122">
        <v>56.625</v>
      </c>
      <c r="J2260" s="124">
        <f t="shared" si="35"/>
        <v>5.6625000000000002E-2</v>
      </c>
      <c r="K2260" s="98" t="s">
        <v>7027</v>
      </c>
    </row>
    <row r="2261" spans="1:11" ht="15" customHeight="1" x14ac:dyDescent="0.2">
      <c r="A2261" s="120" t="s">
        <v>7028</v>
      </c>
      <c r="B2261" s="120" t="s">
        <v>3532</v>
      </c>
      <c r="C2261" s="98" t="s">
        <v>3533</v>
      </c>
      <c r="D2261" s="120" t="s">
        <v>3534</v>
      </c>
      <c r="E2261" s="98">
        <v>0</v>
      </c>
      <c r="F2261" s="120">
        <v>0</v>
      </c>
      <c r="G2261" s="121">
        <v>61</v>
      </c>
      <c r="H2261" s="123">
        <v>0</v>
      </c>
      <c r="I2261" s="122">
        <v>0</v>
      </c>
      <c r="J2261" s="124">
        <f t="shared" si="35"/>
        <v>0</v>
      </c>
    </row>
    <row r="2262" spans="1:11" ht="15" customHeight="1" x14ac:dyDescent="0.2">
      <c r="A2262" s="120" t="s">
        <v>7029</v>
      </c>
      <c r="B2262" s="120" t="s">
        <v>7024</v>
      </c>
      <c r="C2262" s="98" t="s">
        <v>3533</v>
      </c>
      <c r="D2262" s="120" t="s">
        <v>3534</v>
      </c>
      <c r="E2262" s="98">
        <v>0.117077</v>
      </c>
      <c r="F2262" s="120">
        <v>0</v>
      </c>
      <c r="G2262" s="121">
        <v>111</v>
      </c>
      <c r="H2262" s="123">
        <v>0.117077</v>
      </c>
      <c r="I2262" s="122">
        <v>12.995547</v>
      </c>
      <c r="J2262" s="124">
        <f t="shared" si="35"/>
        <v>0.117077</v>
      </c>
      <c r="K2262" s="98" t="s">
        <v>7030</v>
      </c>
    </row>
    <row r="2263" spans="1:11" ht="15" customHeight="1" x14ac:dyDescent="0.2">
      <c r="A2263" s="120" t="s">
        <v>7031</v>
      </c>
      <c r="B2263" s="120" t="s">
        <v>7024</v>
      </c>
      <c r="C2263" s="98" t="s">
        <v>3533</v>
      </c>
      <c r="D2263" s="120" t="s">
        <v>3534</v>
      </c>
      <c r="E2263" s="98">
        <v>7.9200000000000007E-2</v>
      </c>
      <c r="F2263" s="120">
        <v>0</v>
      </c>
      <c r="G2263" s="121">
        <v>1433</v>
      </c>
      <c r="H2263" s="123">
        <v>7.9200000000000007E-2</v>
      </c>
      <c r="I2263" s="122">
        <v>113.49360000000001</v>
      </c>
      <c r="J2263" s="124">
        <f t="shared" si="35"/>
        <v>7.9200000000000007E-2</v>
      </c>
      <c r="K2263" s="98" t="s">
        <v>7032</v>
      </c>
    </row>
    <row r="2264" spans="1:11" ht="15" customHeight="1" x14ac:dyDescent="0.2">
      <c r="A2264" s="120" t="s">
        <v>7033</v>
      </c>
      <c r="B2264" s="120" t="s">
        <v>7024</v>
      </c>
      <c r="C2264" s="98" t="s">
        <v>3533</v>
      </c>
      <c r="D2264" s="120" t="s">
        <v>3534</v>
      </c>
      <c r="E2264" s="98">
        <v>7.7990000000000004E-2</v>
      </c>
      <c r="F2264" s="120">
        <v>0</v>
      </c>
      <c r="G2264" s="121">
        <v>22509</v>
      </c>
      <c r="H2264" s="123">
        <v>7.7990000000000004E-2</v>
      </c>
      <c r="I2264" s="122">
        <v>1755.4769100000001</v>
      </c>
      <c r="J2264" s="124">
        <f t="shared" si="35"/>
        <v>7.7990000000000004E-2</v>
      </c>
      <c r="K2264" s="98" t="s">
        <v>7034</v>
      </c>
    </row>
    <row r="2265" spans="1:11" ht="15" customHeight="1" x14ac:dyDescent="0.2">
      <c r="A2265" s="120" t="s">
        <v>7035</v>
      </c>
      <c r="B2265" s="120" t="s">
        <v>7024</v>
      </c>
      <c r="C2265" s="98" t="s">
        <v>3533</v>
      </c>
      <c r="D2265" s="120" t="s">
        <v>3534</v>
      </c>
      <c r="E2265" s="98">
        <v>6.1400000000000003E-2</v>
      </c>
      <c r="F2265" s="120">
        <v>0</v>
      </c>
      <c r="G2265" s="121">
        <v>4229</v>
      </c>
      <c r="H2265" s="123">
        <v>6.1400000000000003E-2</v>
      </c>
      <c r="I2265" s="122">
        <v>259.66059999999999</v>
      </c>
      <c r="J2265" s="124">
        <f t="shared" si="35"/>
        <v>6.1400000000000003E-2</v>
      </c>
      <c r="K2265" s="98" t="s">
        <v>7036</v>
      </c>
    </row>
    <row r="2266" spans="1:11" ht="15" customHeight="1" x14ac:dyDescent="0.2">
      <c r="A2266" s="120" t="s">
        <v>7037</v>
      </c>
      <c r="B2266" s="120" t="s">
        <v>3532</v>
      </c>
      <c r="C2266" s="98" t="s">
        <v>3532</v>
      </c>
      <c r="D2266" s="120" t="s">
        <v>3534</v>
      </c>
      <c r="E2266" s="98">
        <v>7.9200000000000007E-2</v>
      </c>
      <c r="F2266" s="120">
        <v>0</v>
      </c>
      <c r="G2266" s="121">
        <v>0</v>
      </c>
      <c r="H2266" s="123">
        <v>7.9200000000000007E-2</v>
      </c>
      <c r="I2266" s="122">
        <v>0</v>
      </c>
      <c r="J2266" s="124">
        <f t="shared" si="35"/>
        <v>7.9200000000000007E-2</v>
      </c>
    </row>
    <row r="2267" spans="1:11" ht="15" customHeight="1" x14ac:dyDescent="0.2">
      <c r="A2267" s="120" t="s">
        <v>7038</v>
      </c>
      <c r="B2267" s="120" t="s">
        <v>7024</v>
      </c>
      <c r="C2267" s="98" t="s">
        <v>3566</v>
      </c>
      <c r="D2267" s="120" t="s">
        <v>3534</v>
      </c>
      <c r="E2267" s="98">
        <v>9.8599999999999993E-2</v>
      </c>
      <c r="F2267" s="120">
        <v>0</v>
      </c>
      <c r="G2267" s="121">
        <v>1730</v>
      </c>
      <c r="H2267" s="123">
        <v>9.8599999999999993E-2</v>
      </c>
      <c r="I2267" s="122">
        <v>170.57799999999997</v>
      </c>
      <c r="J2267" s="124">
        <f t="shared" si="35"/>
        <v>9.8599999999999993E-2</v>
      </c>
    </row>
    <row r="2268" spans="1:11" ht="15" customHeight="1" x14ac:dyDescent="0.2">
      <c r="A2268" s="120" t="s">
        <v>7039</v>
      </c>
      <c r="B2268" s="120" t="s">
        <v>7024</v>
      </c>
      <c r="C2268" s="98" t="s">
        <v>3533</v>
      </c>
      <c r="D2268" s="120" t="s">
        <v>3534</v>
      </c>
      <c r="E2268" s="98">
        <v>7.9200000000000007E-2</v>
      </c>
      <c r="F2268" s="120">
        <v>0</v>
      </c>
      <c r="G2268" s="121">
        <v>0</v>
      </c>
      <c r="H2268" s="123">
        <v>7.9200000000000007E-2</v>
      </c>
      <c r="I2268" s="122">
        <v>0</v>
      </c>
      <c r="J2268" s="124">
        <f t="shared" si="35"/>
        <v>7.9200000000000007E-2</v>
      </c>
    </row>
    <row r="2269" spans="1:11" ht="15" customHeight="1" x14ac:dyDescent="0.2">
      <c r="A2269" s="120" t="s">
        <v>7040</v>
      </c>
      <c r="B2269" s="120" t="s">
        <v>7024</v>
      </c>
      <c r="C2269" s="98" t="s">
        <v>3533</v>
      </c>
      <c r="D2269" s="120" t="s">
        <v>3534</v>
      </c>
      <c r="E2269" s="98">
        <v>6.4299999999999996E-2</v>
      </c>
      <c r="F2269" s="120">
        <v>0</v>
      </c>
      <c r="G2269" s="121">
        <v>1802</v>
      </c>
      <c r="H2269" s="123">
        <v>6.4299999999999996E-2</v>
      </c>
      <c r="I2269" s="122">
        <v>115.86859999999999</v>
      </c>
      <c r="J2269" s="124">
        <f t="shared" si="35"/>
        <v>6.4299999999999996E-2</v>
      </c>
    </row>
    <row r="2270" spans="1:11" ht="15" customHeight="1" x14ac:dyDescent="0.2">
      <c r="A2270" s="120" t="s">
        <v>7041</v>
      </c>
      <c r="B2270" s="120" t="s">
        <v>7024</v>
      </c>
      <c r="C2270" s="98" t="s">
        <v>3533</v>
      </c>
      <c r="D2270" s="120" t="s">
        <v>3534</v>
      </c>
      <c r="E2270" s="98">
        <v>6.3100000000000003E-2</v>
      </c>
      <c r="F2270" s="120">
        <v>0</v>
      </c>
      <c r="G2270" s="121">
        <v>1093</v>
      </c>
      <c r="H2270" s="123">
        <v>6.3100000000000003E-2</v>
      </c>
      <c r="I2270" s="122">
        <v>68.968299999999999</v>
      </c>
      <c r="J2270" s="124">
        <f t="shared" si="35"/>
        <v>6.3100000000000003E-2</v>
      </c>
    </row>
    <row r="2271" spans="1:11" ht="15" customHeight="1" x14ac:dyDescent="0.2">
      <c r="A2271" s="120" t="s">
        <v>7042</v>
      </c>
      <c r="B2271" s="120" t="s">
        <v>7024</v>
      </c>
      <c r="C2271" s="98" t="s">
        <v>3533</v>
      </c>
      <c r="D2271" s="120" t="s">
        <v>3534</v>
      </c>
      <c r="E2271" s="98">
        <v>6.8599999999999994E-2</v>
      </c>
      <c r="F2271" s="120">
        <v>0</v>
      </c>
      <c r="G2271" s="121">
        <v>0</v>
      </c>
      <c r="H2271" s="123">
        <v>6.8599999999999994E-2</v>
      </c>
      <c r="I2271" s="122">
        <v>0</v>
      </c>
      <c r="J2271" s="124">
        <f t="shared" si="35"/>
        <v>6.8599999999999994E-2</v>
      </c>
    </row>
    <row r="2272" spans="1:11" ht="15" customHeight="1" x14ac:dyDescent="0.2">
      <c r="A2272" s="120" t="s">
        <v>7043</v>
      </c>
      <c r="B2272" s="120" t="s">
        <v>7024</v>
      </c>
      <c r="C2272" s="98" t="s">
        <v>3533</v>
      </c>
      <c r="D2272" s="120" t="s">
        <v>3534</v>
      </c>
      <c r="E2272" s="98">
        <v>4.5199999999999997E-2</v>
      </c>
      <c r="F2272" s="120">
        <v>0</v>
      </c>
      <c r="G2272" s="121">
        <v>224673</v>
      </c>
      <c r="H2272" s="123">
        <v>4.5199999999999997E-2</v>
      </c>
      <c r="I2272" s="122">
        <v>10155.219599999999</v>
      </c>
      <c r="J2272" s="124">
        <f t="shared" si="35"/>
        <v>4.5199999999999997E-2</v>
      </c>
      <c r="K2272" s="98" t="s">
        <v>7044</v>
      </c>
    </row>
    <row r="2273" spans="1:11" ht="15" customHeight="1" x14ac:dyDescent="0.2">
      <c r="A2273" s="120" t="s">
        <v>7045</v>
      </c>
      <c r="B2273" s="120" t="s">
        <v>7024</v>
      </c>
      <c r="C2273" s="98" t="s">
        <v>3533</v>
      </c>
      <c r="D2273" s="120" t="s">
        <v>3534</v>
      </c>
      <c r="E2273" s="98">
        <v>4.5642000000000002E-2</v>
      </c>
      <c r="F2273" s="120">
        <v>0</v>
      </c>
      <c r="G2273" s="121">
        <v>4299</v>
      </c>
      <c r="H2273" s="123">
        <v>4.5642000000000002E-2</v>
      </c>
      <c r="I2273" s="122">
        <v>196.214958</v>
      </c>
      <c r="J2273" s="124">
        <f t="shared" si="35"/>
        <v>4.5642000000000002E-2</v>
      </c>
    </row>
    <row r="2274" spans="1:11" ht="15" customHeight="1" x14ac:dyDescent="0.2">
      <c r="A2274" s="120" t="s">
        <v>7046</v>
      </c>
      <c r="B2274" s="120" t="s">
        <v>7024</v>
      </c>
      <c r="C2274" s="98" t="s">
        <v>3533</v>
      </c>
      <c r="D2274" s="120" t="s">
        <v>3534</v>
      </c>
      <c r="E2274" s="98">
        <v>7.3669999999999999E-2</v>
      </c>
      <c r="F2274" s="120">
        <v>0</v>
      </c>
      <c r="G2274" s="121">
        <v>2398</v>
      </c>
      <c r="H2274" s="123">
        <v>7.3669999999999999E-2</v>
      </c>
      <c r="I2274" s="122">
        <v>176.66066000000001</v>
      </c>
      <c r="J2274" s="124">
        <f t="shared" si="35"/>
        <v>7.3669999999999999E-2</v>
      </c>
      <c r="K2274" s="98" t="s">
        <v>7047</v>
      </c>
    </row>
    <row r="2275" spans="1:11" ht="15" customHeight="1" x14ac:dyDescent="0.2">
      <c r="A2275" s="120" t="s">
        <v>7048</v>
      </c>
      <c r="B2275" s="120" t="s">
        <v>3625</v>
      </c>
      <c r="C2275" s="98" t="s">
        <v>3533</v>
      </c>
      <c r="D2275" s="120" t="s">
        <v>3534</v>
      </c>
      <c r="E2275" s="98">
        <v>6.7861000000000005E-2</v>
      </c>
      <c r="F2275" s="120">
        <v>0</v>
      </c>
      <c r="G2275" s="121">
        <v>851</v>
      </c>
      <c r="H2275" s="123">
        <v>6.7861000000000005E-2</v>
      </c>
      <c r="I2275" s="122">
        <v>57.749711000000005</v>
      </c>
      <c r="J2275" s="124">
        <f t="shared" si="35"/>
        <v>6.7861000000000005E-2</v>
      </c>
    </row>
    <row r="2276" spans="1:11" ht="15" customHeight="1" x14ac:dyDescent="0.2">
      <c r="A2276" s="120" t="s">
        <v>7049</v>
      </c>
      <c r="B2276" s="120" t="s">
        <v>7024</v>
      </c>
      <c r="C2276" s="98" t="s">
        <v>3533</v>
      </c>
      <c r="D2276" s="120" t="s">
        <v>3534</v>
      </c>
      <c r="E2276" s="98">
        <v>7.0999999999999994E-2</v>
      </c>
      <c r="F2276" s="120">
        <v>0</v>
      </c>
      <c r="G2276" s="121">
        <v>37632</v>
      </c>
      <c r="H2276" s="123">
        <v>7.0999999999999994E-2</v>
      </c>
      <c r="I2276" s="122">
        <v>2671.8719999999998</v>
      </c>
      <c r="J2276" s="124">
        <f t="shared" si="35"/>
        <v>7.0999999999999994E-2</v>
      </c>
      <c r="K2276" s="98" t="s">
        <v>7050</v>
      </c>
    </row>
    <row r="2277" spans="1:11" ht="15" customHeight="1" x14ac:dyDescent="0.2">
      <c r="A2277" s="120" t="s">
        <v>7051</v>
      </c>
      <c r="B2277" s="120" t="s">
        <v>7024</v>
      </c>
      <c r="C2277" s="98" t="s">
        <v>3566</v>
      </c>
      <c r="D2277" s="120" t="s">
        <v>3534</v>
      </c>
      <c r="E2277" s="98">
        <v>7.9549999999999996E-2</v>
      </c>
      <c r="F2277" s="120">
        <v>0</v>
      </c>
      <c r="G2277" s="121">
        <v>0</v>
      </c>
      <c r="H2277" s="123">
        <v>7.9549999999999996E-2</v>
      </c>
      <c r="I2277" s="122">
        <v>0</v>
      </c>
      <c r="J2277" s="124">
        <f t="shared" si="35"/>
        <v>7.9549999999999996E-2</v>
      </c>
    </row>
    <row r="2278" spans="1:11" ht="15" customHeight="1" x14ac:dyDescent="0.2">
      <c r="A2278" s="120" t="s">
        <v>7052</v>
      </c>
      <c r="B2278" s="120" t="s">
        <v>7024</v>
      </c>
      <c r="C2278" s="98" t="s">
        <v>3533</v>
      </c>
      <c r="D2278" s="120" t="s">
        <v>3534</v>
      </c>
      <c r="E2278" s="98">
        <v>5.4969999999999998E-2</v>
      </c>
      <c r="F2278" s="120">
        <v>0</v>
      </c>
      <c r="G2278" s="121">
        <v>1916</v>
      </c>
      <c r="H2278" s="123">
        <v>5.4969999999999998E-2</v>
      </c>
      <c r="I2278" s="122">
        <v>105.32252</v>
      </c>
      <c r="J2278" s="124">
        <f t="shared" si="35"/>
        <v>5.4969999999999998E-2</v>
      </c>
      <c r="K2278" s="98" t="s">
        <v>7053</v>
      </c>
    </row>
    <row r="2279" spans="1:11" ht="15" customHeight="1" x14ac:dyDescent="0.2">
      <c r="A2279" s="120" t="s">
        <v>7054</v>
      </c>
      <c r="B2279" s="120" t="s">
        <v>7024</v>
      </c>
      <c r="C2279" s="98" t="s">
        <v>3533</v>
      </c>
      <c r="D2279" s="120" t="s">
        <v>3534</v>
      </c>
      <c r="E2279" s="98">
        <v>8.9099999999999999E-2</v>
      </c>
      <c r="F2279" s="120">
        <v>0</v>
      </c>
      <c r="G2279" s="121">
        <v>1127</v>
      </c>
      <c r="H2279" s="123">
        <v>8.9099999999999999E-2</v>
      </c>
      <c r="I2279" s="122">
        <v>100.4157</v>
      </c>
      <c r="J2279" s="124">
        <f t="shared" si="35"/>
        <v>8.9099999999999999E-2</v>
      </c>
      <c r="K2279" s="98" t="s">
        <v>7055</v>
      </c>
    </row>
    <row r="2280" spans="1:11" ht="15" customHeight="1" x14ac:dyDescent="0.2">
      <c r="A2280" s="120" t="s">
        <v>7056</v>
      </c>
      <c r="B2280" s="120" t="s">
        <v>7024</v>
      </c>
      <c r="C2280" s="98" t="s">
        <v>3533</v>
      </c>
      <c r="D2280" s="120" t="s">
        <v>3534</v>
      </c>
      <c r="E2280" s="98">
        <v>8.1132999999999997E-2</v>
      </c>
      <c r="F2280" s="120">
        <v>0</v>
      </c>
      <c r="G2280" s="121">
        <v>6732</v>
      </c>
      <c r="H2280" s="123">
        <v>8.1132999999999997E-2</v>
      </c>
      <c r="I2280" s="122">
        <v>546.18735600000002</v>
      </c>
      <c r="J2280" s="124">
        <f t="shared" si="35"/>
        <v>8.1132999999999997E-2</v>
      </c>
      <c r="K2280" s="98" t="s">
        <v>7057</v>
      </c>
    </row>
    <row r="2281" spans="1:11" ht="15" customHeight="1" x14ac:dyDescent="0.2">
      <c r="A2281" s="120" t="s">
        <v>7058</v>
      </c>
      <c r="B2281" s="120" t="s">
        <v>7024</v>
      </c>
      <c r="C2281" s="98" t="s">
        <v>3533</v>
      </c>
      <c r="D2281" s="120" t="s">
        <v>3534</v>
      </c>
      <c r="E2281" s="98">
        <v>8.3830000000000002E-2</v>
      </c>
      <c r="F2281" s="120">
        <v>0</v>
      </c>
      <c r="G2281" s="121">
        <v>0</v>
      </c>
      <c r="H2281" s="123">
        <v>8.3830000000000002E-2</v>
      </c>
      <c r="I2281" s="122">
        <v>0</v>
      </c>
      <c r="J2281" s="124">
        <f t="shared" si="35"/>
        <v>8.3830000000000002E-2</v>
      </c>
      <c r="K2281" s="98" t="s">
        <v>7059</v>
      </c>
    </row>
    <row r="2282" spans="1:11" ht="15" customHeight="1" x14ac:dyDescent="0.2">
      <c r="A2282" s="120" t="s">
        <v>7060</v>
      </c>
      <c r="B2282" s="120" t="s">
        <v>7061</v>
      </c>
      <c r="C2282" s="98" t="s">
        <v>3540</v>
      </c>
      <c r="D2282" s="120" t="s">
        <v>3534</v>
      </c>
      <c r="E2282" s="98">
        <v>0.12078</v>
      </c>
      <c r="F2282" s="120">
        <v>0</v>
      </c>
      <c r="G2282" s="121">
        <v>0</v>
      </c>
      <c r="H2282" s="123">
        <v>0.12078</v>
      </c>
      <c r="I2282" s="122">
        <v>0</v>
      </c>
      <c r="J2282" s="124">
        <f t="shared" si="35"/>
        <v>0.12078</v>
      </c>
    </row>
    <row r="2283" spans="1:11" ht="15" customHeight="1" x14ac:dyDescent="0.2">
      <c r="A2283" s="120" t="s">
        <v>7062</v>
      </c>
      <c r="B2283" s="120" t="s">
        <v>7024</v>
      </c>
      <c r="C2283" s="98" t="s">
        <v>3566</v>
      </c>
      <c r="D2283" s="120" t="s">
        <v>3534</v>
      </c>
      <c r="E2283" s="98">
        <v>8.9407E-2</v>
      </c>
      <c r="F2283" s="120">
        <v>0</v>
      </c>
      <c r="G2283" s="121">
        <v>0</v>
      </c>
      <c r="H2283" s="123">
        <v>8.9407E-2</v>
      </c>
      <c r="I2283" s="122">
        <v>0</v>
      </c>
      <c r="J2283" s="124">
        <f t="shared" si="35"/>
        <v>8.9407E-2</v>
      </c>
    </row>
    <row r="2284" spans="1:11" ht="15" customHeight="1" x14ac:dyDescent="0.2">
      <c r="A2284" s="120" t="s">
        <v>7063</v>
      </c>
      <c r="B2284" s="120" t="s">
        <v>3532</v>
      </c>
      <c r="C2284" s="98" t="s">
        <v>3532</v>
      </c>
      <c r="D2284" s="120" t="s">
        <v>3534</v>
      </c>
      <c r="E2284" s="98">
        <v>0.18049999999999999</v>
      </c>
      <c r="F2284" s="120">
        <v>0</v>
      </c>
      <c r="G2284" s="121">
        <v>0</v>
      </c>
      <c r="H2284" s="123">
        <v>0.18049999999999999</v>
      </c>
      <c r="I2284" s="122">
        <v>0</v>
      </c>
      <c r="J2284" s="124">
        <f t="shared" si="35"/>
        <v>0.18049999999999999</v>
      </c>
    </row>
    <row r="2285" spans="1:11" ht="15" customHeight="1" x14ac:dyDescent="0.2">
      <c r="A2285" s="120" t="s">
        <v>7064</v>
      </c>
      <c r="B2285" s="120" t="s">
        <v>7024</v>
      </c>
      <c r="C2285" s="98" t="s">
        <v>3533</v>
      </c>
      <c r="D2285" s="120" t="s">
        <v>3534</v>
      </c>
      <c r="E2285" s="98">
        <v>8.4699999999999998E-2</v>
      </c>
      <c r="F2285" s="120">
        <v>0</v>
      </c>
      <c r="G2285" s="121">
        <v>11200</v>
      </c>
      <c r="H2285" s="123">
        <v>8.4699999999999998E-2</v>
      </c>
      <c r="I2285" s="122">
        <v>948.64</v>
      </c>
      <c r="J2285" s="124">
        <f t="shared" si="35"/>
        <v>8.4699999999999998E-2</v>
      </c>
      <c r="K2285" s="98" t="s">
        <v>7065</v>
      </c>
    </row>
    <row r="2286" spans="1:11" ht="15" customHeight="1" x14ac:dyDescent="0.2">
      <c r="A2286" s="120" t="s">
        <v>7066</v>
      </c>
      <c r="B2286" s="120" t="s">
        <v>3532</v>
      </c>
      <c r="C2286" s="98" t="s">
        <v>3533</v>
      </c>
      <c r="D2286" s="120" t="s">
        <v>3534</v>
      </c>
      <c r="E2286" s="98">
        <v>8.208E-2</v>
      </c>
      <c r="F2286" s="120">
        <v>0</v>
      </c>
      <c r="G2286" s="121">
        <v>868</v>
      </c>
      <c r="H2286" s="123">
        <v>8.208E-2</v>
      </c>
      <c r="I2286" s="122">
        <v>71.245440000000002</v>
      </c>
      <c r="J2286" s="124">
        <f t="shared" si="35"/>
        <v>8.208E-2</v>
      </c>
    </row>
    <row r="2287" spans="1:11" ht="15" customHeight="1" x14ac:dyDescent="0.2">
      <c r="A2287" s="120" t="s">
        <v>7067</v>
      </c>
      <c r="B2287" s="120" t="s">
        <v>3532</v>
      </c>
      <c r="C2287" s="98" t="s">
        <v>3533</v>
      </c>
      <c r="D2287" s="120" t="s">
        <v>3534</v>
      </c>
      <c r="E2287" s="98">
        <v>7.7466999999999994E-2</v>
      </c>
      <c r="F2287" s="120">
        <v>0</v>
      </c>
      <c r="G2287" s="121">
        <v>1684</v>
      </c>
      <c r="H2287" s="123">
        <v>7.7466999999999994E-2</v>
      </c>
      <c r="I2287" s="122">
        <v>130.45442799999998</v>
      </c>
      <c r="J2287" s="124">
        <f t="shared" si="35"/>
        <v>7.7466999999999994E-2</v>
      </c>
    </row>
    <row r="2288" spans="1:11" ht="15" customHeight="1" x14ac:dyDescent="0.2">
      <c r="A2288" s="120" t="s">
        <v>7068</v>
      </c>
      <c r="B2288" s="120" t="s">
        <v>7024</v>
      </c>
      <c r="C2288" s="98" t="s">
        <v>3533</v>
      </c>
      <c r="D2288" s="120" t="s">
        <v>3534</v>
      </c>
      <c r="E2288" s="98">
        <v>8.5588888888888895E-2</v>
      </c>
      <c r="F2288" s="120">
        <v>0</v>
      </c>
      <c r="G2288" s="121">
        <v>704</v>
      </c>
      <c r="H2288" s="123">
        <v>8.5588999999999998E-2</v>
      </c>
      <c r="I2288" s="122">
        <v>60.254655999999997</v>
      </c>
      <c r="J2288" s="124">
        <f t="shared" si="35"/>
        <v>8.5588888888888895E-2</v>
      </c>
      <c r="K2288" s="98" t="s">
        <v>7069</v>
      </c>
    </row>
    <row r="2289" spans="1:11" ht="15" customHeight="1" x14ac:dyDescent="0.2">
      <c r="A2289" s="120" t="s">
        <v>7070</v>
      </c>
      <c r="B2289" s="120" t="s">
        <v>3625</v>
      </c>
      <c r="C2289" s="98" t="s">
        <v>3533</v>
      </c>
      <c r="D2289" s="120" t="s">
        <v>3534</v>
      </c>
      <c r="E2289" s="98">
        <v>0</v>
      </c>
      <c r="F2289" s="120">
        <v>0</v>
      </c>
      <c r="G2289" s="121">
        <v>4256</v>
      </c>
      <c r="H2289" s="123">
        <v>0</v>
      </c>
      <c r="I2289" s="122">
        <v>0</v>
      </c>
      <c r="J2289" s="124">
        <f t="shared" si="35"/>
        <v>0</v>
      </c>
    </row>
    <row r="2290" spans="1:11" ht="15" customHeight="1" x14ac:dyDescent="0.2">
      <c r="A2290" s="120" t="s">
        <v>7071</v>
      </c>
      <c r="B2290" s="120" t="s">
        <v>7024</v>
      </c>
      <c r="C2290" s="98" t="s">
        <v>3533</v>
      </c>
      <c r="D2290" s="120" t="s">
        <v>3534</v>
      </c>
      <c r="E2290" s="98">
        <v>8.2427E-2</v>
      </c>
      <c r="F2290" s="120">
        <v>0</v>
      </c>
      <c r="G2290" s="121">
        <v>855</v>
      </c>
      <c r="H2290" s="123">
        <v>8.2427E-2</v>
      </c>
      <c r="I2290" s="122">
        <v>70.475085000000007</v>
      </c>
      <c r="J2290" s="124">
        <f t="shared" si="35"/>
        <v>8.2427E-2</v>
      </c>
      <c r="K2290" s="98" t="s">
        <v>7072</v>
      </c>
    </row>
    <row r="2291" spans="1:11" ht="15" customHeight="1" x14ac:dyDescent="0.2">
      <c r="A2291" s="120" t="s">
        <v>7073</v>
      </c>
      <c r="B2291" s="120" t="s">
        <v>7024</v>
      </c>
      <c r="C2291" s="98" t="s">
        <v>3533</v>
      </c>
      <c r="D2291" s="120" t="s">
        <v>3534</v>
      </c>
      <c r="E2291" s="98">
        <v>9.9629999999999996E-2</v>
      </c>
      <c r="F2291" s="120">
        <v>0</v>
      </c>
      <c r="G2291" s="121">
        <v>168</v>
      </c>
      <c r="H2291" s="123">
        <v>9.9629999999999996E-2</v>
      </c>
      <c r="I2291" s="122">
        <v>16.737839999999998</v>
      </c>
      <c r="J2291" s="124">
        <f t="shared" si="35"/>
        <v>9.9629999999999996E-2</v>
      </c>
    </row>
    <row r="2292" spans="1:11" ht="15" customHeight="1" x14ac:dyDescent="0.2">
      <c r="A2292" s="120" t="s">
        <v>7074</v>
      </c>
      <c r="B2292" s="120" t="s">
        <v>3625</v>
      </c>
      <c r="C2292" s="98" t="s">
        <v>3533</v>
      </c>
      <c r="D2292" s="120" t="s">
        <v>3534</v>
      </c>
      <c r="E2292" s="98">
        <v>5.9659999999999998E-2</v>
      </c>
      <c r="F2292" s="120">
        <v>0</v>
      </c>
      <c r="G2292" s="121">
        <v>13001</v>
      </c>
      <c r="H2292" s="123">
        <v>5.9659999999999998E-2</v>
      </c>
      <c r="I2292" s="122">
        <v>775.63965999999994</v>
      </c>
      <c r="J2292" s="124">
        <f t="shared" si="35"/>
        <v>5.9659999999999998E-2</v>
      </c>
    </row>
    <row r="2293" spans="1:11" ht="15" customHeight="1" x14ac:dyDescent="0.2">
      <c r="A2293" s="120" t="s">
        <v>7075</v>
      </c>
      <c r="B2293" s="120" t="s">
        <v>7024</v>
      </c>
      <c r="C2293" s="98" t="s">
        <v>3533</v>
      </c>
      <c r="D2293" s="120" t="s">
        <v>3534</v>
      </c>
      <c r="E2293" s="98">
        <v>8.2619999999999999E-2</v>
      </c>
      <c r="F2293" s="120">
        <v>0</v>
      </c>
      <c r="G2293" s="121">
        <v>112636</v>
      </c>
      <c r="H2293" s="123">
        <v>8.2887000000000002E-2</v>
      </c>
      <c r="I2293" s="122">
        <v>9336.0601320000005</v>
      </c>
      <c r="J2293" s="124">
        <f t="shared" si="35"/>
        <v>8.2619999999999999E-2</v>
      </c>
      <c r="K2293" s="98" t="s">
        <v>7076</v>
      </c>
    </row>
    <row r="2294" spans="1:11" ht="15" customHeight="1" x14ac:dyDescent="0.2">
      <c r="A2294" s="120" t="s">
        <v>7077</v>
      </c>
      <c r="B2294" s="120" t="s">
        <v>7024</v>
      </c>
      <c r="C2294" s="98" t="s">
        <v>3533</v>
      </c>
      <c r="D2294" s="120" t="s">
        <v>3534</v>
      </c>
      <c r="E2294" s="98">
        <v>7.9549999999999996E-2</v>
      </c>
      <c r="F2294" s="120">
        <v>0</v>
      </c>
      <c r="G2294" s="121">
        <v>3472</v>
      </c>
      <c r="H2294" s="123">
        <v>7.9549999999999996E-2</v>
      </c>
      <c r="I2294" s="122">
        <v>276.19759999999997</v>
      </c>
      <c r="J2294" s="124">
        <f t="shared" si="35"/>
        <v>7.9549999999999996E-2</v>
      </c>
    </row>
    <row r="2295" spans="1:11" ht="15" customHeight="1" x14ac:dyDescent="0.2">
      <c r="A2295" s="120" t="s">
        <v>7078</v>
      </c>
      <c r="B2295" s="120" t="s">
        <v>7024</v>
      </c>
      <c r="C2295" s="98" t="s">
        <v>3533</v>
      </c>
      <c r="D2295" s="120" t="s">
        <v>3534</v>
      </c>
      <c r="E2295" s="98">
        <v>8.0960000000000004E-2</v>
      </c>
      <c r="F2295" s="120">
        <v>0</v>
      </c>
      <c r="G2295" s="121">
        <v>3015</v>
      </c>
      <c r="H2295" s="123">
        <v>8.0960000000000004E-2</v>
      </c>
      <c r="I2295" s="122">
        <v>244.09440000000001</v>
      </c>
      <c r="J2295" s="124">
        <f t="shared" si="35"/>
        <v>8.0960000000000004E-2</v>
      </c>
      <c r="K2295" s="98" t="s">
        <v>7079</v>
      </c>
    </row>
    <row r="2296" spans="1:11" ht="15" customHeight="1" x14ac:dyDescent="0.2">
      <c r="A2296" s="120" t="s">
        <v>7080</v>
      </c>
      <c r="B2296" s="120" t="s">
        <v>7024</v>
      </c>
      <c r="C2296" s="98" t="s">
        <v>3532</v>
      </c>
      <c r="D2296" s="120" t="s">
        <v>3534</v>
      </c>
      <c r="E2296" s="98">
        <v>5.4221999999999999E-2</v>
      </c>
      <c r="F2296" s="120">
        <v>0</v>
      </c>
      <c r="G2296" s="121">
        <v>3550</v>
      </c>
      <c r="H2296" s="123">
        <v>5.4221999999999999E-2</v>
      </c>
      <c r="I2296" s="122">
        <v>192.4881</v>
      </c>
      <c r="J2296" s="124">
        <f t="shared" si="35"/>
        <v>5.4221999999999999E-2</v>
      </c>
    </row>
    <row r="2297" spans="1:11" ht="15" customHeight="1" x14ac:dyDescent="0.2">
      <c r="A2297" s="120" t="s">
        <v>7081</v>
      </c>
      <c r="B2297" s="120" t="s">
        <v>7024</v>
      </c>
      <c r="C2297" s="98" t="s">
        <v>3566</v>
      </c>
      <c r="D2297" s="120" t="s">
        <v>3534</v>
      </c>
      <c r="E2297" s="98">
        <v>0.14615</v>
      </c>
      <c r="F2297" s="120">
        <v>0</v>
      </c>
      <c r="G2297" s="121">
        <v>0</v>
      </c>
      <c r="H2297" s="123">
        <v>0.14615</v>
      </c>
      <c r="I2297" s="122">
        <v>0</v>
      </c>
      <c r="J2297" s="124">
        <f t="shared" si="35"/>
        <v>0.14615</v>
      </c>
    </row>
    <row r="2298" spans="1:11" ht="15" customHeight="1" x14ac:dyDescent="0.2">
      <c r="A2298" s="120" t="s">
        <v>7082</v>
      </c>
      <c r="B2298" s="120" t="s">
        <v>3625</v>
      </c>
      <c r="C2298" s="98" t="s">
        <v>3533</v>
      </c>
      <c r="D2298" s="120" t="s">
        <v>3534</v>
      </c>
      <c r="E2298" s="98">
        <v>7.6530000000000001E-2</v>
      </c>
      <c r="F2298" s="120">
        <v>0</v>
      </c>
      <c r="G2298" s="121">
        <v>64601</v>
      </c>
      <c r="H2298" s="123">
        <v>7.6530000000000001E-2</v>
      </c>
      <c r="I2298" s="122">
        <v>4943.91453</v>
      </c>
      <c r="J2298" s="124">
        <f t="shared" si="35"/>
        <v>7.6530000000000001E-2</v>
      </c>
    </row>
    <row r="2299" spans="1:11" ht="15" customHeight="1" x14ac:dyDescent="0.2">
      <c r="A2299" s="120" t="s">
        <v>7083</v>
      </c>
      <c r="B2299" s="120" t="s">
        <v>7024</v>
      </c>
      <c r="C2299" s="98" t="s">
        <v>3533</v>
      </c>
      <c r="D2299" s="120" t="s">
        <v>3534</v>
      </c>
      <c r="E2299" s="98">
        <v>7.3959999999999998E-2</v>
      </c>
      <c r="F2299" s="120">
        <v>0</v>
      </c>
      <c r="G2299" s="121">
        <v>5428</v>
      </c>
      <c r="H2299" s="123">
        <v>7.3959999999999998E-2</v>
      </c>
      <c r="I2299" s="122">
        <v>401.45488</v>
      </c>
      <c r="J2299" s="124">
        <f t="shared" si="35"/>
        <v>7.3959999999999998E-2</v>
      </c>
      <c r="K2299" s="98" t="s">
        <v>7084</v>
      </c>
    </row>
    <row r="2300" spans="1:11" ht="15" customHeight="1" x14ac:dyDescent="0.2">
      <c r="A2300" s="120" t="s">
        <v>7085</v>
      </c>
      <c r="B2300" s="120" t="s">
        <v>7024</v>
      </c>
      <c r="C2300" s="98" t="s">
        <v>3533</v>
      </c>
      <c r="D2300" s="120" t="s">
        <v>3534</v>
      </c>
      <c r="E2300" s="98">
        <v>7.9339999999999994E-2</v>
      </c>
      <c r="F2300" s="120">
        <v>0</v>
      </c>
      <c r="G2300" s="121">
        <v>688</v>
      </c>
      <c r="H2300" s="123">
        <v>7.9339999999999994E-2</v>
      </c>
      <c r="I2300" s="122">
        <v>54.585919999999994</v>
      </c>
      <c r="J2300" s="124">
        <f t="shared" si="35"/>
        <v>7.9339999999999994E-2</v>
      </c>
    </row>
    <row r="2301" spans="1:11" ht="15" customHeight="1" x14ac:dyDescent="0.2">
      <c r="A2301" s="120" t="s">
        <v>7086</v>
      </c>
      <c r="B2301" s="120" t="s">
        <v>3625</v>
      </c>
      <c r="C2301" s="98" t="s">
        <v>3533</v>
      </c>
      <c r="D2301" s="120" t="s">
        <v>3534</v>
      </c>
      <c r="E2301" s="98">
        <v>3.9146666666666705E-2</v>
      </c>
      <c r="F2301" s="120">
        <v>0</v>
      </c>
      <c r="G2301" s="121">
        <v>1572</v>
      </c>
      <c r="H2301" s="123">
        <v>3.9147000000000001E-2</v>
      </c>
      <c r="I2301" s="122">
        <v>61.539084000000003</v>
      </c>
      <c r="J2301" s="124">
        <f t="shared" si="35"/>
        <v>3.9146666666666705E-2</v>
      </c>
      <c r="K2301" s="98" t="s">
        <v>7087</v>
      </c>
    </row>
    <row r="2302" spans="1:11" ht="15" customHeight="1" x14ac:dyDescent="0.2">
      <c r="A2302" s="120" t="s">
        <v>7088</v>
      </c>
      <c r="B2302" s="120" t="s">
        <v>7024</v>
      </c>
      <c r="C2302" s="98" t="s">
        <v>3533</v>
      </c>
      <c r="D2302" s="120" t="s">
        <v>3534</v>
      </c>
      <c r="E2302" s="98">
        <v>7.356E-2</v>
      </c>
      <c r="F2302" s="120">
        <v>0</v>
      </c>
      <c r="G2302" s="121">
        <v>85791</v>
      </c>
      <c r="H2302" s="123">
        <v>7.356E-2</v>
      </c>
      <c r="I2302" s="122">
        <v>6310.7859600000002</v>
      </c>
      <c r="J2302" s="124">
        <f t="shared" si="35"/>
        <v>7.356E-2</v>
      </c>
    </row>
    <row r="2303" spans="1:11" ht="15" customHeight="1" x14ac:dyDescent="0.2">
      <c r="A2303" s="120" t="s">
        <v>7089</v>
      </c>
      <c r="B2303" s="120" t="s">
        <v>7024</v>
      </c>
      <c r="C2303" s="98" t="s">
        <v>3533</v>
      </c>
      <c r="D2303" s="120" t="s">
        <v>3534</v>
      </c>
      <c r="E2303" s="98">
        <v>8.9989922480620099E-2</v>
      </c>
      <c r="F2303" s="120">
        <v>0</v>
      </c>
      <c r="G2303" s="121">
        <v>52617</v>
      </c>
      <c r="H2303" s="123">
        <v>9.0337000000000001E-2</v>
      </c>
      <c r="I2303" s="122">
        <v>4753.2619290000002</v>
      </c>
      <c r="J2303" s="124">
        <f t="shared" si="35"/>
        <v>8.9989922480620099E-2</v>
      </c>
      <c r="K2303" s="98" t="s">
        <v>7090</v>
      </c>
    </row>
    <row r="2304" spans="1:11" ht="15" customHeight="1" x14ac:dyDescent="0.2">
      <c r="A2304" s="120" t="s">
        <v>7091</v>
      </c>
      <c r="B2304" s="120" t="s">
        <v>7024</v>
      </c>
      <c r="C2304" s="98" t="s">
        <v>3533</v>
      </c>
      <c r="D2304" s="120" t="s">
        <v>3534</v>
      </c>
      <c r="E2304" s="98">
        <v>7.0430000000000006E-2</v>
      </c>
      <c r="F2304" s="120">
        <v>0</v>
      </c>
      <c r="G2304" s="121">
        <v>5126</v>
      </c>
      <c r="H2304" s="123">
        <v>7.0698999999999998E-2</v>
      </c>
      <c r="I2304" s="122">
        <v>362.403074</v>
      </c>
      <c r="J2304" s="124">
        <f t="shared" si="35"/>
        <v>7.0430000000000006E-2</v>
      </c>
      <c r="K2304" s="98" t="s">
        <v>7092</v>
      </c>
    </row>
    <row r="2305" spans="1:11" ht="15" customHeight="1" x14ac:dyDescent="0.2">
      <c r="A2305" s="120" t="s">
        <v>7093</v>
      </c>
      <c r="B2305" s="120" t="s">
        <v>7024</v>
      </c>
      <c r="C2305" s="98" t="s">
        <v>3533</v>
      </c>
      <c r="D2305" s="120" t="s">
        <v>3534</v>
      </c>
      <c r="E2305" s="98">
        <v>7.8589999999999993E-2</v>
      </c>
      <c r="F2305" s="120">
        <v>0</v>
      </c>
      <c r="G2305" s="121">
        <v>41929</v>
      </c>
      <c r="H2305" s="123">
        <v>8.4827E-2</v>
      </c>
      <c r="I2305" s="122">
        <v>3556.7112830000001</v>
      </c>
      <c r="J2305" s="124">
        <f t="shared" si="35"/>
        <v>7.8589999999999993E-2</v>
      </c>
      <c r="K2305" s="98" t="s">
        <v>7094</v>
      </c>
    </row>
    <row r="2306" spans="1:11" ht="15" customHeight="1" x14ac:dyDescent="0.2">
      <c r="A2306" s="120" t="s">
        <v>7095</v>
      </c>
      <c r="B2306" s="120" t="s">
        <v>7024</v>
      </c>
      <c r="C2306" s="98" t="s">
        <v>3533</v>
      </c>
      <c r="D2306" s="120" t="s">
        <v>3534</v>
      </c>
      <c r="E2306" s="98">
        <v>7.7109876543209901E-2</v>
      </c>
      <c r="F2306" s="120">
        <v>0</v>
      </c>
      <c r="G2306" s="121">
        <v>6392</v>
      </c>
      <c r="H2306" s="123">
        <v>7.7109999999999998E-2</v>
      </c>
      <c r="I2306" s="122">
        <v>492.88711999999998</v>
      </c>
      <c r="J2306" s="124">
        <f t="shared" ref="J2306:J2369" si="36">IF(D2306="gm", E2306*1000,+E2306)</f>
        <v>7.7109876543209901E-2</v>
      </c>
      <c r="K2306" s="98" t="s">
        <v>7096</v>
      </c>
    </row>
    <row r="2307" spans="1:11" ht="15" customHeight="1" x14ac:dyDescent="0.2">
      <c r="A2307" s="120" t="s">
        <v>7097</v>
      </c>
      <c r="B2307" s="120" t="s">
        <v>7024</v>
      </c>
      <c r="C2307" s="98" t="s">
        <v>3533</v>
      </c>
      <c r="D2307" s="120" t="s">
        <v>3534</v>
      </c>
      <c r="E2307" s="98">
        <v>7.3960185185185198E-2</v>
      </c>
      <c r="F2307" s="120">
        <v>0</v>
      </c>
      <c r="G2307" s="121">
        <v>1621</v>
      </c>
      <c r="H2307" s="123">
        <v>7.3959999999999998E-2</v>
      </c>
      <c r="I2307" s="122">
        <v>119.88915999999999</v>
      </c>
      <c r="J2307" s="124">
        <f t="shared" si="36"/>
        <v>7.3960185185185198E-2</v>
      </c>
      <c r="K2307" s="98" t="s">
        <v>7098</v>
      </c>
    </row>
    <row r="2308" spans="1:11" ht="15" customHeight="1" x14ac:dyDescent="0.2">
      <c r="A2308" s="120" t="s">
        <v>7099</v>
      </c>
      <c r="B2308" s="120" t="s">
        <v>7024</v>
      </c>
      <c r="C2308" s="98" t="s">
        <v>3533</v>
      </c>
      <c r="D2308" s="120" t="s">
        <v>3534</v>
      </c>
      <c r="E2308" s="98">
        <v>8.7499999999999994E-2</v>
      </c>
      <c r="F2308" s="120">
        <v>0</v>
      </c>
      <c r="G2308" s="121">
        <v>4371</v>
      </c>
      <c r="H2308" s="123">
        <v>7.2522000000000003E-2</v>
      </c>
      <c r="I2308" s="122">
        <v>316.99366200000003</v>
      </c>
      <c r="J2308" s="124">
        <f t="shared" si="36"/>
        <v>8.7499999999999994E-2</v>
      </c>
      <c r="K2308" s="98" t="s">
        <v>7100</v>
      </c>
    </row>
    <row r="2309" spans="1:11" ht="15" customHeight="1" x14ac:dyDescent="0.2">
      <c r="A2309" s="120" t="s">
        <v>7101</v>
      </c>
      <c r="B2309" s="120" t="s">
        <v>7024</v>
      </c>
      <c r="C2309" s="98" t="s">
        <v>3533</v>
      </c>
      <c r="D2309" s="120" t="s">
        <v>3534</v>
      </c>
      <c r="E2309" s="98">
        <v>9.5049999999999996E-2</v>
      </c>
      <c r="F2309" s="120">
        <v>0</v>
      </c>
      <c r="G2309" s="121">
        <v>1198</v>
      </c>
      <c r="H2309" s="123">
        <v>8.7800000000000003E-2</v>
      </c>
      <c r="I2309" s="122">
        <v>105.1844</v>
      </c>
      <c r="J2309" s="124">
        <f t="shared" si="36"/>
        <v>9.5049999999999996E-2</v>
      </c>
      <c r="K2309" s="98" t="s">
        <v>7102</v>
      </c>
    </row>
    <row r="2310" spans="1:11" ht="15" customHeight="1" x14ac:dyDescent="0.2">
      <c r="A2310" s="120" t="s">
        <v>7103</v>
      </c>
      <c r="B2310" s="120" t="s">
        <v>7024</v>
      </c>
      <c r="C2310" s="98" t="s">
        <v>3533</v>
      </c>
      <c r="D2310" s="120" t="s">
        <v>3534</v>
      </c>
      <c r="E2310" s="98">
        <v>5.7515999999999998E-2</v>
      </c>
      <c r="F2310" s="120">
        <v>0</v>
      </c>
      <c r="G2310" s="121">
        <v>30558</v>
      </c>
      <c r="H2310" s="123">
        <v>5.7515999999999998E-2</v>
      </c>
      <c r="I2310" s="122">
        <v>1757.573928</v>
      </c>
      <c r="J2310" s="124">
        <f t="shared" si="36"/>
        <v>5.7515999999999998E-2</v>
      </c>
      <c r="K2310" s="98" t="s">
        <v>7104</v>
      </c>
    </row>
    <row r="2311" spans="1:11" ht="15" customHeight="1" x14ac:dyDescent="0.2">
      <c r="A2311" s="120" t="s">
        <v>7105</v>
      </c>
      <c r="B2311" s="120" t="s">
        <v>7024</v>
      </c>
      <c r="C2311" s="98" t="s">
        <v>3533</v>
      </c>
      <c r="D2311" s="120" t="s">
        <v>3534</v>
      </c>
      <c r="E2311" s="98">
        <v>9.6055555555555602E-2</v>
      </c>
      <c r="F2311" s="120">
        <v>0</v>
      </c>
      <c r="G2311" s="121">
        <v>73187</v>
      </c>
      <c r="H2311" s="123">
        <v>9.6644999999999995E-2</v>
      </c>
      <c r="I2311" s="122">
        <v>7073.1576149999992</v>
      </c>
      <c r="J2311" s="124">
        <f t="shared" si="36"/>
        <v>9.6055555555555602E-2</v>
      </c>
      <c r="K2311" s="98" t="s">
        <v>7106</v>
      </c>
    </row>
    <row r="2312" spans="1:11" ht="15" customHeight="1" x14ac:dyDescent="0.2">
      <c r="A2312" s="120" t="s">
        <v>7107</v>
      </c>
      <c r="B2312" s="120" t="s">
        <v>7024</v>
      </c>
      <c r="C2312" s="98" t="s">
        <v>3533</v>
      </c>
      <c r="D2312" s="120" t="s">
        <v>3534</v>
      </c>
      <c r="E2312" s="98">
        <v>6.8575999999999998E-2</v>
      </c>
      <c r="F2312" s="120">
        <v>0</v>
      </c>
      <c r="G2312" s="121">
        <v>13334</v>
      </c>
      <c r="H2312" s="123">
        <v>6.8575999999999998E-2</v>
      </c>
      <c r="I2312" s="122">
        <v>914.39238399999999</v>
      </c>
      <c r="J2312" s="124">
        <f t="shared" si="36"/>
        <v>6.8575999999999998E-2</v>
      </c>
    </row>
    <row r="2313" spans="1:11" ht="15" customHeight="1" x14ac:dyDescent="0.2">
      <c r="A2313" s="120" t="s">
        <v>7108</v>
      </c>
      <c r="B2313" s="120" t="s">
        <v>7024</v>
      </c>
      <c r="C2313" s="98" t="s">
        <v>3533</v>
      </c>
      <c r="D2313" s="120" t="s">
        <v>3534</v>
      </c>
      <c r="E2313" s="98">
        <v>8.8717000000000004E-2</v>
      </c>
      <c r="F2313" s="120">
        <v>0</v>
      </c>
      <c r="G2313" s="121">
        <v>4741</v>
      </c>
      <c r="H2313" s="123">
        <v>8.8717000000000004E-2</v>
      </c>
      <c r="I2313" s="122">
        <v>420.60729700000002</v>
      </c>
      <c r="J2313" s="124">
        <f t="shared" si="36"/>
        <v>8.8717000000000004E-2</v>
      </c>
    </row>
    <row r="2314" spans="1:11" ht="15" customHeight="1" x14ac:dyDescent="0.2">
      <c r="A2314" s="120" t="s">
        <v>7109</v>
      </c>
      <c r="B2314" s="120" t="s">
        <v>7024</v>
      </c>
      <c r="C2314" s="98" t="s">
        <v>3533</v>
      </c>
      <c r="D2314" s="120" t="s">
        <v>3534</v>
      </c>
      <c r="E2314" s="98">
        <v>7.3039999999999994E-2</v>
      </c>
      <c r="F2314" s="120">
        <v>0</v>
      </c>
      <c r="G2314" s="121">
        <v>45076</v>
      </c>
      <c r="H2314" s="123">
        <v>7.3039999999999994E-2</v>
      </c>
      <c r="I2314" s="122">
        <v>3292.3510399999996</v>
      </c>
      <c r="J2314" s="124">
        <f t="shared" si="36"/>
        <v>7.3039999999999994E-2</v>
      </c>
      <c r="K2314" s="98" t="s">
        <v>7110</v>
      </c>
    </row>
    <row r="2315" spans="1:11" ht="15" customHeight="1" x14ac:dyDescent="0.2">
      <c r="A2315" s="120" t="s">
        <v>7111</v>
      </c>
      <c r="B2315" s="120" t="s">
        <v>7024</v>
      </c>
      <c r="C2315" s="98" t="s">
        <v>3533</v>
      </c>
      <c r="D2315" s="120" t="s">
        <v>3534</v>
      </c>
      <c r="E2315" s="98">
        <v>5.4370000000000002E-2</v>
      </c>
      <c r="F2315" s="120">
        <v>0</v>
      </c>
      <c r="G2315" s="121">
        <v>63608</v>
      </c>
      <c r="H2315" s="123">
        <v>5.4370000000000002E-2</v>
      </c>
      <c r="I2315" s="122">
        <v>3458.3669600000003</v>
      </c>
      <c r="J2315" s="124">
        <f t="shared" si="36"/>
        <v>5.4370000000000002E-2</v>
      </c>
      <c r="K2315" s="98" t="s">
        <v>7112</v>
      </c>
    </row>
    <row r="2316" spans="1:11" ht="15" customHeight="1" x14ac:dyDescent="0.2">
      <c r="A2316" s="120" t="s">
        <v>7113</v>
      </c>
      <c r="B2316" s="120" t="s">
        <v>7024</v>
      </c>
      <c r="C2316" s="98" t="s">
        <v>3533</v>
      </c>
      <c r="D2316" s="120" t="s">
        <v>3534</v>
      </c>
      <c r="E2316" s="98">
        <v>3.7948999999999997E-2</v>
      </c>
      <c r="F2316" s="120">
        <v>0</v>
      </c>
      <c r="G2316" s="121">
        <v>2988</v>
      </c>
      <c r="H2316" s="123">
        <v>3.7948999999999997E-2</v>
      </c>
      <c r="I2316" s="122">
        <v>113.39161199999999</v>
      </c>
      <c r="J2316" s="124">
        <f t="shared" si="36"/>
        <v>3.7948999999999997E-2</v>
      </c>
    </row>
    <row r="2317" spans="1:11" ht="15" customHeight="1" x14ac:dyDescent="0.2">
      <c r="A2317" s="120" t="s">
        <v>7114</v>
      </c>
      <c r="B2317" s="120" t="s">
        <v>7024</v>
      </c>
      <c r="C2317" s="98" t="s">
        <v>3533</v>
      </c>
      <c r="D2317" s="120" t="s">
        <v>3534</v>
      </c>
      <c r="E2317" s="98">
        <v>8.5879999999999998E-2</v>
      </c>
      <c r="F2317" s="120">
        <v>0</v>
      </c>
      <c r="G2317" s="121">
        <v>41346</v>
      </c>
      <c r="H2317" s="123">
        <v>8.5879999999999998E-2</v>
      </c>
      <c r="I2317" s="122">
        <v>3550.79448</v>
      </c>
      <c r="J2317" s="124">
        <f t="shared" si="36"/>
        <v>8.5879999999999998E-2</v>
      </c>
      <c r="K2317" s="98" t="s">
        <v>7115</v>
      </c>
    </row>
    <row r="2318" spans="1:11" ht="15" customHeight="1" x14ac:dyDescent="0.2">
      <c r="A2318" s="120" t="s">
        <v>7116</v>
      </c>
      <c r="B2318" s="120" t="s">
        <v>7024</v>
      </c>
      <c r="C2318" s="98" t="s">
        <v>3533</v>
      </c>
      <c r="D2318" s="120" t="s">
        <v>3534</v>
      </c>
      <c r="E2318" s="98">
        <v>6.8909999999999999E-2</v>
      </c>
      <c r="F2318" s="120">
        <v>0</v>
      </c>
      <c r="G2318" s="121">
        <v>372</v>
      </c>
      <c r="H2318" s="123">
        <v>6.8909999999999999E-2</v>
      </c>
      <c r="I2318" s="122">
        <v>25.634519999999998</v>
      </c>
      <c r="J2318" s="124">
        <f t="shared" si="36"/>
        <v>6.8909999999999999E-2</v>
      </c>
      <c r="K2318" s="98" t="s">
        <v>7117</v>
      </c>
    </row>
    <row r="2319" spans="1:11" ht="15" customHeight="1" x14ac:dyDescent="0.2">
      <c r="A2319" s="120" t="s">
        <v>7118</v>
      </c>
      <c r="B2319" s="120" t="s">
        <v>7024</v>
      </c>
      <c r="C2319" s="98" t="s">
        <v>3533</v>
      </c>
      <c r="D2319" s="120" t="s">
        <v>3534</v>
      </c>
      <c r="E2319" s="98">
        <v>0.101333333333333</v>
      </c>
      <c r="F2319" s="120">
        <v>0</v>
      </c>
      <c r="G2319" s="121">
        <v>8098</v>
      </c>
      <c r="H2319" s="123">
        <v>0.10133300000000001</v>
      </c>
      <c r="I2319" s="122">
        <v>820.59463400000004</v>
      </c>
      <c r="J2319" s="124">
        <f t="shared" si="36"/>
        <v>0.101333333333333</v>
      </c>
      <c r="K2319" s="98" t="s">
        <v>7119</v>
      </c>
    </row>
    <row r="2320" spans="1:11" ht="15" customHeight="1" x14ac:dyDescent="0.2">
      <c r="A2320" s="120" t="s">
        <v>7120</v>
      </c>
      <c r="B2320" s="120" t="s">
        <v>7024</v>
      </c>
      <c r="C2320" s="98" t="s">
        <v>3533</v>
      </c>
      <c r="D2320" s="120" t="s">
        <v>3534</v>
      </c>
      <c r="E2320" s="98">
        <v>4.0800000000000003E-2</v>
      </c>
      <c r="F2320" s="120">
        <v>0</v>
      </c>
      <c r="G2320" s="121">
        <v>46995</v>
      </c>
      <c r="H2320" s="123">
        <v>4.2924999999999998E-2</v>
      </c>
      <c r="I2320" s="122">
        <v>2017.2603749999998</v>
      </c>
      <c r="J2320" s="124">
        <f t="shared" si="36"/>
        <v>4.0800000000000003E-2</v>
      </c>
      <c r="K2320" s="98" t="s">
        <v>7121</v>
      </c>
    </row>
    <row r="2321" spans="1:11" ht="15" customHeight="1" x14ac:dyDescent="0.2">
      <c r="A2321" s="120" t="s">
        <v>7122</v>
      </c>
      <c r="B2321" s="120" t="s">
        <v>7024</v>
      </c>
      <c r="C2321" s="98" t="s">
        <v>3533</v>
      </c>
      <c r="D2321" s="120" t="s">
        <v>3534</v>
      </c>
      <c r="E2321" s="98">
        <v>4.7826923076923107E-2</v>
      </c>
      <c r="F2321" s="120">
        <v>0</v>
      </c>
      <c r="G2321" s="121">
        <v>6736</v>
      </c>
      <c r="H2321" s="123">
        <v>4.7827000000000001E-2</v>
      </c>
      <c r="I2321" s="122">
        <v>322.16267199999999</v>
      </c>
      <c r="J2321" s="124">
        <f t="shared" si="36"/>
        <v>4.7826923076923107E-2</v>
      </c>
    </row>
    <row r="2322" spans="1:11" ht="15" customHeight="1" x14ac:dyDescent="0.2">
      <c r="A2322" s="120" t="s">
        <v>7123</v>
      </c>
      <c r="B2322" s="120" t="s">
        <v>3615</v>
      </c>
      <c r="C2322" s="98" t="s">
        <v>3533</v>
      </c>
      <c r="D2322" s="120" t="s">
        <v>3534</v>
      </c>
      <c r="E2322" s="98">
        <v>1.6629999999999999E-2</v>
      </c>
      <c r="F2322" s="120">
        <v>0</v>
      </c>
      <c r="G2322" s="121">
        <v>0</v>
      </c>
      <c r="H2322" s="123">
        <v>1.6629999999999999E-2</v>
      </c>
      <c r="I2322" s="122">
        <v>0</v>
      </c>
      <c r="J2322" s="124">
        <f t="shared" si="36"/>
        <v>1.6629999999999999E-2</v>
      </c>
      <c r="K2322" s="98" t="s">
        <v>7124</v>
      </c>
    </row>
    <row r="2323" spans="1:11" ht="15" customHeight="1" x14ac:dyDescent="0.2">
      <c r="A2323" s="120" t="s">
        <v>7125</v>
      </c>
      <c r="B2323" s="120" t="s">
        <v>3615</v>
      </c>
      <c r="C2323" s="98" t="s">
        <v>3533</v>
      </c>
      <c r="D2323" s="120" t="s">
        <v>3534</v>
      </c>
      <c r="E2323" s="98">
        <v>0</v>
      </c>
      <c r="F2323" s="120">
        <v>0</v>
      </c>
      <c r="G2323" s="121">
        <v>0</v>
      </c>
      <c r="H2323" s="123">
        <v>0</v>
      </c>
      <c r="I2323" s="122">
        <v>0</v>
      </c>
      <c r="J2323" s="124">
        <f t="shared" si="36"/>
        <v>0</v>
      </c>
      <c r="K2323" s="98" t="s">
        <v>7126</v>
      </c>
    </row>
    <row r="2324" spans="1:11" ht="15" customHeight="1" x14ac:dyDescent="0.2">
      <c r="A2324" s="120" t="s">
        <v>7127</v>
      </c>
      <c r="B2324" s="120" t="s">
        <v>3532</v>
      </c>
      <c r="C2324" s="98" t="s">
        <v>3532</v>
      </c>
      <c r="D2324" s="120" t="s">
        <v>3534</v>
      </c>
      <c r="E2324" s="98">
        <v>1.1195999999999999E-2</v>
      </c>
      <c r="F2324" s="120">
        <v>0</v>
      </c>
      <c r="G2324" s="121">
        <v>0</v>
      </c>
      <c r="H2324" s="123">
        <v>1.1195999999999999E-2</v>
      </c>
      <c r="I2324" s="122">
        <v>0</v>
      </c>
      <c r="J2324" s="124">
        <f t="shared" si="36"/>
        <v>1.1195999999999999E-2</v>
      </c>
    </row>
    <row r="2325" spans="1:11" ht="15" customHeight="1" x14ac:dyDescent="0.2">
      <c r="A2325" s="120" t="s">
        <v>7128</v>
      </c>
      <c r="B2325" s="120" t="s">
        <v>3532</v>
      </c>
      <c r="C2325" s="98" t="s">
        <v>3533</v>
      </c>
      <c r="D2325" s="120" t="s">
        <v>3534</v>
      </c>
      <c r="E2325" s="98">
        <v>2.8739999999999998E-3</v>
      </c>
      <c r="F2325" s="120">
        <v>0</v>
      </c>
      <c r="G2325" s="121">
        <v>0</v>
      </c>
      <c r="H2325" s="123">
        <v>2.8739999999999998E-3</v>
      </c>
      <c r="I2325" s="122">
        <v>0</v>
      </c>
      <c r="J2325" s="124">
        <f t="shared" si="36"/>
        <v>2.8739999999999998E-3</v>
      </c>
    </row>
    <row r="2326" spans="1:11" ht="15" customHeight="1" x14ac:dyDescent="0.2">
      <c r="A2326" s="120" t="s">
        <v>7129</v>
      </c>
      <c r="B2326" s="120" t="s">
        <v>3532</v>
      </c>
      <c r="C2326" s="98" t="s">
        <v>3532</v>
      </c>
      <c r="D2326" s="120" t="s">
        <v>3534</v>
      </c>
      <c r="E2326" s="98">
        <v>5.7250000000000002E-2</v>
      </c>
      <c r="F2326" s="120">
        <v>0</v>
      </c>
      <c r="G2326" s="121">
        <v>0</v>
      </c>
      <c r="H2326" s="123">
        <v>5.7250000000000002E-2</v>
      </c>
      <c r="I2326" s="122">
        <v>0</v>
      </c>
      <c r="J2326" s="124">
        <f t="shared" si="36"/>
        <v>5.7250000000000002E-2</v>
      </c>
    </row>
    <row r="2327" spans="1:11" ht="15" customHeight="1" x14ac:dyDescent="0.2">
      <c r="A2327" s="120" t="s">
        <v>7130</v>
      </c>
      <c r="B2327" s="120" t="s">
        <v>7131</v>
      </c>
      <c r="C2327" s="98" t="s">
        <v>3533</v>
      </c>
      <c r="D2327" s="120" t="s">
        <v>3534</v>
      </c>
      <c r="E2327" s="98">
        <v>0</v>
      </c>
      <c r="F2327" s="120">
        <v>0</v>
      </c>
      <c r="G2327" s="121">
        <v>0</v>
      </c>
      <c r="H2327" s="123">
        <v>0</v>
      </c>
      <c r="I2327" s="122">
        <v>0</v>
      </c>
      <c r="J2327" s="124">
        <f t="shared" si="36"/>
        <v>0</v>
      </c>
    </row>
    <row r="2328" spans="1:11" ht="15" customHeight="1" x14ac:dyDescent="0.2">
      <c r="A2328" s="120" t="s">
        <v>7132</v>
      </c>
      <c r="B2328" s="120" t="s">
        <v>7133</v>
      </c>
      <c r="C2328" s="98" t="s">
        <v>3532</v>
      </c>
      <c r="D2328" s="120" t="s">
        <v>3534</v>
      </c>
      <c r="E2328" s="98">
        <v>0.12</v>
      </c>
      <c r="F2328" s="120">
        <v>0</v>
      </c>
      <c r="G2328" s="121">
        <v>0</v>
      </c>
      <c r="H2328" s="123">
        <v>0.12</v>
      </c>
      <c r="I2328" s="122">
        <v>0</v>
      </c>
      <c r="J2328" s="124">
        <f t="shared" si="36"/>
        <v>0.12</v>
      </c>
    </row>
    <row r="2329" spans="1:11" ht="15" customHeight="1" x14ac:dyDescent="0.2">
      <c r="A2329" s="120" t="s">
        <v>7134</v>
      </c>
      <c r="B2329" s="120" t="s">
        <v>7131</v>
      </c>
      <c r="C2329" s="98" t="s">
        <v>3532</v>
      </c>
      <c r="D2329" s="120" t="s">
        <v>3534</v>
      </c>
      <c r="E2329" s="98">
        <v>3.5000000000000003E-2</v>
      </c>
      <c r="F2329" s="120">
        <v>0</v>
      </c>
      <c r="G2329" s="121">
        <v>0</v>
      </c>
      <c r="H2329" s="123">
        <v>3.5000000000000003E-2</v>
      </c>
      <c r="I2329" s="122">
        <v>0</v>
      </c>
      <c r="J2329" s="124">
        <f t="shared" si="36"/>
        <v>3.5000000000000003E-2</v>
      </c>
    </row>
    <row r="2330" spans="1:11" ht="15" customHeight="1" x14ac:dyDescent="0.2">
      <c r="A2330" s="120" t="s">
        <v>7135</v>
      </c>
      <c r="B2330" s="120" t="s">
        <v>7136</v>
      </c>
      <c r="C2330" s="98" t="s">
        <v>4066</v>
      </c>
      <c r="D2330" s="120" t="s">
        <v>3534</v>
      </c>
      <c r="E2330" s="98">
        <v>0.1</v>
      </c>
      <c r="F2330" s="120">
        <v>0</v>
      </c>
      <c r="G2330" s="121">
        <v>0</v>
      </c>
      <c r="H2330" s="123">
        <v>0.1</v>
      </c>
      <c r="I2330" s="122">
        <v>0</v>
      </c>
      <c r="J2330" s="124">
        <f t="shared" si="36"/>
        <v>0.1</v>
      </c>
    </row>
    <row r="2331" spans="1:11" ht="15" customHeight="1" x14ac:dyDescent="0.2">
      <c r="A2331" s="120" t="s">
        <v>7137</v>
      </c>
      <c r="B2331" s="120" t="s">
        <v>4482</v>
      </c>
      <c r="C2331" s="98" t="s">
        <v>3532</v>
      </c>
      <c r="D2331" s="120" t="s">
        <v>3534</v>
      </c>
      <c r="E2331" s="98">
        <v>3.2439999999999997E-2</v>
      </c>
      <c r="F2331" s="120">
        <v>0</v>
      </c>
      <c r="G2331" s="121">
        <v>0</v>
      </c>
      <c r="H2331" s="123">
        <v>3.2439999999999997E-2</v>
      </c>
      <c r="I2331" s="122">
        <v>0</v>
      </c>
      <c r="J2331" s="124">
        <f t="shared" si="36"/>
        <v>3.2439999999999997E-2</v>
      </c>
    </row>
    <row r="2332" spans="1:11" ht="15" customHeight="1" x14ac:dyDescent="0.2">
      <c r="A2332" s="120" t="s">
        <v>7138</v>
      </c>
      <c r="B2332" s="120" t="s">
        <v>3532</v>
      </c>
      <c r="C2332" s="98" t="s">
        <v>3533</v>
      </c>
      <c r="D2332" s="120" t="s">
        <v>3534</v>
      </c>
      <c r="E2332" s="98">
        <v>2.7199999999999998E-2</v>
      </c>
      <c r="F2332" s="120">
        <v>0</v>
      </c>
      <c r="G2332" s="121">
        <v>1469</v>
      </c>
      <c r="H2332" s="123">
        <v>2.7199999999999998E-2</v>
      </c>
      <c r="I2332" s="122">
        <v>39.956800000000001</v>
      </c>
      <c r="J2332" s="124">
        <f t="shared" si="36"/>
        <v>2.7199999999999998E-2</v>
      </c>
    </row>
    <row r="2333" spans="1:11" ht="15" customHeight="1" x14ac:dyDescent="0.2">
      <c r="A2333" s="120" t="s">
        <v>7139</v>
      </c>
      <c r="B2333" s="120" t="s">
        <v>7140</v>
      </c>
      <c r="C2333" s="98" t="s">
        <v>3533</v>
      </c>
      <c r="D2333" s="120" t="s">
        <v>3534</v>
      </c>
      <c r="E2333" s="98">
        <v>4.96E-3</v>
      </c>
      <c r="F2333" s="120">
        <v>0</v>
      </c>
      <c r="G2333" s="121">
        <v>3450</v>
      </c>
      <c r="H2333" s="123">
        <v>4.96E-3</v>
      </c>
      <c r="I2333" s="122">
        <v>17.111999999999998</v>
      </c>
      <c r="J2333" s="124">
        <f t="shared" si="36"/>
        <v>4.96E-3</v>
      </c>
      <c r="K2333" s="98" t="s">
        <v>7141</v>
      </c>
    </row>
    <row r="2334" spans="1:11" ht="15" customHeight="1" x14ac:dyDescent="0.2">
      <c r="A2334" s="120" t="s">
        <v>7142</v>
      </c>
      <c r="B2334" s="120" t="s">
        <v>3532</v>
      </c>
      <c r="C2334" s="98" t="s">
        <v>3533</v>
      </c>
      <c r="D2334" s="120" t="s">
        <v>3534</v>
      </c>
      <c r="E2334" s="98">
        <v>1.4999999999999999E-2</v>
      </c>
      <c r="F2334" s="120">
        <v>0</v>
      </c>
      <c r="G2334" s="121">
        <v>2746</v>
      </c>
      <c r="H2334" s="123">
        <v>1.4999999999999999E-2</v>
      </c>
      <c r="I2334" s="122">
        <v>41.19</v>
      </c>
      <c r="J2334" s="124">
        <f t="shared" si="36"/>
        <v>1.4999999999999999E-2</v>
      </c>
    </row>
    <row r="2335" spans="1:11" ht="15" customHeight="1" x14ac:dyDescent="0.2">
      <c r="A2335" s="120" t="s">
        <v>7143</v>
      </c>
      <c r="B2335" s="120" t="s">
        <v>4482</v>
      </c>
      <c r="C2335" s="98" t="s">
        <v>3533</v>
      </c>
      <c r="D2335" s="120" t="s">
        <v>3534</v>
      </c>
      <c r="E2335" s="98">
        <v>1.3339999999999999E-2</v>
      </c>
      <c r="F2335" s="120">
        <v>0</v>
      </c>
      <c r="G2335" s="121">
        <v>232180</v>
      </c>
      <c r="H2335" s="123">
        <v>1.2763E-2</v>
      </c>
      <c r="I2335" s="122">
        <v>2963.3133400000002</v>
      </c>
      <c r="J2335" s="124">
        <f t="shared" si="36"/>
        <v>1.3339999999999999E-2</v>
      </c>
    </row>
    <row r="2336" spans="1:11" ht="15" customHeight="1" x14ac:dyDescent="0.2">
      <c r="A2336" s="120" t="s">
        <v>7144</v>
      </c>
      <c r="B2336" s="120" t="s">
        <v>4482</v>
      </c>
      <c r="C2336" s="98" t="s">
        <v>3533</v>
      </c>
      <c r="D2336" s="120" t="s">
        <v>3534</v>
      </c>
      <c r="E2336" s="98">
        <v>3.5999999999999997E-2</v>
      </c>
      <c r="F2336" s="120">
        <v>0</v>
      </c>
      <c r="G2336" s="121">
        <v>516</v>
      </c>
      <c r="H2336" s="123">
        <v>3.5999999999999997E-2</v>
      </c>
      <c r="I2336" s="122">
        <v>18.575999999999997</v>
      </c>
      <c r="J2336" s="124">
        <f t="shared" si="36"/>
        <v>3.5999999999999997E-2</v>
      </c>
      <c r="K2336" s="98" t="s">
        <v>7145</v>
      </c>
    </row>
    <row r="2337" spans="1:11" ht="15" customHeight="1" x14ac:dyDescent="0.2">
      <c r="A2337" s="120" t="s">
        <v>7146</v>
      </c>
      <c r="B2337" s="120" t="s">
        <v>3532</v>
      </c>
      <c r="C2337" s="98" t="s">
        <v>3533</v>
      </c>
      <c r="D2337" s="120" t="s">
        <v>3534</v>
      </c>
      <c r="E2337" s="98">
        <v>0</v>
      </c>
      <c r="F2337" s="120">
        <v>0</v>
      </c>
      <c r="G2337" s="121">
        <v>0</v>
      </c>
      <c r="H2337" s="123">
        <v>0</v>
      </c>
      <c r="I2337" s="122">
        <v>0</v>
      </c>
      <c r="J2337" s="124">
        <f t="shared" si="36"/>
        <v>0</v>
      </c>
    </row>
    <row r="2338" spans="1:11" ht="15" customHeight="1" x14ac:dyDescent="0.2">
      <c r="A2338" s="120" t="s">
        <v>7147</v>
      </c>
      <c r="B2338" s="120" t="s">
        <v>7148</v>
      </c>
      <c r="C2338" s="98" t="s">
        <v>3532</v>
      </c>
      <c r="D2338" s="120" t="s">
        <v>3534</v>
      </c>
      <c r="E2338" s="98">
        <v>9.2499999999999995E-3</v>
      </c>
      <c r="F2338" s="120">
        <v>0</v>
      </c>
      <c r="G2338" s="121">
        <v>0</v>
      </c>
      <c r="H2338" s="123">
        <v>9.2499999999999995E-3</v>
      </c>
      <c r="I2338" s="122">
        <v>0</v>
      </c>
      <c r="J2338" s="124">
        <f t="shared" si="36"/>
        <v>9.2499999999999995E-3</v>
      </c>
    </row>
    <row r="2339" spans="1:11" ht="15" customHeight="1" x14ac:dyDescent="0.2">
      <c r="A2339" s="120" t="s">
        <v>7149</v>
      </c>
      <c r="B2339" s="120" t="s">
        <v>3532</v>
      </c>
      <c r="C2339" s="98" t="s">
        <v>3532</v>
      </c>
      <c r="D2339" s="120" t="s">
        <v>3534</v>
      </c>
      <c r="E2339" s="98">
        <v>0</v>
      </c>
      <c r="F2339" s="120">
        <v>0</v>
      </c>
      <c r="G2339" s="121">
        <v>4400</v>
      </c>
      <c r="H2339" s="123">
        <v>0</v>
      </c>
      <c r="I2339" s="122">
        <v>0</v>
      </c>
      <c r="J2339" s="124">
        <f t="shared" si="36"/>
        <v>0</v>
      </c>
    </row>
    <row r="2340" spans="1:11" ht="15" customHeight="1" x14ac:dyDescent="0.2">
      <c r="A2340" s="120" t="s">
        <v>7150</v>
      </c>
      <c r="B2340" s="120" t="s">
        <v>4482</v>
      </c>
      <c r="C2340" s="98" t="s">
        <v>3533</v>
      </c>
      <c r="D2340" s="120" t="s">
        <v>3534</v>
      </c>
      <c r="E2340" s="98">
        <v>1.44E-2</v>
      </c>
      <c r="F2340" s="120">
        <v>0</v>
      </c>
      <c r="G2340" s="121">
        <v>44706</v>
      </c>
      <c r="H2340" s="123">
        <v>1.44E-2</v>
      </c>
      <c r="I2340" s="122">
        <v>643.76639999999998</v>
      </c>
      <c r="J2340" s="124">
        <f t="shared" si="36"/>
        <v>1.44E-2</v>
      </c>
      <c r="K2340" s="98" t="s">
        <v>7151</v>
      </c>
    </row>
    <row r="2341" spans="1:11" ht="15" customHeight="1" x14ac:dyDescent="0.2">
      <c r="A2341" s="120" t="s">
        <v>7152</v>
      </c>
      <c r="B2341" s="120" t="s">
        <v>7140</v>
      </c>
      <c r="C2341" s="98" t="s">
        <v>3533</v>
      </c>
      <c r="D2341" s="120" t="s">
        <v>3534</v>
      </c>
      <c r="E2341" s="98">
        <v>1.1310000000000001E-2</v>
      </c>
      <c r="F2341" s="120">
        <v>0</v>
      </c>
      <c r="G2341" s="121">
        <v>12349</v>
      </c>
      <c r="H2341" s="123">
        <v>1.1310000000000001E-2</v>
      </c>
      <c r="I2341" s="122">
        <v>139.66719000000001</v>
      </c>
      <c r="J2341" s="124">
        <f t="shared" si="36"/>
        <v>1.1310000000000001E-2</v>
      </c>
      <c r="K2341" s="98" t="s">
        <v>7153</v>
      </c>
    </row>
    <row r="2342" spans="1:11" ht="15" customHeight="1" x14ac:dyDescent="0.2">
      <c r="A2342" s="120" t="s">
        <v>7154</v>
      </c>
      <c r="B2342" s="120" t="s">
        <v>3532</v>
      </c>
      <c r="C2342" s="98" t="s">
        <v>3532</v>
      </c>
      <c r="D2342" s="120" t="s">
        <v>3534</v>
      </c>
      <c r="E2342" s="98">
        <v>2.2499999999999999E-2</v>
      </c>
      <c r="F2342" s="120">
        <v>0</v>
      </c>
      <c r="G2342" s="121">
        <v>0</v>
      </c>
      <c r="H2342" s="123">
        <v>2.2499999999999999E-2</v>
      </c>
      <c r="I2342" s="122">
        <v>0</v>
      </c>
      <c r="J2342" s="124">
        <f t="shared" si="36"/>
        <v>2.2499999999999999E-2</v>
      </c>
    </row>
    <row r="2343" spans="1:11" ht="15" customHeight="1" x14ac:dyDescent="0.2">
      <c r="A2343" s="120" t="s">
        <v>7155</v>
      </c>
      <c r="B2343" s="120" t="s">
        <v>4482</v>
      </c>
      <c r="C2343" s="98" t="s">
        <v>3533</v>
      </c>
      <c r="D2343" s="120" t="s">
        <v>3534</v>
      </c>
      <c r="E2343" s="98">
        <v>2.0199999999999999E-2</v>
      </c>
      <c r="F2343" s="120">
        <v>0</v>
      </c>
      <c r="G2343" s="121">
        <v>11336</v>
      </c>
      <c r="H2343" s="123">
        <v>2.0199999999999999E-2</v>
      </c>
      <c r="I2343" s="122">
        <v>228.9872</v>
      </c>
      <c r="J2343" s="124">
        <f t="shared" si="36"/>
        <v>2.0199999999999999E-2</v>
      </c>
    </row>
    <row r="2344" spans="1:11" ht="15" customHeight="1" x14ac:dyDescent="0.2">
      <c r="A2344" s="120" t="s">
        <v>7156</v>
      </c>
      <c r="B2344" s="120" t="s">
        <v>3532</v>
      </c>
      <c r="C2344" s="98" t="s">
        <v>3532</v>
      </c>
      <c r="D2344" s="120" t="s">
        <v>3534</v>
      </c>
      <c r="E2344" s="98">
        <v>9.4000000000000004E-3</v>
      </c>
      <c r="F2344" s="120">
        <v>0</v>
      </c>
      <c r="G2344" s="121">
        <v>0</v>
      </c>
      <c r="H2344" s="123">
        <v>9.4000000000000004E-3</v>
      </c>
      <c r="I2344" s="122">
        <v>0</v>
      </c>
      <c r="J2344" s="124">
        <f t="shared" si="36"/>
        <v>9.4000000000000004E-3</v>
      </c>
    </row>
    <row r="2345" spans="1:11" ht="15" customHeight="1" x14ac:dyDescent="0.2">
      <c r="A2345" s="120" t="s">
        <v>7157</v>
      </c>
      <c r="B2345" s="120" t="s">
        <v>3532</v>
      </c>
      <c r="C2345" s="98" t="s">
        <v>3533</v>
      </c>
      <c r="D2345" s="120" t="s">
        <v>3534</v>
      </c>
      <c r="E2345" s="98">
        <v>1.231E-2</v>
      </c>
      <c r="F2345" s="120">
        <v>0</v>
      </c>
      <c r="G2345" s="121">
        <v>5249</v>
      </c>
      <c r="H2345" s="123">
        <v>1.231E-2</v>
      </c>
      <c r="I2345" s="122">
        <v>64.615189999999998</v>
      </c>
      <c r="J2345" s="124">
        <f t="shared" si="36"/>
        <v>1.231E-2</v>
      </c>
    </row>
    <row r="2346" spans="1:11" ht="15" customHeight="1" x14ac:dyDescent="0.2">
      <c r="A2346" s="120" t="s">
        <v>7158</v>
      </c>
      <c r="B2346" s="120" t="s">
        <v>3532</v>
      </c>
      <c r="C2346" s="98" t="s">
        <v>3532</v>
      </c>
      <c r="D2346" s="120" t="s">
        <v>3534</v>
      </c>
      <c r="E2346" s="98">
        <v>0</v>
      </c>
      <c r="F2346" s="120">
        <v>0</v>
      </c>
      <c r="G2346" s="121">
        <v>0</v>
      </c>
      <c r="H2346" s="123">
        <v>0</v>
      </c>
      <c r="I2346" s="122">
        <v>0</v>
      </c>
      <c r="J2346" s="124">
        <f t="shared" si="36"/>
        <v>0</v>
      </c>
    </row>
    <row r="2347" spans="1:11" ht="15" customHeight="1" x14ac:dyDescent="0.2">
      <c r="A2347" s="120" t="s">
        <v>7159</v>
      </c>
      <c r="B2347" s="120" t="s">
        <v>4482</v>
      </c>
      <c r="C2347" s="98" t="s">
        <v>3533</v>
      </c>
      <c r="D2347" s="120" t="s">
        <v>3534</v>
      </c>
      <c r="E2347" s="98">
        <v>1.499E-2</v>
      </c>
      <c r="F2347" s="120">
        <v>0</v>
      </c>
      <c r="G2347" s="121">
        <v>15353</v>
      </c>
      <c r="H2347" s="123">
        <v>1.3872000000000001E-2</v>
      </c>
      <c r="I2347" s="122">
        <v>212.97681600000001</v>
      </c>
      <c r="J2347" s="124">
        <f t="shared" si="36"/>
        <v>1.499E-2</v>
      </c>
      <c r="K2347" s="98" t="s">
        <v>7145</v>
      </c>
    </row>
    <row r="2348" spans="1:11" ht="15" customHeight="1" x14ac:dyDescent="0.2">
      <c r="A2348" s="120" t="s">
        <v>7160</v>
      </c>
      <c r="B2348" s="120" t="s">
        <v>7161</v>
      </c>
      <c r="C2348" s="98" t="s">
        <v>3533</v>
      </c>
      <c r="D2348" s="120" t="s">
        <v>3534</v>
      </c>
      <c r="E2348" s="98">
        <v>5.0000000000000001E-3</v>
      </c>
      <c r="F2348" s="120">
        <v>0</v>
      </c>
      <c r="G2348" s="121">
        <v>27248</v>
      </c>
      <c r="H2348" s="123">
        <v>5.0000000000000001E-3</v>
      </c>
      <c r="I2348" s="122">
        <v>136.24</v>
      </c>
      <c r="J2348" s="124">
        <f t="shared" si="36"/>
        <v>5.0000000000000001E-3</v>
      </c>
    </row>
    <row r="2349" spans="1:11" ht="15" customHeight="1" x14ac:dyDescent="0.2">
      <c r="A2349" s="120" t="s">
        <v>7162</v>
      </c>
      <c r="B2349" s="120" t="s">
        <v>4482</v>
      </c>
      <c r="C2349" s="98" t="s">
        <v>3533</v>
      </c>
      <c r="D2349" s="120" t="s">
        <v>3534</v>
      </c>
      <c r="E2349" s="98">
        <v>8.2100000000000003E-3</v>
      </c>
      <c r="F2349" s="120">
        <v>0</v>
      </c>
      <c r="G2349" s="121">
        <v>74490</v>
      </c>
      <c r="H2349" s="123">
        <v>8.2100000000000003E-3</v>
      </c>
      <c r="I2349" s="122">
        <v>611.56290000000001</v>
      </c>
      <c r="J2349" s="124">
        <f t="shared" si="36"/>
        <v>8.2100000000000003E-3</v>
      </c>
      <c r="K2349" s="98" t="s">
        <v>7145</v>
      </c>
    </row>
    <row r="2350" spans="1:11" ht="15" customHeight="1" x14ac:dyDescent="0.2">
      <c r="A2350" s="120" t="s">
        <v>7163</v>
      </c>
      <c r="B2350" s="120" t="s">
        <v>4482</v>
      </c>
      <c r="C2350" s="98" t="s">
        <v>3533</v>
      </c>
      <c r="D2350" s="120" t="s">
        <v>3534</v>
      </c>
      <c r="E2350" s="98">
        <v>8.3899999999999999E-3</v>
      </c>
      <c r="F2350" s="120">
        <v>0</v>
      </c>
      <c r="G2350" s="121">
        <v>56073.000001</v>
      </c>
      <c r="H2350" s="123">
        <v>8.5009999999999999E-3</v>
      </c>
      <c r="I2350" s="122">
        <v>476.67657300850101</v>
      </c>
      <c r="J2350" s="124">
        <f t="shared" si="36"/>
        <v>8.3899999999999999E-3</v>
      </c>
      <c r="K2350" s="98" t="s">
        <v>7145</v>
      </c>
    </row>
    <row r="2351" spans="1:11" ht="15" customHeight="1" x14ac:dyDescent="0.2">
      <c r="A2351" s="120" t="s">
        <v>7164</v>
      </c>
      <c r="B2351" s="120" t="s">
        <v>4482</v>
      </c>
      <c r="C2351" s="98" t="s">
        <v>3533</v>
      </c>
      <c r="D2351" s="120" t="s">
        <v>3534</v>
      </c>
      <c r="E2351" s="98">
        <v>1.1560000000000001E-2</v>
      </c>
      <c r="F2351" s="120">
        <v>0</v>
      </c>
      <c r="G2351" s="121">
        <v>1519</v>
      </c>
      <c r="H2351" s="123">
        <v>1.1560000000000001E-2</v>
      </c>
      <c r="I2351" s="122">
        <v>17.559640000000002</v>
      </c>
      <c r="J2351" s="124">
        <f t="shared" si="36"/>
        <v>1.1560000000000001E-2</v>
      </c>
      <c r="K2351" s="98" t="s">
        <v>7145</v>
      </c>
    </row>
    <row r="2352" spans="1:11" ht="15" customHeight="1" x14ac:dyDescent="0.2">
      <c r="A2352" s="120" t="s">
        <v>7165</v>
      </c>
      <c r="B2352" s="120" t="s">
        <v>4482</v>
      </c>
      <c r="C2352" s="98" t="s">
        <v>3533</v>
      </c>
      <c r="D2352" s="120" t="s">
        <v>3534</v>
      </c>
      <c r="E2352" s="98">
        <v>1.1259999999999999E-2</v>
      </c>
      <c r="F2352" s="120">
        <v>0</v>
      </c>
      <c r="G2352" s="121">
        <v>3765</v>
      </c>
      <c r="H2352" s="123">
        <v>1.1259999999999999E-2</v>
      </c>
      <c r="I2352" s="122">
        <v>42.393899999999995</v>
      </c>
      <c r="J2352" s="124">
        <f t="shared" si="36"/>
        <v>1.1259999999999999E-2</v>
      </c>
      <c r="K2352" s="98" t="s">
        <v>7145</v>
      </c>
    </row>
    <row r="2353" spans="1:11" ht="15" customHeight="1" x14ac:dyDescent="0.2">
      <c r="A2353" s="120" t="s">
        <v>7166</v>
      </c>
      <c r="B2353" s="120" t="s">
        <v>4482</v>
      </c>
      <c r="C2353" s="98" t="s">
        <v>3533</v>
      </c>
      <c r="D2353" s="120" t="s">
        <v>3534</v>
      </c>
      <c r="E2353" s="98">
        <v>6.9800000000000001E-3</v>
      </c>
      <c r="F2353" s="120">
        <v>0</v>
      </c>
      <c r="G2353" s="121">
        <v>25559</v>
      </c>
      <c r="H2353" s="123">
        <v>6.9800000000000001E-3</v>
      </c>
      <c r="I2353" s="122">
        <v>178.40182000000001</v>
      </c>
      <c r="J2353" s="124">
        <f t="shared" si="36"/>
        <v>6.9800000000000001E-3</v>
      </c>
      <c r="K2353" s="98" t="s">
        <v>7167</v>
      </c>
    </row>
    <row r="2354" spans="1:11" ht="15" customHeight="1" x14ac:dyDescent="0.2">
      <c r="A2354" s="120" t="s">
        <v>7168</v>
      </c>
      <c r="B2354" s="120" t="s">
        <v>3532</v>
      </c>
      <c r="C2354" s="98" t="s">
        <v>3533</v>
      </c>
      <c r="D2354" s="120" t="s">
        <v>3534</v>
      </c>
      <c r="E2354" s="98">
        <v>3.7499999999999999E-2</v>
      </c>
      <c r="F2354" s="120">
        <v>0</v>
      </c>
      <c r="G2354" s="121">
        <v>605</v>
      </c>
      <c r="H2354" s="123">
        <v>3.7499999999999999E-2</v>
      </c>
      <c r="I2354" s="122">
        <v>22.6875</v>
      </c>
      <c r="J2354" s="124">
        <f t="shared" si="36"/>
        <v>3.7499999999999999E-2</v>
      </c>
    </row>
    <row r="2355" spans="1:11" ht="15" customHeight="1" x14ac:dyDescent="0.2">
      <c r="A2355" s="120" t="s">
        <v>7169</v>
      </c>
      <c r="B2355" s="120" t="s">
        <v>7140</v>
      </c>
      <c r="C2355" s="98" t="s">
        <v>3533</v>
      </c>
      <c r="D2355" s="120" t="s">
        <v>3534</v>
      </c>
      <c r="E2355" s="98">
        <v>1.0540000000000001E-2</v>
      </c>
      <c r="F2355" s="120">
        <v>0</v>
      </c>
      <c r="G2355" s="121">
        <v>64649</v>
      </c>
      <c r="H2355" s="123">
        <v>1.0540000000000001E-2</v>
      </c>
      <c r="I2355" s="122">
        <v>681.40046000000007</v>
      </c>
      <c r="J2355" s="124">
        <f t="shared" si="36"/>
        <v>1.0540000000000001E-2</v>
      </c>
      <c r="K2355" s="98" t="s">
        <v>7141</v>
      </c>
    </row>
    <row r="2356" spans="1:11" ht="15" customHeight="1" x14ac:dyDescent="0.2">
      <c r="A2356" s="120" t="s">
        <v>7170</v>
      </c>
      <c r="B2356" s="120" t="s">
        <v>4482</v>
      </c>
      <c r="C2356" s="98" t="s">
        <v>3533</v>
      </c>
      <c r="D2356" s="120" t="s">
        <v>3534</v>
      </c>
      <c r="E2356" s="98">
        <v>1.435E-2</v>
      </c>
      <c r="F2356" s="120">
        <v>0</v>
      </c>
      <c r="G2356" s="121">
        <v>5090</v>
      </c>
      <c r="H2356" s="123">
        <v>1.4388E-2</v>
      </c>
      <c r="I2356" s="122">
        <v>73.234920000000002</v>
      </c>
      <c r="J2356" s="124">
        <f t="shared" si="36"/>
        <v>1.435E-2</v>
      </c>
      <c r="K2356" s="98" t="s">
        <v>7171</v>
      </c>
    </row>
    <row r="2357" spans="1:11" ht="15" customHeight="1" x14ac:dyDescent="0.2">
      <c r="A2357" s="120" t="s">
        <v>7172</v>
      </c>
      <c r="B2357" s="120" t="s">
        <v>4482</v>
      </c>
      <c r="C2357" s="98" t="s">
        <v>3533</v>
      </c>
      <c r="D2357" s="120" t="s">
        <v>3534</v>
      </c>
      <c r="E2357" s="98">
        <v>1.532E-2</v>
      </c>
      <c r="F2357" s="120">
        <v>0</v>
      </c>
      <c r="G2357" s="121">
        <v>2220</v>
      </c>
      <c r="H2357" s="123">
        <v>1.532E-2</v>
      </c>
      <c r="I2357" s="122">
        <v>34.010400000000004</v>
      </c>
      <c r="J2357" s="124">
        <f t="shared" si="36"/>
        <v>1.532E-2</v>
      </c>
      <c r="K2357" s="98" t="s">
        <v>7173</v>
      </c>
    </row>
    <row r="2358" spans="1:11" ht="15" customHeight="1" x14ac:dyDescent="0.2">
      <c r="A2358" s="120" t="s">
        <v>7174</v>
      </c>
      <c r="B2358" s="120" t="s">
        <v>3532</v>
      </c>
      <c r="C2358" s="98" t="s">
        <v>3533</v>
      </c>
      <c r="D2358" s="120" t="s">
        <v>3534</v>
      </c>
      <c r="E2358" s="98">
        <v>0</v>
      </c>
      <c r="F2358" s="120">
        <v>0</v>
      </c>
      <c r="G2358" s="121">
        <v>10859</v>
      </c>
      <c r="H2358" s="123">
        <v>0</v>
      </c>
      <c r="I2358" s="122">
        <v>0</v>
      </c>
      <c r="J2358" s="124">
        <f t="shared" si="36"/>
        <v>0</v>
      </c>
    </row>
    <row r="2359" spans="1:11" ht="15" customHeight="1" x14ac:dyDescent="0.2">
      <c r="A2359" s="120" t="s">
        <v>7175</v>
      </c>
      <c r="B2359" s="120" t="s">
        <v>7140</v>
      </c>
      <c r="C2359" s="98" t="s">
        <v>3533</v>
      </c>
      <c r="D2359" s="120" t="s">
        <v>3534</v>
      </c>
      <c r="E2359" s="98">
        <v>8.9999999999999993E-3</v>
      </c>
      <c r="F2359" s="120">
        <v>0</v>
      </c>
      <c r="G2359" s="121">
        <v>42769</v>
      </c>
      <c r="H2359" s="123">
        <v>8.9999999999999993E-3</v>
      </c>
      <c r="I2359" s="122">
        <v>384.92099999999999</v>
      </c>
      <c r="J2359" s="124">
        <f t="shared" si="36"/>
        <v>8.9999999999999993E-3</v>
      </c>
    </row>
    <row r="2360" spans="1:11" ht="15" customHeight="1" x14ac:dyDescent="0.2">
      <c r="A2360" s="120" t="s">
        <v>7176</v>
      </c>
      <c r="B2360" s="120" t="s">
        <v>4482</v>
      </c>
      <c r="C2360" s="98" t="s">
        <v>3533</v>
      </c>
      <c r="D2360" s="120" t="s">
        <v>3534</v>
      </c>
      <c r="E2360" s="98">
        <v>1.363E-2</v>
      </c>
      <c r="F2360" s="120">
        <v>0</v>
      </c>
      <c r="G2360" s="121">
        <v>833</v>
      </c>
      <c r="H2360" s="123">
        <v>1.363E-2</v>
      </c>
      <c r="I2360" s="122">
        <v>11.35379</v>
      </c>
      <c r="J2360" s="124">
        <f t="shared" si="36"/>
        <v>1.363E-2</v>
      </c>
      <c r="K2360" s="98" t="s">
        <v>7177</v>
      </c>
    </row>
    <row r="2361" spans="1:11" ht="15" customHeight="1" x14ac:dyDescent="0.2">
      <c r="A2361" s="120" t="s">
        <v>7178</v>
      </c>
      <c r="B2361" s="120" t="s">
        <v>4482</v>
      </c>
      <c r="C2361" s="98" t="s">
        <v>3533</v>
      </c>
      <c r="D2361" s="120" t="s">
        <v>3534</v>
      </c>
      <c r="E2361" s="98">
        <v>9.7999999999999997E-3</v>
      </c>
      <c r="F2361" s="120">
        <v>0</v>
      </c>
      <c r="G2361" s="121">
        <v>15909</v>
      </c>
      <c r="H2361" s="123">
        <v>9.7999999999999997E-3</v>
      </c>
      <c r="I2361" s="122">
        <v>155.90819999999999</v>
      </c>
      <c r="J2361" s="124">
        <f t="shared" si="36"/>
        <v>9.7999999999999997E-3</v>
      </c>
      <c r="K2361" s="98" t="s">
        <v>7145</v>
      </c>
    </row>
    <row r="2362" spans="1:11" ht="15" customHeight="1" x14ac:dyDescent="0.2">
      <c r="A2362" s="120" t="s">
        <v>7179</v>
      </c>
      <c r="B2362" s="120" t="s">
        <v>3599</v>
      </c>
      <c r="C2362" s="98" t="s">
        <v>3540</v>
      </c>
      <c r="D2362" s="120" t="s">
        <v>3534</v>
      </c>
      <c r="E2362" s="98">
        <v>1.9E-2</v>
      </c>
      <c r="F2362" s="120">
        <v>0</v>
      </c>
      <c r="G2362" s="121">
        <v>0</v>
      </c>
      <c r="H2362" s="123">
        <v>1.9E-2</v>
      </c>
      <c r="I2362" s="122">
        <v>0</v>
      </c>
      <c r="J2362" s="124">
        <f t="shared" si="36"/>
        <v>1.9E-2</v>
      </c>
    </row>
    <row r="2363" spans="1:11" ht="15" customHeight="1" x14ac:dyDescent="0.2">
      <c r="A2363" s="120" t="s">
        <v>7180</v>
      </c>
      <c r="B2363" s="120" t="s">
        <v>3599</v>
      </c>
      <c r="C2363" s="98" t="s">
        <v>3533</v>
      </c>
      <c r="D2363" s="120" t="s">
        <v>3534</v>
      </c>
      <c r="E2363" s="98">
        <v>4.6667E-2</v>
      </c>
      <c r="F2363" s="120">
        <v>0</v>
      </c>
      <c r="G2363" s="121">
        <v>300</v>
      </c>
      <c r="H2363" s="123">
        <v>4.6667E-2</v>
      </c>
      <c r="I2363" s="122">
        <v>14.0001</v>
      </c>
      <c r="J2363" s="124">
        <f t="shared" si="36"/>
        <v>4.6667E-2</v>
      </c>
      <c r="K2363" s="98" t="s">
        <v>7181</v>
      </c>
    </row>
    <row r="2364" spans="1:11" ht="15" customHeight="1" x14ac:dyDescent="0.2">
      <c r="A2364" s="120" t="s">
        <v>7182</v>
      </c>
      <c r="B2364" s="120" t="s">
        <v>7140</v>
      </c>
      <c r="C2364" s="98" t="s">
        <v>3533</v>
      </c>
      <c r="D2364" s="120" t="s">
        <v>3534</v>
      </c>
      <c r="E2364" s="98">
        <v>1.307E-2</v>
      </c>
      <c r="F2364" s="120">
        <v>0</v>
      </c>
      <c r="G2364" s="121">
        <v>6960</v>
      </c>
      <c r="H2364" s="123">
        <v>1.307E-2</v>
      </c>
      <c r="I2364" s="122">
        <v>90.967200000000005</v>
      </c>
      <c r="J2364" s="124">
        <f t="shared" si="36"/>
        <v>1.307E-2</v>
      </c>
      <c r="K2364" s="98" t="s">
        <v>7182</v>
      </c>
    </row>
    <row r="2365" spans="1:11" ht="15" customHeight="1" x14ac:dyDescent="0.2">
      <c r="A2365" s="120" t="s">
        <v>7183</v>
      </c>
      <c r="B2365" s="120" t="s">
        <v>7140</v>
      </c>
      <c r="C2365" s="98" t="s">
        <v>3533</v>
      </c>
      <c r="D2365" s="120" t="s">
        <v>3534</v>
      </c>
      <c r="E2365" s="98">
        <v>8.6999999999999994E-3</v>
      </c>
      <c r="F2365" s="120">
        <v>0</v>
      </c>
      <c r="G2365" s="121">
        <v>4036</v>
      </c>
      <c r="H2365" s="123">
        <v>8.6999999999999994E-3</v>
      </c>
      <c r="I2365" s="122">
        <v>35.113199999999999</v>
      </c>
      <c r="J2365" s="124">
        <f t="shared" si="36"/>
        <v>8.6999999999999994E-3</v>
      </c>
      <c r="K2365" s="98" t="s">
        <v>7183</v>
      </c>
    </row>
    <row r="2366" spans="1:11" ht="15" customHeight="1" x14ac:dyDescent="0.2">
      <c r="A2366" s="120" t="s">
        <v>7184</v>
      </c>
      <c r="B2366" s="120" t="s">
        <v>3532</v>
      </c>
      <c r="C2366" s="98" t="s">
        <v>3532</v>
      </c>
      <c r="D2366" s="120" t="s">
        <v>3534</v>
      </c>
      <c r="E2366" s="98">
        <v>6.7499999999999999E-3</v>
      </c>
      <c r="F2366" s="120">
        <v>0</v>
      </c>
      <c r="G2366" s="121">
        <v>0</v>
      </c>
      <c r="H2366" s="123">
        <v>6.7499999999999999E-3</v>
      </c>
      <c r="I2366" s="122">
        <v>0</v>
      </c>
      <c r="J2366" s="124">
        <f t="shared" si="36"/>
        <v>6.7499999999999999E-3</v>
      </c>
    </row>
    <row r="2367" spans="1:11" ht="15" customHeight="1" x14ac:dyDescent="0.2">
      <c r="A2367" s="120" t="s">
        <v>7185</v>
      </c>
      <c r="B2367" s="120" t="s">
        <v>4482</v>
      </c>
      <c r="C2367" s="98" t="s">
        <v>3533</v>
      </c>
      <c r="D2367" s="120" t="s">
        <v>3534</v>
      </c>
      <c r="E2367" s="98">
        <v>7.4999999999999997E-3</v>
      </c>
      <c r="F2367" s="120">
        <v>0</v>
      </c>
      <c r="G2367" s="121">
        <v>14100</v>
      </c>
      <c r="H2367" s="123">
        <v>7.4999999999999997E-3</v>
      </c>
      <c r="I2367" s="122">
        <v>105.75</v>
      </c>
      <c r="J2367" s="124">
        <f t="shared" si="36"/>
        <v>7.4999999999999997E-3</v>
      </c>
      <c r="K2367" s="98" t="s">
        <v>6331</v>
      </c>
    </row>
    <row r="2368" spans="1:11" ht="15" customHeight="1" x14ac:dyDescent="0.2">
      <c r="A2368" s="120" t="s">
        <v>7186</v>
      </c>
      <c r="B2368" s="120" t="s">
        <v>7140</v>
      </c>
      <c r="C2368" s="98" t="s">
        <v>3540</v>
      </c>
      <c r="D2368" s="120" t="s">
        <v>3534</v>
      </c>
      <c r="E2368" s="98">
        <v>4.64E-3</v>
      </c>
      <c r="F2368" s="120">
        <v>0</v>
      </c>
      <c r="G2368" s="121">
        <v>0</v>
      </c>
      <c r="H2368" s="123">
        <v>4.64E-3</v>
      </c>
      <c r="I2368" s="122">
        <v>0</v>
      </c>
      <c r="J2368" s="124">
        <f t="shared" si="36"/>
        <v>4.64E-3</v>
      </c>
    </row>
    <row r="2369" spans="1:11" ht="15" customHeight="1" x14ac:dyDescent="0.2">
      <c r="A2369" s="120" t="s">
        <v>7187</v>
      </c>
      <c r="B2369" s="120" t="s">
        <v>3599</v>
      </c>
      <c r="C2369" s="98" t="s">
        <v>3533</v>
      </c>
      <c r="D2369" s="120" t="s">
        <v>3534</v>
      </c>
      <c r="E2369" s="98">
        <v>1.7000000000000001E-2</v>
      </c>
      <c r="F2369" s="120">
        <v>0</v>
      </c>
      <c r="G2369" s="121">
        <v>17820</v>
      </c>
      <c r="H2369" s="123">
        <v>1.7000000000000001E-2</v>
      </c>
      <c r="I2369" s="122">
        <v>302.94</v>
      </c>
      <c r="J2369" s="124">
        <f t="shared" si="36"/>
        <v>1.7000000000000001E-2</v>
      </c>
      <c r="K2369" s="98" t="s">
        <v>7188</v>
      </c>
    </row>
    <row r="2370" spans="1:11" ht="15" customHeight="1" x14ac:dyDescent="0.2">
      <c r="A2370" s="120" t="s">
        <v>7189</v>
      </c>
      <c r="B2370" s="120" t="s">
        <v>4482</v>
      </c>
      <c r="C2370" s="98" t="s">
        <v>3533</v>
      </c>
      <c r="D2370" s="120" t="s">
        <v>3534</v>
      </c>
      <c r="E2370" s="98">
        <v>6.6699999999999997E-3</v>
      </c>
      <c r="F2370" s="120">
        <v>0</v>
      </c>
      <c r="G2370" s="121">
        <v>10980</v>
      </c>
      <c r="H2370" s="123">
        <v>6.6699999999999997E-3</v>
      </c>
      <c r="I2370" s="122">
        <v>73.236599999999996</v>
      </c>
      <c r="J2370" s="124">
        <f t="shared" ref="J2370:J2433" si="37">IF(D2370="gm", E2370*1000,+E2370)</f>
        <v>6.6699999999999997E-3</v>
      </c>
    </row>
    <row r="2371" spans="1:11" ht="15" customHeight="1" x14ac:dyDescent="0.2">
      <c r="A2371" s="120" t="s">
        <v>7190</v>
      </c>
      <c r="B2371" s="120" t="s">
        <v>4482</v>
      </c>
      <c r="C2371" s="98" t="s">
        <v>3533</v>
      </c>
      <c r="D2371" s="120" t="s">
        <v>3534</v>
      </c>
      <c r="E2371" s="98">
        <v>1.2999999999999999E-3</v>
      </c>
      <c r="F2371" s="120">
        <v>0</v>
      </c>
      <c r="G2371" s="121">
        <v>4500</v>
      </c>
      <c r="H2371" s="123">
        <v>1.2999999999999999E-3</v>
      </c>
      <c r="I2371" s="122">
        <v>5.85</v>
      </c>
      <c r="J2371" s="124">
        <f t="shared" si="37"/>
        <v>1.2999999999999999E-3</v>
      </c>
      <c r="K2371" s="98" t="s">
        <v>7191</v>
      </c>
    </row>
    <row r="2372" spans="1:11" ht="15" customHeight="1" x14ac:dyDescent="0.2">
      <c r="A2372" s="120" t="s">
        <v>7192</v>
      </c>
      <c r="B2372" s="120" t="s">
        <v>4482</v>
      </c>
      <c r="C2372" s="98" t="s">
        <v>3533</v>
      </c>
      <c r="D2372" s="120" t="s">
        <v>3534</v>
      </c>
      <c r="E2372" s="98">
        <v>35.659999999999997</v>
      </c>
      <c r="F2372" s="120">
        <v>0</v>
      </c>
      <c r="G2372" s="121">
        <v>1.0787500000000001</v>
      </c>
      <c r="H2372" s="123">
        <v>35.659999999999997</v>
      </c>
      <c r="I2372" s="122">
        <v>38.468224999999997</v>
      </c>
      <c r="J2372" s="124">
        <f t="shared" si="37"/>
        <v>35.659999999999997</v>
      </c>
      <c r="K2372" s="98" t="s">
        <v>7193</v>
      </c>
    </row>
    <row r="2373" spans="1:11" ht="15" customHeight="1" x14ac:dyDescent="0.2">
      <c r="A2373" s="120" t="s">
        <v>7194</v>
      </c>
      <c r="B2373" s="120" t="s">
        <v>7140</v>
      </c>
      <c r="C2373" s="98" t="s">
        <v>3533</v>
      </c>
      <c r="D2373" s="120" t="s">
        <v>3534</v>
      </c>
      <c r="E2373" s="98">
        <v>1.2E-2</v>
      </c>
      <c r="F2373" s="120">
        <v>0</v>
      </c>
      <c r="G2373" s="121">
        <v>41962</v>
      </c>
      <c r="H2373" s="123">
        <v>1.2E-2</v>
      </c>
      <c r="I2373" s="122">
        <v>503.54399999999998</v>
      </c>
      <c r="J2373" s="124">
        <f t="shared" si="37"/>
        <v>1.2E-2</v>
      </c>
    </row>
    <row r="2374" spans="1:11" ht="15" customHeight="1" x14ac:dyDescent="0.2">
      <c r="A2374" s="120" t="s">
        <v>7195</v>
      </c>
      <c r="B2374" s="120" t="s">
        <v>4482</v>
      </c>
      <c r="C2374" s="98" t="s">
        <v>3533</v>
      </c>
      <c r="D2374" s="120" t="s">
        <v>3534</v>
      </c>
      <c r="E2374" s="98">
        <v>1.1249999999999999E-3</v>
      </c>
      <c r="F2374" s="120">
        <v>0</v>
      </c>
      <c r="G2374" s="121">
        <v>0</v>
      </c>
      <c r="H2374" s="123">
        <v>1.1249999999999999E-3</v>
      </c>
      <c r="I2374" s="122">
        <v>0</v>
      </c>
      <c r="J2374" s="124">
        <f t="shared" si="37"/>
        <v>1.1249999999999999E-3</v>
      </c>
    </row>
    <row r="2375" spans="1:11" ht="15" customHeight="1" x14ac:dyDescent="0.2">
      <c r="A2375" s="120" t="s">
        <v>7196</v>
      </c>
      <c r="B2375" s="120" t="s">
        <v>4482</v>
      </c>
      <c r="C2375" s="98" t="s">
        <v>3533</v>
      </c>
      <c r="D2375" s="120" t="s">
        <v>3534</v>
      </c>
      <c r="E2375" s="98">
        <v>1.83E-2</v>
      </c>
      <c r="F2375" s="120">
        <v>0</v>
      </c>
      <c r="G2375" s="121">
        <v>17495</v>
      </c>
      <c r="H2375" s="123">
        <v>1.83E-2</v>
      </c>
      <c r="I2375" s="122">
        <v>320.1585</v>
      </c>
      <c r="J2375" s="124">
        <f t="shared" si="37"/>
        <v>1.83E-2</v>
      </c>
      <c r="K2375" s="98" t="s">
        <v>7197</v>
      </c>
    </row>
    <row r="2376" spans="1:11" ht="15" customHeight="1" x14ac:dyDescent="0.2">
      <c r="A2376" s="120" t="s">
        <v>7198</v>
      </c>
      <c r="B2376" s="120" t="s">
        <v>4482</v>
      </c>
      <c r="C2376" s="98" t="s">
        <v>3533</v>
      </c>
      <c r="D2376" s="120" t="s">
        <v>3534</v>
      </c>
      <c r="E2376" s="98">
        <v>8.5540000000000008E-3</v>
      </c>
      <c r="F2376" s="120">
        <v>0</v>
      </c>
      <c r="G2376" s="121">
        <v>6024</v>
      </c>
      <c r="H2376" s="123">
        <v>8.5540000000000008E-3</v>
      </c>
      <c r="I2376" s="122">
        <v>51.529296000000002</v>
      </c>
      <c r="J2376" s="124">
        <f t="shared" si="37"/>
        <v>8.5540000000000008E-3</v>
      </c>
    </row>
    <row r="2377" spans="1:11" ht="15" customHeight="1" x14ac:dyDescent="0.2">
      <c r="A2377" s="120" t="s">
        <v>7199</v>
      </c>
      <c r="B2377" s="120" t="s">
        <v>7140</v>
      </c>
      <c r="C2377" s="98" t="s">
        <v>3533</v>
      </c>
      <c r="D2377" s="120" t="s">
        <v>3534</v>
      </c>
      <c r="E2377" s="98">
        <v>1.333E-2</v>
      </c>
      <c r="F2377" s="120">
        <v>0</v>
      </c>
      <c r="G2377" s="121">
        <v>6528</v>
      </c>
      <c r="H2377" s="123">
        <v>1.333E-2</v>
      </c>
      <c r="I2377" s="122">
        <v>87.018240000000006</v>
      </c>
      <c r="J2377" s="124">
        <f t="shared" si="37"/>
        <v>1.333E-2</v>
      </c>
    </row>
    <row r="2378" spans="1:11" ht="15" customHeight="1" x14ac:dyDescent="0.2">
      <c r="A2378" s="120" t="s">
        <v>7200</v>
      </c>
      <c r="B2378" s="120" t="s">
        <v>7140</v>
      </c>
      <c r="C2378" s="98" t="s">
        <v>3533</v>
      </c>
      <c r="D2378" s="120" t="s">
        <v>3534</v>
      </c>
      <c r="E2378" s="98">
        <v>1.223E-2</v>
      </c>
      <c r="F2378" s="120">
        <v>0</v>
      </c>
      <c r="G2378" s="121">
        <v>115269</v>
      </c>
      <c r="H2378" s="123">
        <v>1.223E-2</v>
      </c>
      <c r="I2378" s="122">
        <v>1409.7398699999999</v>
      </c>
      <c r="J2378" s="124">
        <f t="shared" si="37"/>
        <v>1.223E-2</v>
      </c>
    </row>
    <row r="2379" spans="1:11" ht="15" customHeight="1" x14ac:dyDescent="0.2">
      <c r="A2379" s="120" t="s">
        <v>7201</v>
      </c>
      <c r="B2379" s="120" t="s">
        <v>4482</v>
      </c>
      <c r="C2379" s="98" t="s">
        <v>3533</v>
      </c>
      <c r="D2379" s="120" t="s">
        <v>3534</v>
      </c>
      <c r="E2379" s="98">
        <v>2.6280000000000001E-2</v>
      </c>
      <c r="F2379" s="120">
        <v>0</v>
      </c>
      <c r="G2379" s="121">
        <v>2438</v>
      </c>
      <c r="H2379" s="123">
        <v>2.6280000000000001E-2</v>
      </c>
      <c r="I2379" s="122">
        <v>64.070639999999997</v>
      </c>
      <c r="J2379" s="124">
        <f t="shared" si="37"/>
        <v>2.6280000000000001E-2</v>
      </c>
    </row>
    <row r="2380" spans="1:11" ht="15" customHeight="1" x14ac:dyDescent="0.2">
      <c r="A2380" s="120" t="s">
        <v>7202</v>
      </c>
      <c r="B2380" s="120" t="s">
        <v>7140</v>
      </c>
      <c r="C2380" s="98" t="s">
        <v>3533</v>
      </c>
      <c r="D2380" s="120" t="s">
        <v>3534</v>
      </c>
      <c r="E2380" s="98">
        <v>0</v>
      </c>
      <c r="F2380" s="120">
        <v>0</v>
      </c>
      <c r="G2380" s="121">
        <v>5070</v>
      </c>
      <c r="H2380" s="123">
        <v>0</v>
      </c>
      <c r="I2380" s="122">
        <v>0</v>
      </c>
      <c r="J2380" s="124">
        <f t="shared" si="37"/>
        <v>0</v>
      </c>
    </row>
    <row r="2381" spans="1:11" ht="15" customHeight="1" x14ac:dyDescent="0.2">
      <c r="A2381" s="120" t="s">
        <v>7203</v>
      </c>
      <c r="B2381" s="120" t="s">
        <v>4482</v>
      </c>
      <c r="C2381" s="98" t="s">
        <v>3533</v>
      </c>
      <c r="D2381" s="120" t="s">
        <v>3534</v>
      </c>
      <c r="E2381" s="98">
        <v>2.4899999999999999E-2</v>
      </c>
      <c r="F2381" s="120">
        <v>0</v>
      </c>
      <c r="G2381" s="121">
        <v>52774</v>
      </c>
      <c r="H2381" s="123">
        <v>2.4899999999999999E-2</v>
      </c>
      <c r="I2381" s="122">
        <v>1314.0726</v>
      </c>
      <c r="J2381" s="124">
        <f t="shared" si="37"/>
        <v>2.4899999999999999E-2</v>
      </c>
    </row>
    <row r="2382" spans="1:11" ht="15" customHeight="1" x14ac:dyDescent="0.2">
      <c r="A2382" s="120" t="s">
        <v>7204</v>
      </c>
      <c r="B2382" s="120" t="s">
        <v>4482</v>
      </c>
      <c r="C2382" s="98" t="s">
        <v>3533</v>
      </c>
      <c r="D2382" s="120" t="s">
        <v>3534</v>
      </c>
      <c r="E2382" s="98">
        <v>2.9929999999999998E-2</v>
      </c>
      <c r="F2382" s="120">
        <v>0</v>
      </c>
      <c r="G2382" s="121">
        <v>0</v>
      </c>
      <c r="H2382" s="123">
        <v>2.9929999999999998E-2</v>
      </c>
      <c r="I2382" s="122">
        <v>0</v>
      </c>
      <c r="J2382" s="124">
        <f t="shared" si="37"/>
        <v>2.9929999999999998E-2</v>
      </c>
    </row>
    <row r="2383" spans="1:11" ht="15" customHeight="1" x14ac:dyDescent="0.2">
      <c r="A2383" s="120" t="s">
        <v>7205</v>
      </c>
      <c r="B2383" s="120" t="s">
        <v>4482</v>
      </c>
      <c r="C2383" s="98" t="s">
        <v>3533</v>
      </c>
      <c r="D2383" s="120" t="s">
        <v>3534</v>
      </c>
      <c r="E2383" s="98">
        <v>5.6270000000000001E-2</v>
      </c>
      <c r="F2383" s="120">
        <v>0</v>
      </c>
      <c r="G2383" s="121">
        <v>3000</v>
      </c>
      <c r="H2383" s="123">
        <v>5.6270000000000001E-2</v>
      </c>
      <c r="I2383" s="122">
        <v>168.81</v>
      </c>
      <c r="J2383" s="124">
        <f t="shared" si="37"/>
        <v>5.6270000000000001E-2</v>
      </c>
    </row>
    <row r="2384" spans="1:11" ht="15" customHeight="1" x14ac:dyDescent="0.2">
      <c r="A2384" s="120" t="s">
        <v>7206</v>
      </c>
      <c r="B2384" s="120" t="s">
        <v>3532</v>
      </c>
      <c r="C2384" s="98" t="s">
        <v>3533</v>
      </c>
      <c r="D2384" s="120" t="s">
        <v>3534</v>
      </c>
      <c r="E2384" s="98">
        <v>0</v>
      </c>
      <c r="F2384" s="120">
        <v>0</v>
      </c>
      <c r="G2384" s="121">
        <v>0</v>
      </c>
      <c r="H2384" s="123">
        <v>0</v>
      </c>
      <c r="I2384" s="122">
        <v>0</v>
      </c>
      <c r="J2384" s="124">
        <f t="shared" si="37"/>
        <v>0</v>
      </c>
    </row>
    <row r="2385" spans="1:11" ht="15" customHeight="1" x14ac:dyDescent="0.2">
      <c r="A2385" s="120" t="s">
        <v>7207</v>
      </c>
      <c r="B2385" s="120" t="s">
        <v>4482</v>
      </c>
      <c r="C2385" s="98" t="s">
        <v>3533</v>
      </c>
      <c r="D2385" s="120" t="s">
        <v>3534</v>
      </c>
      <c r="E2385" s="98">
        <v>63.13</v>
      </c>
      <c r="F2385" s="120">
        <v>0</v>
      </c>
      <c r="G2385" s="121">
        <v>6</v>
      </c>
      <c r="H2385" s="123">
        <v>63.13</v>
      </c>
      <c r="I2385" s="122">
        <v>378.78000000000003</v>
      </c>
      <c r="J2385" s="124">
        <f t="shared" si="37"/>
        <v>63.13</v>
      </c>
    </row>
    <row r="2386" spans="1:11" ht="15" customHeight="1" x14ac:dyDescent="0.2">
      <c r="A2386" s="120" t="s">
        <v>7208</v>
      </c>
      <c r="B2386" s="120" t="s">
        <v>4482</v>
      </c>
      <c r="C2386" s="98" t="s">
        <v>3533</v>
      </c>
      <c r="D2386" s="120" t="s">
        <v>3534</v>
      </c>
      <c r="E2386" s="98">
        <v>2.7480000000000001E-2</v>
      </c>
      <c r="F2386" s="120">
        <v>0</v>
      </c>
      <c r="G2386" s="121">
        <v>2617</v>
      </c>
      <c r="H2386" s="123">
        <v>2.7480000000000001E-2</v>
      </c>
      <c r="I2386" s="122">
        <v>71.91516</v>
      </c>
      <c r="J2386" s="124">
        <f t="shared" si="37"/>
        <v>2.7480000000000001E-2</v>
      </c>
    </row>
    <row r="2387" spans="1:11" ht="15" customHeight="1" x14ac:dyDescent="0.2">
      <c r="A2387" s="120" t="s">
        <v>7209</v>
      </c>
      <c r="B2387" s="120" t="s">
        <v>3532</v>
      </c>
      <c r="C2387" s="98" t="s">
        <v>3532</v>
      </c>
      <c r="D2387" s="120" t="s">
        <v>3534</v>
      </c>
      <c r="E2387" s="98">
        <v>45</v>
      </c>
      <c r="F2387" s="120">
        <v>0</v>
      </c>
      <c r="G2387" s="121">
        <v>0</v>
      </c>
      <c r="H2387" s="123">
        <v>45</v>
      </c>
      <c r="I2387" s="122">
        <v>0</v>
      </c>
      <c r="J2387" s="124">
        <f t="shared" si="37"/>
        <v>45</v>
      </c>
    </row>
    <row r="2388" spans="1:11" ht="15" customHeight="1" x14ac:dyDescent="0.2">
      <c r="A2388" s="120" t="s">
        <v>7210</v>
      </c>
      <c r="B2388" s="120" t="s">
        <v>3532</v>
      </c>
      <c r="C2388" s="98" t="s">
        <v>3532</v>
      </c>
      <c r="D2388" s="120" t="s">
        <v>3534</v>
      </c>
      <c r="E2388" s="98">
        <v>45</v>
      </c>
      <c r="F2388" s="120">
        <v>0</v>
      </c>
      <c r="G2388" s="121">
        <v>0</v>
      </c>
      <c r="H2388" s="123">
        <v>45</v>
      </c>
      <c r="I2388" s="122">
        <v>0</v>
      </c>
      <c r="J2388" s="124">
        <f t="shared" si="37"/>
        <v>45</v>
      </c>
    </row>
    <row r="2389" spans="1:11" ht="15" customHeight="1" x14ac:dyDescent="0.2">
      <c r="A2389" s="120" t="s">
        <v>7211</v>
      </c>
      <c r="B2389" s="120" t="s">
        <v>4482</v>
      </c>
      <c r="C2389" s="98" t="s">
        <v>3533</v>
      </c>
      <c r="D2389" s="120" t="s">
        <v>3534</v>
      </c>
      <c r="E2389" s="98">
        <v>1.7999999999999999E-2</v>
      </c>
      <c r="F2389" s="120">
        <v>0</v>
      </c>
      <c r="G2389" s="121">
        <v>0</v>
      </c>
      <c r="H2389" s="123">
        <v>1.7999999999999999E-2</v>
      </c>
      <c r="I2389" s="122">
        <v>0</v>
      </c>
      <c r="J2389" s="124">
        <f t="shared" si="37"/>
        <v>1.7999999999999999E-2</v>
      </c>
    </row>
    <row r="2390" spans="1:11" ht="15" customHeight="1" x14ac:dyDescent="0.2">
      <c r="A2390" s="120" t="s">
        <v>7212</v>
      </c>
      <c r="B2390" s="120" t="s">
        <v>3532</v>
      </c>
      <c r="C2390" s="98" t="s">
        <v>3533</v>
      </c>
      <c r="D2390" s="120" t="s">
        <v>3534</v>
      </c>
      <c r="E2390" s="98">
        <v>2.7470000000000001E-2</v>
      </c>
      <c r="F2390" s="120">
        <v>0</v>
      </c>
      <c r="G2390" s="121">
        <v>534</v>
      </c>
      <c r="H2390" s="123">
        <v>2.7470000000000001E-2</v>
      </c>
      <c r="I2390" s="122">
        <v>14.668980000000001</v>
      </c>
      <c r="J2390" s="124">
        <f t="shared" si="37"/>
        <v>2.7470000000000001E-2</v>
      </c>
    </row>
    <row r="2391" spans="1:11" ht="15" customHeight="1" x14ac:dyDescent="0.2">
      <c r="A2391" s="120" t="s">
        <v>7213</v>
      </c>
      <c r="B2391" s="120" t="s">
        <v>4482</v>
      </c>
      <c r="C2391" s="98" t="s">
        <v>3533</v>
      </c>
      <c r="D2391" s="120" t="s">
        <v>3534</v>
      </c>
      <c r="E2391" s="98">
        <v>2.3179999999999999E-2</v>
      </c>
      <c r="F2391" s="120">
        <v>0</v>
      </c>
      <c r="G2391" s="121">
        <v>4236</v>
      </c>
      <c r="H2391" s="123">
        <v>2.3179999999999999E-2</v>
      </c>
      <c r="I2391" s="122">
        <v>98.190479999999994</v>
      </c>
      <c r="J2391" s="124">
        <f t="shared" si="37"/>
        <v>2.3179999999999999E-2</v>
      </c>
    </row>
    <row r="2392" spans="1:11" ht="15" customHeight="1" x14ac:dyDescent="0.2">
      <c r="A2392" s="120" t="s">
        <v>7214</v>
      </c>
      <c r="B2392" s="120" t="s">
        <v>4482</v>
      </c>
      <c r="C2392" s="98" t="s">
        <v>3533</v>
      </c>
      <c r="D2392" s="120" t="s">
        <v>3534</v>
      </c>
      <c r="E2392" s="98">
        <v>1.6070999999999998E-2</v>
      </c>
      <c r="F2392" s="120">
        <v>0</v>
      </c>
      <c r="G2392" s="121">
        <v>1322</v>
      </c>
      <c r="H2392" s="123">
        <v>1.6070999999999998E-2</v>
      </c>
      <c r="I2392" s="122">
        <v>21.245861999999999</v>
      </c>
      <c r="J2392" s="124">
        <f t="shared" si="37"/>
        <v>1.6070999999999998E-2</v>
      </c>
    </row>
    <row r="2393" spans="1:11" ht="15" customHeight="1" x14ac:dyDescent="0.2">
      <c r="A2393" s="120" t="s">
        <v>7215</v>
      </c>
      <c r="B2393" s="120" t="s">
        <v>4482</v>
      </c>
      <c r="C2393" s="98" t="s">
        <v>3533</v>
      </c>
      <c r="D2393" s="120" t="s">
        <v>3534</v>
      </c>
      <c r="E2393" s="98">
        <v>1.35E-2</v>
      </c>
      <c r="F2393" s="120">
        <v>0</v>
      </c>
      <c r="G2393" s="121">
        <v>6386</v>
      </c>
      <c r="H2393" s="123">
        <v>1.35E-2</v>
      </c>
      <c r="I2393" s="122">
        <v>86.210999999999999</v>
      </c>
      <c r="J2393" s="124">
        <f t="shared" si="37"/>
        <v>1.35E-2</v>
      </c>
    </row>
    <row r="2394" spans="1:11" ht="15" customHeight="1" x14ac:dyDescent="0.2">
      <c r="A2394" s="120" t="s">
        <v>7216</v>
      </c>
      <c r="B2394" s="120" t="s">
        <v>3599</v>
      </c>
      <c r="C2394" s="98" t="s">
        <v>3533</v>
      </c>
      <c r="D2394" s="120" t="s">
        <v>3534</v>
      </c>
      <c r="E2394" s="98">
        <v>1.4999999999999999E-2</v>
      </c>
      <c r="F2394" s="120">
        <v>0</v>
      </c>
      <c r="G2394" s="121">
        <v>20000</v>
      </c>
      <c r="H2394" s="123">
        <v>1.4999999999999999E-2</v>
      </c>
      <c r="I2394" s="122">
        <v>300</v>
      </c>
      <c r="J2394" s="124">
        <f t="shared" si="37"/>
        <v>1.4999999999999999E-2</v>
      </c>
    </row>
    <row r="2395" spans="1:11" ht="15" customHeight="1" x14ac:dyDescent="0.2">
      <c r="A2395" s="120" t="s">
        <v>7217</v>
      </c>
      <c r="B2395" s="120" t="s">
        <v>3532</v>
      </c>
      <c r="C2395" s="98" t="s">
        <v>3532</v>
      </c>
      <c r="D2395" s="120" t="s">
        <v>3534</v>
      </c>
      <c r="E2395" s="98">
        <v>0</v>
      </c>
      <c r="F2395" s="120">
        <v>0</v>
      </c>
      <c r="G2395" s="121">
        <v>4856</v>
      </c>
      <c r="H2395" s="123">
        <v>0</v>
      </c>
      <c r="I2395" s="122">
        <v>0</v>
      </c>
      <c r="J2395" s="124">
        <f t="shared" si="37"/>
        <v>0</v>
      </c>
    </row>
    <row r="2396" spans="1:11" ht="15" customHeight="1" x14ac:dyDescent="0.2">
      <c r="A2396" s="120" t="s">
        <v>7218</v>
      </c>
      <c r="B2396" s="120" t="s">
        <v>7140</v>
      </c>
      <c r="C2396" s="98" t="s">
        <v>3533</v>
      </c>
      <c r="D2396" s="120" t="s">
        <v>3534</v>
      </c>
      <c r="E2396" s="98">
        <v>8.2299999999999995E-3</v>
      </c>
      <c r="F2396" s="120">
        <v>0</v>
      </c>
      <c r="G2396" s="121">
        <v>9852</v>
      </c>
      <c r="H2396" s="123">
        <v>8.2299999999999995E-3</v>
      </c>
      <c r="I2396" s="122">
        <v>81.081959999999995</v>
      </c>
      <c r="J2396" s="124">
        <f t="shared" si="37"/>
        <v>8.2299999999999995E-3</v>
      </c>
    </row>
    <row r="2397" spans="1:11" ht="15" customHeight="1" x14ac:dyDescent="0.2">
      <c r="A2397" s="120" t="s">
        <v>7219</v>
      </c>
      <c r="B2397" s="120" t="s">
        <v>3599</v>
      </c>
      <c r="C2397" s="98" t="s">
        <v>3533</v>
      </c>
      <c r="D2397" s="120" t="s">
        <v>3534</v>
      </c>
      <c r="E2397" s="98">
        <v>2.9000000000000001E-2</v>
      </c>
      <c r="F2397" s="120">
        <v>0</v>
      </c>
      <c r="G2397" s="121">
        <v>903</v>
      </c>
      <c r="H2397" s="123">
        <v>2.9000000000000001E-2</v>
      </c>
      <c r="I2397" s="122">
        <v>26.187000000000001</v>
      </c>
      <c r="J2397" s="124">
        <f t="shared" si="37"/>
        <v>2.9000000000000001E-2</v>
      </c>
      <c r="K2397" s="98" t="s">
        <v>7220</v>
      </c>
    </row>
    <row r="2398" spans="1:11" ht="15" customHeight="1" x14ac:dyDescent="0.2">
      <c r="A2398" s="120" t="s">
        <v>7221</v>
      </c>
      <c r="B2398" s="120" t="s">
        <v>4482</v>
      </c>
      <c r="C2398" s="98" t="s">
        <v>3533</v>
      </c>
      <c r="D2398" s="120" t="s">
        <v>3534</v>
      </c>
      <c r="E2398" s="98">
        <v>0</v>
      </c>
      <c r="F2398" s="120">
        <v>0</v>
      </c>
      <c r="G2398" s="121">
        <v>0</v>
      </c>
      <c r="H2398" s="123">
        <v>0</v>
      </c>
      <c r="I2398" s="122">
        <v>0</v>
      </c>
      <c r="J2398" s="124">
        <f t="shared" si="37"/>
        <v>0</v>
      </c>
      <c r="K2398" s="98" t="s">
        <v>7222</v>
      </c>
    </row>
    <row r="2399" spans="1:11" ht="15" customHeight="1" x14ac:dyDescent="0.2">
      <c r="A2399" s="120" t="s">
        <v>7223</v>
      </c>
      <c r="B2399" s="120" t="s">
        <v>4482</v>
      </c>
      <c r="C2399" s="98" t="s">
        <v>3533</v>
      </c>
      <c r="D2399" s="120" t="s">
        <v>3534</v>
      </c>
      <c r="E2399" s="98">
        <v>1.7989999999999999E-2</v>
      </c>
      <c r="F2399" s="120">
        <v>0</v>
      </c>
      <c r="G2399" s="121">
        <v>5100</v>
      </c>
      <c r="H2399" s="123">
        <v>1.7989999999999999E-2</v>
      </c>
      <c r="I2399" s="122">
        <v>91.748999999999995</v>
      </c>
      <c r="J2399" s="124">
        <f t="shared" si="37"/>
        <v>1.7989999999999999E-2</v>
      </c>
    </row>
    <row r="2400" spans="1:11" ht="15" customHeight="1" x14ac:dyDescent="0.2">
      <c r="A2400" s="120" t="s">
        <v>7224</v>
      </c>
      <c r="B2400" s="120" t="s">
        <v>4482</v>
      </c>
      <c r="C2400" s="98" t="s">
        <v>3532</v>
      </c>
      <c r="D2400" s="120" t="s">
        <v>3534</v>
      </c>
      <c r="E2400" s="98">
        <v>45</v>
      </c>
      <c r="F2400" s="120">
        <v>0</v>
      </c>
      <c r="G2400" s="121">
        <v>1</v>
      </c>
      <c r="H2400" s="123">
        <v>45</v>
      </c>
      <c r="I2400" s="122">
        <v>45</v>
      </c>
      <c r="J2400" s="124">
        <f t="shared" si="37"/>
        <v>45</v>
      </c>
    </row>
    <row r="2401" spans="1:11" ht="15" customHeight="1" x14ac:dyDescent="0.2">
      <c r="A2401" s="120" t="s">
        <v>7225</v>
      </c>
      <c r="B2401" s="120" t="s">
        <v>4482</v>
      </c>
      <c r="C2401" s="98" t="s">
        <v>3533</v>
      </c>
      <c r="D2401" s="120" t="s">
        <v>3534</v>
      </c>
      <c r="E2401" s="98">
        <v>1.7950000000000001E-2</v>
      </c>
      <c r="F2401" s="120">
        <v>0</v>
      </c>
      <c r="G2401" s="121">
        <v>385</v>
      </c>
      <c r="H2401" s="123">
        <v>1.7950000000000001E-2</v>
      </c>
      <c r="I2401" s="122">
        <v>6.9107500000000002</v>
      </c>
      <c r="J2401" s="124">
        <f t="shared" si="37"/>
        <v>1.7950000000000001E-2</v>
      </c>
      <c r="K2401" s="98" t="s">
        <v>7226</v>
      </c>
    </row>
    <row r="2402" spans="1:11" ht="15" customHeight="1" x14ac:dyDescent="0.2">
      <c r="A2402" s="120" t="s">
        <v>7227</v>
      </c>
      <c r="B2402" s="120" t="s">
        <v>3599</v>
      </c>
      <c r="C2402" s="98" t="s">
        <v>3533</v>
      </c>
      <c r="D2402" s="120" t="s">
        <v>3534</v>
      </c>
      <c r="E2402" s="98">
        <v>2.1000000000000001E-2</v>
      </c>
      <c r="F2402" s="120">
        <v>0</v>
      </c>
      <c r="G2402" s="121">
        <v>4995</v>
      </c>
      <c r="H2402" s="123">
        <v>2.1000000000000001E-2</v>
      </c>
      <c r="I2402" s="122">
        <v>104.89500000000001</v>
      </c>
      <c r="J2402" s="124">
        <f t="shared" si="37"/>
        <v>2.1000000000000001E-2</v>
      </c>
      <c r="K2402" s="98" t="s">
        <v>7228</v>
      </c>
    </row>
    <row r="2403" spans="1:11" ht="15" customHeight="1" x14ac:dyDescent="0.2">
      <c r="A2403" s="120" t="s">
        <v>7229</v>
      </c>
      <c r="B2403" s="120" t="s">
        <v>4482</v>
      </c>
      <c r="C2403" s="98" t="s">
        <v>3533</v>
      </c>
      <c r="D2403" s="120" t="s">
        <v>3534</v>
      </c>
      <c r="E2403" s="98">
        <v>2.2651000000000001E-2</v>
      </c>
      <c r="F2403" s="120">
        <v>0</v>
      </c>
      <c r="G2403" s="121">
        <v>14940</v>
      </c>
      <c r="H2403" s="123">
        <v>2.2651000000000001E-2</v>
      </c>
      <c r="I2403" s="122">
        <v>338.40593999999999</v>
      </c>
      <c r="J2403" s="124">
        <f t="shared" si="37"/>
        <v>2.2651000000000001E-2</v>
      </c>
      <c r="K2403" s="98" t="s">
        <v>7230</v>
      </c>
    </row>
    <row r="2404" spans="1:11" ht="15" customHeight="1" x14ac:dyDescent="0.2">
      <c r="A2404" s="120" t="s">
        <v>7231</v>
      </c>
      <c r="B2404" s="120" t="s">
        <v>4482</v>
      </c>
      <c r="C2404" s="98" t="s">
        <v>3533</v>
      </c>
      <c r="D2404" s="120" t="s">
        <v>3534</v>
      </c>
      <c r="E2404" s="98">
        <v>1.8599999999999998E-2</v>
      </c>
      <c r="F2404" s="120">
        <v>0</v>
      </c>
      <c r="G2404" s="121">
        <v>8750</v>
      </c>
      <c r="H2404" s="123">
        <v>1.8599999999999998E-2</v>
      </c>
      <c r="I2404" s="122">
        <v>162.75</v>
      </c>
      <c r="J2404" s="124">
        <f t="shared" si="37"/>
        <v>1.8599999999999998E-2</v>
      </c>
    </row>
    <row r="2405" spans="1:11" ht="15" customHeight="1" x14ac:dyDescent="0.2">
      <c r="A2405" s="120" t="s">
        <v>7232</v>
      </c>
      <c r="B2405" s="120" t="s">
        <v>4482</v>
      </c>
      <c r="C2405" s="98" t="s">
        <v>3533</v>
      </c>
      <c r="D2405" s="120" t="s">
        <v>3534</v>
      </c>
      <c r="E2405" s="98">
        <v>1.452E-2</v>
      </c>
      <c r="F2405" s="120">
        <v>0</v>
      </c>
      <c r="G2405" s="121">
        <v>2950</v>
      </c>
      <c r="H2405" s="123">
        <v>1.452E-2</v>
      </c>
      <c r="I2405" s="122">
        <v>42.834000000000003</v>
      </c>
      <c r="J2405" s="124">
        <f t="shared" si="37"/>
        <v>1.452E-2</v>
      </c>
    </row>
    <row r="2406" spans="1:11" ht="15" customHeight="1" x14ac:dyDescent="0.2">
      <c r="A2406" s="120" t="s">
        <v>7233</v>
      </c>
      <c r="B2406" s="120" t="s">
        <v>7140</v>
      </c>
      <c r="C2406" s="98" t="s">
        <v>3533</v>
      </c>
      <c r="D2406" s="120" t="s">
        <v>3534</v>
      </c>
      <c r="E2406" s="98">
        <v>2.0650000000000002E-2</v>
      </c>
      <c r="F2406" s="120">
        <v>0</v>
      </c>
      <c r="G2406" s="121">
        <v>4898</v>
      </c>
      <c r="H2406" s="123">
        <v>2.0650000000000002E-2</v>
      </c>
      <c r="I2406" s="122">
        <v>101.14370000000001</v>
      </c>
      <c r="J2406" s="124">
        <f t="shared" si="37"/>
        <v>2.0650000000000002E-2</v>
      </c>
      <c r="K2406" s="98" t="s">
        <v>7234</v>
      </c>
    </row>
    <row r="2407" spans="1:11" ht="15" customHeight="1" x14ac:dyDescent="0.2">
      <c r="A2407" s="120" t="s">
        <v>7235</v>
      </c>
      <c r="B2407" s="120" t="s">
        <v>7140</v>
      </c>
      <c r="C2407" s="98" t="s">
        <v>3533</v>
      </c>
      <c r="D2407" s="120" t="s">
        <v>3534</v>
      </c>
      <c r="E2407" s="98">
        <v>1.559E-2</v>
      </c>
      <c r="F2407" s="120">
        <v>0</v>
      </c>
      <c r="G2407" s="121">
        <v>5050</v>
      </c>
      <c r="H2407" s="123">
        <v>1.559E-2</v>
      </c>
      <c r="I2407" s="122">
        <v>78.729500000000002</v>
      </c>
      <c r="J2407" s="124">
        <f t="shared" si="37"/>
        <v>1.559E-2</v>
      </c>
      <c r="K2407" s="98" t="s">
        <v>7236</v>
      </c>
    </row>
    <row r="2408" spans="1:11" ht="15" customHeight="1" x14ac:dyDescent="0.2">
      <c r="A2408" s="120" t="s">
        <v>7237</v>
      </c>
      <c r="B2408" s="120" t="s">
        <v>3532</v>
      </c>
      <c r="C2408" s="98" t="s">
        <v>3533</v>
      </c>
      <c r="D2408" s="120" t="s">
        <v>3534</v>
      </c>
      <c r="E2408" s="98">
        <v>8.8100000000000001E-3</v>
      </c>
      <c r="F2408" s="120">
        <v>0</v>
      </c>
      <c r="G2408" s="121">
        <v>19262</v>
      </c>
      <c r="H2408" s="123">
        <v>8.8100000000000001E-3</v>
      </c>
      <c r="I2408" s="122">
        <v>169.69821999999999</v>
      </c>
      <c r="J2408" s="124">
        <f t="shared" si="37"/>
        <v>8.8100000000000001E-3</v>
      </c>
    </row>
    <row r="2409" spans="1:11" ht="15" customHeight="1" x14ac:dyDescent="0.2">
      <c r="A2409" s="120" t="s">
        <v>7238</v>
      </c>
      <c r="B2409" s="120" t="s">
        <v>7140</v>
      </c>
      <c r="C2409" s="98" t="s">
        <v>3533</v>
      </c>
      <c r="D2409" s="120" t="s">
        <v>3534</v>
      </c>
      <c r="E2409" s="98">
        <v>0</v>
      </c>
      <c r="F2409" s="120">
        <v>0</v>
      </c>
      <c r="G2409" s="121">
        <v>0</v>
      </c>
      <c r="H2409" s="123">
        <v>0</v>
      </c>
      <c r="I2409" s="122">
        <v>0</v>
      </c>
      <c r="J2409" s="124">
        <f t="shared" si="37"/>
        <v>0</v>
      </c>
    </row>
    <row r="2410" spans="1:11" ht="15" customHeight="1" x14ac:dyDescent="0.2">
      <c r="A2410" s="120" t="s">
        <v>7239</v>
      </c>
      <c r="B2410" s="120" t="s">
        <v>7140</v>
      </c>
      <c r="C2410" s="98" t="s">
        <v>3533</v>
      </c>
      <c r="D2410" s="120" t="s">
        <v>3534</v>
      </c>
      <c r="E2410" s="98">
        <v>2.4750000000000001E-2</v>
      </c>
      <c r="F2410" s="120">
        <v>0</v>
      </c>
      <c r="G2410" s="121">
        <v>25000</v>
      </c>
      <c r="H2410" s="123">
        <v>2.4750000000000001E-2</v>
      </c>
      <c r="I2410" s="122">
        <v>618.75</v>
      </c>
      <c r="J2410" s="124">
        <f t="shared" si="37"/>
        <v>2.4750000000000001E-2</v>
      </c>
      <c r="K2410" s="98" t="s">
        <v>7240</v>
      </c>
    </row>
    <row r="2411" spans="1:11" ht="15" customHeight="1" x14ac:dyDescent="0.2">
      <c r="A2411" s="120" t="s">
        <v>7241</v>
      </c>
      <c r="B2411" s="120" t="s">
        <v>4482</v>
      </c>
      <c r="C2411" s="98" t="s">
        <v>3533</v>
      </c>
      <c r="D2411" s="120" t="s">
        <v>3534</v>
      </c>
      <c r="E2411" s="98">
        <v>1.567E-2</v>
      </c>
      <c r="F2411" s="120">
        <v>0</v>
      </c>
      <c r="G2411" s="121">
        <v>25244</v>
      </c>
      <c r="H2411" s="123">
        <v>1.567E-2</v>
      </c>
      <c r="I2411" s="122">
        <v>395.57348000000002</v>
      </c>
      <c r="J2411" s="124">
        <f t="shared" si="37"/>
        <v>1.567E-2</v>
      </c>
    </row>
    <row r="2412" spans="1:11" ht="15" customHeight="1" x14ac:dyDescent="0.2">
      <c r="A2412" s="120" t="s">
        <v>7242</v>
      </c>
      <c r="B2412" s="120" t="s">
        <v>7140</v>
      </c>
      <c r="C2412" s="98" t="s">
        <v>3533</v>
      </c>
      <c r="D2412" s="120" t="s">
        <v>3534</v>
      </c>
      <c r="E2412" s="98">
        <v>1.83E-2</v>
      </c>
      <c r="F2412" s="120">
        <v>0</v>
      </c>
      <c r="G2412" s="121">
        <v>22000</v>
      </c>
      <c r="H2412" s="123">
        <v>1.83E-2</v>
      </c>
      <c r="I2412" s="122">
        <v>402.6</v>
      </c>
      <c r="J2412" s="124">
        <f t="shared" si="37"/>
        <v>1.83E-2</v>
      </c>
    </row>
    <row r="2413" spans="1:11" ht="15" customHeight="1" x14ac:dyDescent="0.2">
      <c r="A2413" s="120" t="s">
        <v>7243</v>
      </c>
      <c r="B2413" s="120" t="s">
        <v>4482</v>
      </c>
      <c r="C2413" s="98" t="s">
        <v>3532</v>
      </c>
      <c r="D2413" s="120" t="s">
        <v>3534</v>
      </c>
      <c r="E2413" s="98">
        <v>1.7059999999999999E-2</v>
      </c>
      <c r="F2413" s="120">
        <v>0</v>
      </c>
      <c r="G2413" s="121">
        <v>2861</v>
      </c>
      <c r="H2413" s="123">
        <v>1.7059999999999999E-2</v>
      </c>
      <c r="I2413" s="122">
        <v>48.808659999999996</v>
      </c>
      <c r="J2413" s="124">
        <f t="shared" si="37"/>
        <v>1.7059999999999999E-2</v>
      </c>
    </row>
    <row r="2414" spans="1:11" ht="15" customHeight="1" x14ac:dyDescent="0.2">
      <c r="A2414" s="120" t="s">
        <v>7244</v>
      </c>
      <c r="B2414" s="120" t="s">
        <v>4482</v>
      </c>
      <c r="C2414" s="98" t="s">
        <v>3533</v>
      </c>
      <c r="D2414" s="120" t="s">
        <v>3534</v>
      </c>
      <c r="E2414" s="98">
        <v>0.09</v>
      </c>
      <c r="F2414" s="120">
        <v>0</v>
      </c>
      <c r="G2414" s="121">
        <v>2950</v>
      </c>
      <c r="H2414" s="123">
        <v>0.09</v>
      </c>
      <c r="I2414" s="122">
        <v>265.5</v>
      </c>
      <c r="J2414" s="124">
        <f t="shared" si="37"/>
        <v>0.09</v>
      </c>
    </row>
    <row r="2415" spans="1:11" ht="15" customHeight="1" x14ac:dyDescent="0.2">
      <c r="A2415" s="120" t="s">
        <v>7245</v>
      </c>
      <c r="B2415" s="120" t="s">
        <v>7140</v>
      </c>
      <c r="C2415" s="98" t="s">
        <v>3533</v>
      </c>
      <c r="D2415" s="120" t="s">
        <v>3534</v>
      </c>
      <c r="E2415" s="98">
        <v>0</v>
      </c>
      <c r="F2415" s="120">
        <v>0</v>
      </c>
      <c r="G2415" s="121">
        <v>0</v>
      </c>
      <c r="H2415" s="123">
        <v>0</v>
      </c>
      <c r="I2415" s="122">
        <v>0</v>
      </c>
      <c r="J2415" s="124">
        <f t="shared" si="37"/>
        <v>0</v>
      </c>
    </row>
    <row r="2416" spans="1:11" ht="15" customHeight="1" x14ac:dyDescent="0.2">
      <c r="A2416" s="120" t="s">
        <v>7246</v>
      </c>
      <c r="B2416" s="120" t="s">
        <v>7140</v>
      </c>
      <c r="C2416" s="98" t="s">
        <v>3533</v>
      </c>
      <c r="D2416" s="120" t="s">
        <v>3534</v>
      </c>
      <c r="E2416" s="98">
        <v>2.6519999999999998E-2</v>
      </c>
      <c r="F2416" s="120">
        <v>0</v>
      </c>
      <c r="G2416" s="121">
        <v>45479</v>
      </c>
      <c r="H2416" s="123">
        <v>2.6519999999999998E-2</v>
      </c>
      <c r="I2416" s="122">
        <v>1206.1030799999999</v>
      </c>
      <c r="J2416" s="124">
        <f t="shared" si="37"/>
        <v>2.6519999999999998E-2</v>
      </c>
      <c r="K2416" s="98" t="s">
        <v>7247</v>
      </c>
    </row>
    <row r="2417" spans="1:11" ht="15" customHeight="1" x14ac:dyDescent="0.2">
      <c r="A2417" s="120" t="s">
        <v>7248</v>
      </c>
      <c r="B2417" s="120" t="s">
        <v>7140</v>
      </c>
      <c r="C2417" s="98" t="s">
        <v>3533</v>
      </c>
      <c r="D2417" s="120" t="s">
        <v>3534</v>
      </c>
      <c r="E2417" s="98">
        <v>1.9480000000000001E-2</v>
      </c>
      <c r="F2417" s="120">
        <v>0</v>
      </c>
      <c r="G2417" s="121">
        <v>27150</v>
      </c>
      <c r="H2417" s="123">
        <v>1.9480000000000001E-2</v>
      </c>
      <c r="I2417" s="122">
        <v>528.88200000000006</v>
      </c>
      <c r="J2417" s="124">
        <f t="shared" si="37"/>
        <v>1.9480000000000001E-2</v>
      </c>
    </row>
    <row r="2418" spans="1:11" ht="15" customHeight="1" x14ac:dyDescent="0.2">
      <c r="A2418" s="120" t="s">
        <v>7249</v>
      </c>
      <c r="B2418" s="120" t="s">
        <v>7140</v>
      </c>
      <c r="C2418" s="98" t="s">
        <v>3533</v>
      </c>
      <c r="D2418" s="120" t="s">
        <v>3534</v>
      </c>
      <c r="E2418" s="98">
        <v>2.45194805194805E-2</v>
      </c>
      <c r="F2418" s="120">
        <v>0</v>
      </c>
      <c r="G2418" s="121">
        <v>3800</v>
      </c>
      <c r="H2418" s="123">
        <v>2.4518999999999999E-2</v>
      </c>
      <c r="I2418" s="122">
        <v>93.172200000000004</v>
      </c>
      <c r="J2418" s="124">
        <f t="shared" si="37"/>
        <v>2.45194805194805E-2</v>
      </c>
      <c r="K2418" s="98" t="s">
        <v>7250</v>
      </c>
    </row>
    <row r="2419" spans="1:11" ht="15" customHeight="1" x14ac:dyDescent="0.2">
      <c r="A2419" s="120" t="s">
        <v>7251</v>
      </c>
      <c r="B2419" s="120" t="s">
        <v>4482</v>
      </c>
      <c r="C2419" s="98" t="s">
        <v>3533</v>
      </c>
      <c r="D2419" s="120" t="s">
        <v>3534</v>
      </c>
      <c r="E2419" s="98">
        <v>6.6790000000000002E-2</v>
      </c>
      <c r="F2419" s="120">
        <v>0</v>
      </c>
      <c r="G2419" s="121">
        <v>3355</v>
      </c>
      <c r="H2419" s="123">
        <v>6.6790000000000002E-2</v>
      </c>
      <c r="I2419" s="122">
        <v>224.08045000000001</v>
      </c>
      <c r="J2419" s="124">
        <f t="shared" si="37"/>
        <v>6.6790000000000002E-2</v>
      </c>
    </row>
    <row r="2420" spans="1:11" ht="15" customHeight="1" x14ac:dyDescent="0.2">
      <c r="A2420" s="120" t="s">
        <v>7252</v>
      </c>
      <c r="B2420" s="120" t="s">
        <v>4482</v>
      </c>
      <c r="C2420" s="98" t="s">
        <v>3533</v>
      </c>
      <c r="D2420" s="120" t="s">
        <v>3534</v>
      </c>
      <c r="E2420" s="98">
        <v>6.06498091603054E-2</v>
      </c>
      <c r="F2420" s="120">
        <v>0</v>
      </c>
      <c r="G2420" s="121">
        <v>7886</v>
      </c>
      <c r="H2420" s="123">
        <v>6.0650000000000003E-2</v>
      </c>
      <c r="I2420" s="122">
        <v>478.28590000000003</v>
      </c>
      <c r="J2420" s="124">
        <f t="shared" si="37"/>
        <v>6.06498091603054E-2</v>
      </c>
    </row>
    <row r="2421" spans="1:11" ht="15" customHeight="1" x14ac:dyDescent="0.2">
      <c r="A2421" s="120" t="s">
        <v>7253</v>
      </c>
      <c r="B2421" s="120" t="s">
        <v>4482</v>
      </c>
      <c r="C2421" s="98" t="s">
        <v>3533</v>
      </c>
      <c r="D2421" s="120" t="s">
        <v>3534</v>
      </c>
      <c r="E2421" s="98">
        <v>8.6300000000000005E-3</v>
      </c>
      <c r="F2421" s="120">
        <v>0</v>
      </c>
      <c r="G2421" s="121">
        <v>34872</v>
      </c>
      <c r="H2421" s="123">
        <v>8.6300000000000005E-3</v>
      </c>
      <c r="I2421" s="122">
        <v>300.94535999999999</v>
      </c>
      <c r="J2421" s="124">
        <f t="shared" si="37"/>
        <v>8.6300000000000005E-3</v>
      </c>
    </row>
    <row r="2422" spans="1:11" ht="15" customHeight="1" x14ac:dyDescent="0.2">
      <c r="A2422" s="120" t="s">
        <v>7254</v>
      </c>
      <c r="B2422" s="120" t="s">
        <v>4482</v>
      </c>
      <c r="C2422" s="98" t="s">
        <v>3533</v>
      </c>
      <c r="D2422" s="120" t="s">
        <v>3534</v>
      </c>
      <c r="E2422" s="98">
        <v>0</v>
      </c>
      <c r="F2422" s="120">
        <v>0</v>
      </c>
      <c r="G2422" s="121">
        <v>20000</v>
      </c>
      <c r="H2422" s="123">
        <v>0</v>
      </c>
      <c r="I2422" s="122">
        <v>0</v>
      </c>
      <c r="J2422" s="124">
        <f t="shared" si="37"/>
        <v>0</v>
      </c>
    </row>
    <row r="2423" spans="1:11" ht="15" customHeight="1" x14ac:dyDescent="0.2">
      <c r="A2423" s="120" t="s">
        <v>7255</v>
      </c>
      <c r="B2423" s="120" t="s">
        <v>4482</v>
      </c>
      <c r="C2423" s="98" t="s">
        <v>3533</v>
      </c>
      <c r="D2423" s="120" t="s">
        <v>3534</v>
      </c>
      <c r="E2423" s="98">
        <v>1.5990000000000001E-2</v>
      </c>
      <c r="F2423" s="120">
        <v>0</v>
      </c>
      <c r="G2423" s="121">
        <v>4135</v>
      </c>
      <c r="H2423" s="123">
        <v>1.5990000000000001E-2</v>
      </c>
      <c r="I2423" s="122">
        <v>66.118650000000002</v>
      </c>
      <c r="J2423" s="124">
        <f t="shared" si="37"/>
        <v>1.5990000000000001E-2</v>
      </c>
      <c r="K2423" s="98" t="s">
        <v>7256</v>
      </c>
    </row>
    <row r="2424" spans="1:11" ht="15" customHeight="1" x14ac:dyDescent="0.2">
      <c r="A2424" s="120" t="s">
        <v>7257</v>
      </c>
      <c r="B2424" s="120" t="s">
        <v>4482</v>
      </c>
      <c r="C2424" s="98" t="s">
        <v>3533</v>
      </c>
      <c r="D2424" s="120" t="s">
        <v>3534</v>
      </c>
      <c r="E2424" s="98">
        <v>1.7307692307692302E-2</v>
      </c>
      <c r="F2424" s="120">
        <v>0</v>
      </c>
      <c r="G2424" s="121">
        <v>60</v>
      </c>
      <c r="H2424" s="123">
        <v>1.7308E-2</v>
      </c>
      <c r="I2424" s="122">
        <v>1.0384800000000001</v>
      </c>
      <c r="J2424" s="124">
        <f t="shared" si="37"/>
        <v>1.7307692307692302E-2</v>
      </c>
      <c r="K2424" s="98" t="s">
        <v>7258</v>
      </c>
    </row>
    <row r="2425" spans="1:11" ht="15" customHeight="1" x14ac:dyDescent="0.2">
      <c r="A2425" s="120" t="s">
        <v>7259</v>
      </c>
      <c r="B2425" s="120" t="s">
        <v>4482</v>
      </c>
      <c r="C2425" s="98" t="s">
        <v>3533</v>
      </c>
      <c r="D2425" s="120" t="s">
        <v>3534</v>
      </c>
      <c r="E2425" s="98">
        <v>2.3189999999999999E-2</v>
      </c>
      <c r="F2425" s="120">
        <v>0</v>
      </c>
      <c r="G2425" s="121">
        <v>97542</v>
      </c>
      <c r="H2425" s="123">
        <v>2.0920000000000001E-2</v>
      </c>
      <c r="I2425" s="122">
        <v>2040.5786400000002</v>
      </c>
      <c r="J2425" s="124">
        <f t="shared" si="37"/>
        <v>2.3189999999999999E-2</v>
      </c>
    </row>
    <row r="2426" spans="1:11" ht="15" customHeight="1" x14ac:dyDescent="0.2">
      <c r="A2426" s="120" t="s">
        <v>7260</v>
      </c>
      <c r="B2426" s="120" t="s">
        <v>4482</v>
      </c>
      <c r="C2426" s="98" t="s">
        <v>3533</v>
      </c>
      <c r="D2426" s="120" t="s">
        <v>3534</v>
      </c>
      <c r="E2426" s="98">
        <v>48.93</v>
      </c>
      <c r="F2426" s="120">
        <v>0</v>
      </c>
      <c r="G2426" s="121">
        <v>10.196568000000001</v>
      </c>
      <c r="H2426" s="123">
        <v>48.93</v>
      </c>
      <c r="I2426" s="122">
        <v>498.91807224000007</v>
      </c>
      <c r="J2426" s="124">
        <f t="shared" si="37"/>
        <v>48.93</v>
      </c>
      <c r="K2426" s="98" t="s">
        <v>7261</v>
      </c>
    </row>
    <row r="2427" spans="1:11" ht="15" customHeight="1" x14ac:dyDescent="0.2">
      <c r="A2427" s="120" t="s">
        <v>7262</v>
      </c>
      <c r="B2427" s="120" t="s">
        <v>4482</v>
      </c>
      <c r="C2427" s="98" t="s">
        <v>3533</v>
      </c>
      <c r="D2427" s="120" t="s">
        <v>3534</v>
      </c>
      <c r="E2427" s="98">
        <v>1.4063000000000001E-2</v>
      </c>
      <c r="F2427" s="120">
        <v>0</v>
      </c>
      <c r="G2427" s="121">
        <v>2735</v>
      </c>
      <c r="H2427" s="123">
        <v>1.4063000000000001E-2</v>
      </c>
      <c r="I2427" s="122">
        <v>38.462305000000001</v>
      </c>
      <c r="J2427" s="124">
        <f t="shared" si="37"/>
        <v>1.4063000000000001E-2</v>
      </c>
      <c r="K2427" s="98" t="s">
        <v>7145</v>
      </c>
    </row>
    <row r="2428" spans="1:11" ht="15" customHeight="1" x14ac:dyDescent="0.2">
      <c r="A2428" s="120" t="s">
        <v>7263</v>
      </c>
      <c r="B2428" s="120" t="s">
        <v>7264</v>
      </c>
      <c r="C2428" s="98" t="s">
        <v>3532</v>
      </c>
      <c r="D2428" s="120" t="s">
        <v>3534</v>
      </c>
      <c r="E2428" s="98">
        <v>0.76</v>
      </c>
      <c r="F2428" s="120">
        <v>0</v>
      </c>
      <c r="G2428" s="121">
        <v>0</v>
      </c>
      <c r="H2428" s="123">
        <v>0.76</v>
      </c>
      <c r="I2428" s="122">
        <v>0</v>
      </c>
      <c r="J2428" s="124">
        <f t="shared" si="37"/>
        <v>0.76</v>
      </c>
    </row>
    <row r="2429" spans="1:11" ht="15" customHeight="1" x14ac:dyDescent="0.2">
      <c r="A2429" s="120" t="s">
        <v>7265</v>
      </c>
      <c r="B2429" s="120" t="s">
        <v>7264</v>
      </c>
      <c r="C2429" s="98" t="s">
        <v>3533</v>
      </c>
      <c r="D2429" s="120" t="s">
        <v>3534</v>
      </c>
      <c r="E2429" s="98">
        <v>0.253</v>
      </c>
      <c r="F2429" s="120">
        <v>0</v>
      </c>
      <c r="G2429" s="121">
        <v>1899</v>
      </c>
      <c r="H2429" s="123">
        <v>0.253</v>
      </c>
      <c r="I2429" s="122">
        <v>480.447</v>
      </c>
      <c r="J2429" s="124">
        <f t="shared" si="37"/>
        <v>0.253</v>
      </c>
      <c r="K2429" s="98" t="s">
        <v>7266</v>
      </c>
    </row>
    <row r="2430" spans="1:11" ht="15" customHeight="1" x14ac:dyDescent="0.2">
      <c r="A2430" s="120" t="s">
        <v>7267</v>
      </c>
      <c r="B2430" s="120" t="s">
        <v>3532</v>
      </c>
      <c r="C2430" s="98" t="s">
        <v>3532</v>
      </c>
      <c r="D2430" s="120" t="s">
        <v>3534</v>
      </c>
      <c r="E2430" s="98">
        <v>0.14000000000000001</v>
      </c>
      <c r="F2430" s="120">
        <v>0</v>
      </c>
      <c r="G2430" s="121">
        <v>0</v>
      </c>
      <c r="H2430" s="123">
        <v>0.14000000000000001</v>
      </c>
      <c r="I2430" s="122">
        <v>0</v>
      </c>
      <c r="J2430" s="124">
        <f t="shared" si="37"/>
        <v>0.14000000000000001</v>
      </c>
    </row>
    <row r="2431" spans="1:11" ht="15" customHeight="1" x14ac:dyDescent="0.2">
      <c r="A2431" s="120" t="s">
        <v>7268</v>
      </c>
      <c r="B2431" s="120" t="s">
        <v>3532</v>
      </c>
      <c r="C2431" s="98" t="s">
        <v>3532</v>
      </c>
      <c r="D2431" s="120" t="s">
        <v>3534</v>
      </c>
      <c r="E2431" s="98">
        <v>0</v>
      </c>
      <c r="F2431" s="120">
        <v>0</v>
      </c>
      <c r="G2431" s="121">
        <v>0</v>
      </c>
      <c r="H2431" s="123">
        <v>0</v>
      </c>
      <c r="I2431" s="122">
        <v>0</v>
      </c>
      <c r="J2431" s="124">
        <f t="shared" si="37"/>
        <v>0</v>
      </c>
    </row>
    <row r="2432" spans="1:11" ht="15" customHeight="1" x14ac:dyDescent="0.2">
      <c r="A2432" s="120" t="s">
        <v>7269</v>
      </c>
      <c r="B2432" s="120" t="s">
        <v>7270</v>
      </c>
      <c r="C2432" s="98" t="s">
        <v>3533</v>
      </c>
      <c r="D2432" s="120" t="s">
        <v>3534</v>
      </c>
      <c r="E2432" s="98">
        <v>0.3</v>
      </c>
      <c r="F2432" s="120">
        <v>0</v>
      </c>
      <c r="G2432" s="121">
        <v>1580</v>
      </c>
      <c r="H2432" s="123">
        <v>0.3</v>
      </c>
      <c r="I2432" s="122">
        <v>474</v>
      </c>
      <c r="J2432" s="124">
        <f t="shared" si="37"/>
        <v>0.3</v>
      </c>
    </row>
    <row r="2433" spans="1:10" ht="15" customHeight="1" x14ac:dyDescent="0.2">
      <c r="A2433" s="120" t="s">
        <v>7271</v>
      </c>
      <c r="B2433" s="120" t="s">
        <v>7270</v>
      </c>
      <c r="C2433" s="98" t="s">
        <v>3533</v>
      </c>
      <c r="D2433" s="120" t="s">
        <v>3534</v>
      </c>
      <c r="E2433" s="98">
        <v>0.36633700000000002</v>
      </c>
      <c r="F2433" s="120">
        <v>0</v>
      </c>
      <c r="G2433" s="121">
        <v>50500</v>
      </c>
      <c r="H2433" s="123">
        <v>0.36633700000000002</v>
      </c>
      <c r="I2433" s="122">
        <v>18500.018500000002</v>
      </c>
      <c r="J2433" s="124">
        <f t="shared" si="37"/>
        <v>0.36633700000000002</v>
      </c>
    </row>
    <row r="2434" spans="1:10" ht="15" customHeight="1" x14ac:dyDescent="0.2">
      <c r="A2434" s="120" t="s">
        <v>7272</v>
      </c>
      <c r="B2434" s="120" t="s">
        <v>3532</v>
      </c>
      <c r="C2434" s="98" t="s">
        <v>3533</v>
      </c>
      <c r="D2434" s="120" t="s">
        <v>3534</v>
      </c>
      <c r="E2434" s="98">
        <v>0.3</v>
      </c>
      <c r="F2434" s="120">
        <v>0</v>
      </c>
      <c r="G2434" s="121">
        <v>0</v>
      </c>
      <c r="H2434" s="123">
        <v>0.3</v>
      </c>
      <c r="I2434" s="122">
        <v>0</v>
      </c>
      <c r="J2434" s="124">
        <f t="shared" ref="J2434:J2497" si="38">IF(D2434="gm", E2434*1000,+E2434)</f>
        <v>0.3</v>
      </c>
    </row>
    <row r="2435" spans="1:10" ht="15" customHeight="1" x14ac:dyDescent="0.2">
      <c r="A2435" s="120" t="s">
        <v>7273</v>
      </c>
      <c r="B2435" s="120" t="s">
        <v>7270</v>
      </c>
      <c r="C2435" s="98" t="s">
        <v>3533</v>
      </c>
      <c r="D2435" s="120" t="s">
        <v>3534</v>
      </c>
      <c r="E2435" s="98">
        <v>0.44</v>
      </c>
      <c r="F2435" s="120">
        <v>0</v>
      </c>
      <c r="G2435" s="121">
        <v>23320</v>
      </c>
      <c r="H2435" s="123">
        <v>0.44</v>
      </c>
      <c r="I2435" s="122">
        <v>10260.799999999999</v>
      </c>
      <c r="J2435" s="124">
        <f t="shared" si="38"/>
        <v>0.44</v>
      </c>
    </row>
    <row r="2436" spans="1:10" ht="15" customHeight="1" x14ac:dyDescent="0.2">
      <c r="A2436" s="120" t="s">
        <v>7274</v>
      </c>
      <c r="B2436" s="120" t="s">
        <v>3532</v>
      </c>
      <c r="C2436" s="98" t="s">
        <v>3532</v>
      </c>
      <c r="D2436" s="120" t="s">
        <v>3563</v>
      </c>
      <c r="E2436" s="98">
        <v>0</v>
      </c>
      <c r="F2436" s="120">
        <v>0</v>
      </c>
      <c r="G2436" s="121">
        <v>0</v>
      </c>
      <c r="H2436" s="123">
        <v>0</v>
      </c>
      <c r="I2436" s="122">
        <v>0</v>
      </c>
      <c r="J2436" s="124">
        <f t="shared" si="38"/>
        <v>0</v>
      </c>
    </row>
    <row r="2437" spans="1:10" ht="15" customHeight="1" x14ac:dyDescent="0.2">
      <c r="A2437" s="120" t="s">
        <v>7275</v>
      </c>
      <c r="B2437" s="120" t="s">
        <v>3532</v>
      </c>
      <c r="C2437" s="98" t="s">
        <v>3532</v>
      </c>
      <c r="D2437" s="120" t="s">
        <v>3534</v>
      </c>
      <c r="E2437" s="98">
        <v>0</v>
      </c>
      <c r="F2437" s="120">
        <v>0</v>
      </c>
      <c r="G2437" s="121">
        <v>0</v>
      </c>
      <c r="H2437" s="123">
        <v>0</v>
      </c>
      <c r="I2437" s="122">
        <v>0</v>
      </c>
      <c r="J2437" s="124">
        <f t="shared" si="38"/>
        <v>0</v>
      </c>
    </row>
    <row r="2438" spans="1:10" ht="15" customHeight="1" x14ac:dyDescent="0.2">
      <c r="A2438" s="120" t="s">
        <v>7276</v>
      </c>
      <c r="B2438" s="120" t="s">
        <v>3532</v>
      </c>
      <c r="C2438" s="98" t="s">
        <v>3532</v>
      </c>
      <c r="D2438" s="120" t="s">
        <v>3534</v>
      </c>
      <c r="E2438" s="98">
        <v>0</v>
      </c>
      <c r="F2438" s="120">
        <v>0</v>
      </c>
      <c r="G2438" s="121">
        <v>0</v>
      </c>
      <c r="H2438" s="123">
        <v>0</v>
      </c>
      <c r="I2438" s="122">
        <v>0</v>
      </c>
      <c r="J2438" s="124">
        <f t="shared" si="38"/>
        <v>0</v>
      </c>
    </row>
    <row r="2439" spans="1:10" ht="15" customHeight="1" x14ac:dyDescent="0.2">
      <c r="A2439" s="120" t="s">
        <v>7277</v>
      </c>
      <c r="B2439" s="120" t="s">
        <v>7278</v>
      </c>
      <c r="C2439" s="98" t="s">
        <v>3533</v>
      </c>
      <c r="D2439" s="120" t="s">
        <v>3534</v>
      </c>
      <c r="E2439" s="98">
        <v>0</v>
      </c>
      <c r="F2439" s="120">
        <v>0</v>
      </c>
      <c r="G2439" s="121">
        <v>210</v>
      </c>
      <c r="H2439" s="123">
        <v>0</v>
      </c>
      <c r="I2439" s="122">
        <v>0</v>
      </c>
      <c r="J2439" s="124">
        <f t="shared" si="38"/>
        <v>0</v>
      </c>
    </row>
    <row r="2440" spans="1:10" ht="15" customHeight="1" x14ac:dyDescent="0.2">
      <c r="A2440" s="120" t="s">
        <v>7279</v>
      </c>
      <c r="B2440" s="120" t="s">
        <v>3532</v>
      </c>
      <c r="C2440" s="98" t="s">
        <v>3533</v>
      </c>
      <c r="D2440" s="120" t="s">
        <v>3534</v>
      </c>
      <c r="E2440" s="98">
        <v>0</v>
      </c>
      <c r="F2440" s="120">
        <v>0</v>
      </c>
      <c r="G2440" s="121">
        <v>1930</v>
      </c>
      <c r="H2440" s="123">
        <v>0</v>
      </c>
      <c r="I2440" s="122">
        <v>0</v>
      </c>
      <c r="J2440" s="124">
        <f t="shared" si="38"/>
        <v>0</v>
      </c>
    </row>
    <row r="2441" spans="1:10" ht="15" customHeight="1" x14ac:dyDescent="0.2">
      <c r="A2441" s="120" t="s">
        <v>7280</v>
      </c>
      <c r="B2441" s="120" t="s">
        <v>7281</v>
      </c>
      <c r="C2441" s="98" t="s">
        <v>3533</v>
      </c>
      <c r="D2441" s="120" t="s">
        <v>3534</v>
      </c>
      <c r="E2441" s="98">
        <v>0</v>
      </c>
      <c r="F2441" s="120">
        <v>0</v>
      </c>
      <c r="G2441" s="121">
        <v>0</v>
      </c>
      <c r="H2441" s="123">
        <v>0</v>
      </c>
      <c r="I2441" s="122">
        <v>0</v>
      </c>
      <c r="J2441" s="124">
        <f t="shared" si="38"/>
        <v>0</v>
      </c>
    </row>
    <row r="2442" spans="1:10" ht="15" customHeight="1" x14ac:dyDescent="0.2">
      <c r="A2442" s="120" t="s">
        <v>7282</v>
      </c>
      <c r="B2442" s="120" t="s">
        <v>3532</v>
      </c>
      <c r="C2442" s="98" t="s">
        <v>3533</v>
      </c>
      <c r="D2442" s="120" t="s">
        <v>3534</v>
      </c>
      <c r="E2442" s="98">
        <v>0</v>
      </c>
      <c r="F2442" s="120">
        <v>0</v>
      </c>
      <c r="G2442" s="121">
        <v>35700</v>
      </c>
      <c r="H2442" s="123">
        <v>0</v>
      </c>
      <c r="I2442" s="122">
        <v>0</v>
      </c>
      <c r="J2442" s="124">
        <f t="shared" si="38"/>
        <v>0</v>
      </c>
    </row>
    <row r="2443" spans="1:10" ht="15" customHeight="1" x14ac:dyDescent="0.2">
      <c r="A2443" s="120" t="s">
        <v>7283</v>
      </c>
      <c r="B2443" s="120" t="s">
        <v>7281</v>
      </c>
      <c r="C2443" s="98" t="s">
        <v>3533</v>
      </c>
      <c r="D2443" s="120" t="s">
        <v>3534</v>
      </c>
      <c r="E2443" s="98">
        <v>0</v>
      </c>
      <c r="F2443" s="120">
        <v>0</v>
      </c>
      <c r="G2443" s="121">
        <v>14449</v>
      </c>
      <c r="H2443" s="123">
        <v>0</v>
      </c>
      <c r="I2443" s="122">
        <v>0</v>
      </c>
      <c r="J2443" s="124">
        <f t="shared" si="38"/>
        <v>0</v>
      </c>
    </row>
    <row r="2444" spans="1:10" ht="15" customHeight="1" x14ac:dyDescent="0.2">
      <c r="A2444" s="120" t="s">
        <v>7284</v>
      </c>
      <c r="B2444" s="120" t="s">
        <v>7281</v>
      </c>
      <c r="C2444" s="98" t="s">
        <v>3533</v>
      </c>
      <c r="D2444" s="120" t="s">
        <v>3534</v>
      </c>
      <c r="E2444" s="98">
        <v>0</v>
      </c>
      <c r="F2444" s="120">
        <v>0</v>
      </c>
      <c r="G2444" s="121">
        <v>521</v>
      </c>
      <c r="H2444" s="123">
        <v>0</v>
      </c>
      <c r="I2444" s="122">
        <v>0</v>
      </c>
      <c r="J2444" s="124">
        <f t="shared" si="38"/>
        <v>0</v>
      </c>
    </row>
    <row r="2445" spans="1:10" ht="15" customHeight="1" x14ac:dyDescent="0.2">
      <c r="A2445" s="120" t="s">
        <v>7285</v>
      </c>
      <c r="B2445" s="120" t="s">
        <v>7281</v>
      </c>
      <c r="C2445" s="98" t="s">
        <v>3533</v>
      </c>
      <c r="D2445" s="120" t="s">
        <v>3534</v>
      </c>
      <c r="E2445" s="98">
        <v>0</v>
      </c>
      <c r="F2445" s="120">
        <v>0</v>
      </c>
      <c r="G2445" s="121">
        <v>283</v>
      </c>
      <c r="H2445" s="123">
        <v>0</v>
      </c>
      <c r="I2445" s="122">
        <v>0</v>
      </c>
      <c r="J2445" s="124">
        <f t="shared" si="38"/>
        <v>0</v>
      </c>
    </row>
    <row r="2446" spans="1:10" ht="15" customHeight="1" x14ac:dyDescent="0.2">
      <c r="A2446" s="120" t="s">
        <v>7286</v>
      </c>
      <c r="B2446" s="120" t="s">
        <v>7281</v>
      </c>
      <c r="C2446" s="98" t="s">
        <v>3533</v>
      </c>
      <c r="D2446" s="120" t="s">
        <v>3534</v>
      </c>
      <c r="E2446" s="98">
        <v>0</v>
      </c>
      <c r="F2446" s="120">
        <v>0</v>
      </c>
      <c r="G2446" s="121">
        <v>110</v>
      </c>
      <c r="H2446" s="123">
        <v>0</v>
      </c>
      <c r="I2446" s="122">
        <v>0</v>
      </c>
      <c r="J2446" s="124">
        <f t="shared" si="38"/>
        <v>0</v>
      </c>
    </row>
    <row r="2447" spans="1:10" ht="15" customHeight="1" x14ac:dyDescent="0.2">
      <c r="A2447" s="120" t="s">
        <v>7287</v>
      </c>
      <c r="B2447" s="120" t="s">
        <v>7281</v>
      </c>
      <c r="C2447" s="98" t="s">
        <v>3533</v>
      </c>
      <c r="D2447" s="120" t="s">
        <v>3534</v>
      </c>
      <c r="E2447" s="98">
        <v>0</v>
      </c>
      <c r="F2447" s="120">
        <v>0</v>
      </c>
      <c r="G2447" s="121">
        <v>5624</v>
      </c>
      <c r="H2447" s="123">
        <v>0</v>
      </c>
      <c r="I2447" s="122">
        <v>0</v>
      </c>
      <c r="J2447" s="124">
        <f t="shared" si="38"/>
        <v>0</v>
      </c>
    </row>
    <row r="2448" spans="1:10" ht="15" customHeight="1" x14ac:dyDescent="0.2">
      <c r="A2448" s="120" t="s">
        <v>7288</v>
      </c>
      <c r="B2448" s="120" t="s">
        <v>7281</v>
      </c>
      <c r="C2448" s="98" t="s">
        <v>3533</v>
      </c>
      <c r="D2448" s="120" t="s">
        <v>3534</v>
      </c>
      <c r="E2448" s="98">
        <v>0</v>
      </c>
      <c r="F2448" s="120">
        <v>0</v>
      </c>
      <c r="G2448" s="121">
        <v>1294</v>
      </c>
      <c r="H2448" s="123">
        <v>0</v>
      </c>
      <c r="I2448" s="122">
        <v>0</v>
      </c>
      <c r="J2448" s="124">
        <f t="shared" si="38"/>
        <v>0</v>
      </c>
    </row>
    <row r="2449" spans="1:11" ht="15" customHeight="1" x14ac:dyDescent="0.2">
      <c r="A2449" s="120" t="s">
        <v>7289</v>
      </c>
      <c r="B2449" s="120" t="s">
        <v>7281</v>
      </c>
      <c r="C2449" s="98" t="s">
        <v>3533</v>
      </c>
      <c r="D2449" s="120" t="s">
        <v>3534</v>
      </c>
      <c r="E2449" s="98">
        <v>0</v>
      </c>
      <c r="F2449" s="120">
        <v>0</v>
      </c>
      <c r="G2449" s="121">
        <v>380</v>
      </c>
      <c r="H2449" s="123">
        <v>0</v>
      </c>
      <c r="I2449" s="122">
        <v>0</v>
      </c>
      <c r="J2449" s="124">
        <f t="shared" si="38"/>
        <v>0</v>
      </c>
    </row>
    <row r="2450" spans="1:11" ht="15" customHeight="1" x14ac:dyDescent="0.2">
      <c r="A2450" s="120" t="s">
        <v>7290</v>
      </c>
      <c r="B2450" s="120" t="s">
        <v>7281</v>
      </c>
      <c r="C2450" s="98" t="s">
        <v>3533</v>
      </c>
      <c r="D2450" s="120" t="s">
        <v>3534</v>
      </c>
      <c r="E2450" s="98">
        <v>0</v>
      </c>
      <c r="F2450" s="120">
        <v>0</v>
      </c>
      <c r="G2450" s="121">
        <v>450</v>
      </c>
      <c r="H2450" s="123">
        <v>0</v>
      </c>
      <c r="I2450" s="122">
        <v>0</v>
      </c>
      <c r="J2450" s="124">
        <f t="shared" si="38"/>
        <v>0</v>
      </c>
    </row>
    <row r="2451" spans="1:11" ht="15" customHeight="1" x14ac:dyDescent="0.2">
      <c r="A2451" s="120" t="s">
        <v>7291</v>
      </c>
      <c r="B2451" s="120" t="s">
        <v>3532</v>
      </c>
      <c r="C2451" s="98" t="s">
        <v>3533</v>
      </c>
      <c r="D2451" s="120" t="s">
        <v>3534</v>
      </c>
      <c r="E2451" s="98">
        <v>0</v>
      </c>
      <c r="F2451" s="120">
        <v>0</v>
      </c>
      <c r="G2451" s="121">
        <v>600</v>
      </c>
      <c r="H2451" s="123">
        <v>0</v>
      </c>
      <c r="I2451" s="122">
        <v>0</v>
      </c>
      <c r="J2451" s="124">
        <f t="shared" si="38"/>
        <v>0</v>
      </c>
    </row>
    <row r="2452" spans="1:11" ht="15" customHeight="1" x14ac:dyDescent="0.2">
      <c r="A2452" s="120" t="s">
        <v>7292</v>
      </c>
      <c r="B2452" s="120" t="s">
        <v>3532</v>
      </c>
      <c r="C2452" s="98" t="s">
        <v>3533</v>
      </c>
      <c r="D2452" s="120" t="s">
        <v>3534</v>
      </c>
      <c r="E2452" s="98">
        <v>0</v>
      </c>
      <c r="F2452" s="120">
        <v>0</v>
      </c>
      <c r="G2452" s="121">
        <v>630</v>
      </c>
      <c r="H2452" s="123">
        <v>0</v>
      </c>
      <c r="I2452" s="122">
        <v>0</v>
      </c>
      <c r="J2452" s="124">
        <f t="shared" si="38"/>
        <v>0</v>
      </c>
    </row>
    <row r="2453" spans="1:11" ht="15" customHeight="1" x14ac:dyDescent="0.2">
      <c r="A2453" s="120" t="s">
        <v>7293</v>
      </c>
      <c r="B2453" s="120" t="s">
        <v>7281</v>
      </c>
      <c r="C2453" s="98" t="s">
        <v>3533</v>
      </c>
      <c r="D2453" s="120" t="s">
        <v>3534</v>
      </c>
      <c r="E2453" s="98">
        <v>0</v>
      </c>
      <c r="F2453" s="120">
        <v>0</v>
      </c>
      <c r="G2453" s="121">
        <v>4566</v>
      </c>
      <c r="H2453" s="123">
        <v>0</v>
      </c>
      <c r="I2453" s="122">
        <v>0</v>
      </c>
      <c r="J2453" s="124">
        <f t="shared" si="38"/>
        <v>0</v>
      </c>
    </row>
    <row r="2454" spans="1:11" ht="15" customHeight="1" x14ac:dyDescent="0.2">
      <c r="A2454" s="120" t="s">
        <v>7294</v>
      </c>
      <c r="B2454" s="120" t="s">
        <v>7281</v>
      </c>
      <c r="C2454" s="98" t="s">
        <v>3533</v>
      </c>
      <c r="D2454" s="120" t="s">
        <v>3534</v>
      </c>
      <c r="E2454" s="98">
        <v>0</v>
      </c>
      <c r="F2454" s="120">
        <v>0</v>
      </c>
      <c r="G2454" s="121">
        <v>0</v>
      </c>
      <c r="H2454" s="123">
        <v>0</v>
      </c>
      <c r="I2454" s="122">
        <v>0</v>
      </c>
      <c r="J2454" s="124">
        <f t="shared" si="38"/>
        <v>0</v>
      </c>
    </row>
    <row r="2455" spans="1:11" ht="15" customHeight="1" x14ac:dyDescent="0.2">
      <c r="A2455" s="120" t="s">
        <v>7295</v>
      </c>
      <c r="B2455" s="120" t="s">
        <v>3532</v>
      </c>
      <c r="C2455" s="98" t="s">
        <v>3533</v>
      </c>
      <c r="D2455" s="120" t="s">
        <v>3534</v>
      </c>
      <c r="E2455" s="98">
        <v>0</v>
      </c>
      <c r="F2455" s="120">
        <v>0</v>
      </c>
      <c r="G2455" s="121">
        <v>319</v>
      </c>
      <c r="H2455" s="123">
        <v>0</v>
      </c>
      <c r="I2455" s="122">
        <v>0</v>
      </c>
      <c r="J2455" s="124">
        <f t="shared" si="38"/>
        <v>0</v>
      </c>
    </row>
    <row r="2456" spans="1:11" ht="15" customHeight="1" x14ac:dyDescent="0.2">
      <c r="A2456" s="120" t="s">
        <v>7296</v>
      </c>
      <c r="B2456" s="120" t="s">
        <v>7281</v>
      </c>
      <c r="C2456" s="98" t="s">
        <v>3533</v>
      </c>
      <c r="D2456" s="120" t="s">
        <v>3534</v>
      </c>
      <c r="E2456" s="98">
        <v>0</v>
      </c>
      <c r="F2456" s="120">
        <v>0</v>
      </c>
      <c r="G2456" s="121">
        <v>31710</v>
      </c>
      <c r="H2456" s="123">
        <v>0</v>
      </c>
      <c r="I2456" s="122">
        <v>0</v>
      </c>
      <c r="J2456" s="124">
        <f t="shared" si="38"/>
        <v>0</v>
      </c>
      <c r="K2456" s="98" t="s">
        <v>7297</v>
      </c>
    </row>
    <row r="2457" spans="1:11" ht="15" customHeight="1" x14ac:dyDescent="0.2">
      <c r="A2457" s="120" t="s">
        <v>7298</v>
      </c>
      <c r="B2457" s="120" t="s">
        <v>7281</v>
      </c>
      <c r="C2457" s="98" t="s">
        <v>3533</v>
      </c>
      <c r="D2457" s="120" t="s">
        <v>3534</v>
      </c>
      <c r="E2457" s="98">
        <v>0</v>
      </c>
      <c r="F2457" s="120">
        <v>0</v>
      </c>
      <c r="G2457" s="121">
        <v>40000</v>
      </c>
      <c r="H2457" s="123">
        <v>0</v>
      </c>
      <c r="I2457" s="122">
        <v>0</v>
      </c>
      <c r="J2457" s="124">
        <f t="shared" si="38"/>
        <v>0</v>
      </c>
      <c r="K2457" s="98" t="s">
        <v>7297</v>
      </c>
    </row>
    <row r="2458" spans="1:11" ht="15" customHeight="1" x14ac:dyDescent="0.2">
      <c r="A2458" s="120" t="s">
        <v>7299</v>
      </c>
      <c r="B2458" s="120" t="s">
        <v>3532</v>
      </c>
      <c r="C2458" s="98" t="s">
        <v>3533</v>
      </c>
      <c r="D2458" s="120" t="s">
        <v>3534</v>
      </c>
      <c r="E2458" s="98">
        <v>0</v>
      </c>
      <c r="F2458" s="120">
        <v>0</v>
      </c>
      <c r="G2458" s="121">
        <v>0</v>
      </c>
      <c r="H2458" s="123">
        <v>0</v>
      </c>
      <c r="I2458" s="122">
        <v>0</v>
      </c>
      <c r="J2458" s="124">
        <f t="shared" si="38"/>
        <v>0</v>
      </c>
    </row>
    <row r="2459" spans="1:11" ht="15" customHeight="1" x14ac:dyDescent="0.2">
      <c r="A2459" s="120" t="s">
        <v>7300</v>
      </c>
      <c r="B2459" s="120" t="s">
        <v>7281</v>
      </c>
      <c r="C2459" s="98" t="s">
        <v>3533</v>
      </c>
      <c r="D2459" s="120" t="s">
        <v>3534</v>
      </c>
      <c r="E2459" s="98">
        <v>0</v>
      </c>
      <c r="F2459" s="120">
        <v>0</v>
      </c>
      <c r="G2459" s="121">
        <v>0</v>
      </c>
      <c r="H2459" s="123">
        <v>0</v>
      </c>
      <c r="I2459" s="122">
        <v>0</v>
      </c>
      <c r="J2459" s="124">
        <f t="shared" si="38"/>
        <v>0</v>
      </c>
    </row>
    <row r="2460" spans="1:11" ht="15" customHeight="1" x14ac:dyDescent="0.2">
      <c r="A2460" s="120" t="s">
        <v>7301</v>
      </c>
      <c r="B2460" s="120" t="s">
        <v>4584</v>
      </c>
      <c r="C2460" s="98" t="s">
        <v>3533</v>
      </c>
      <c r="D2460" s="120" t="s">
        <v>3534</v>
      </c>
      <c r="E2460" s="98">
        <v>0</v>
      </c>
      <c r="F2460" s="120">
        <v>0</v>
      </c>
      <c r="G2460" s="121">
        <v>0</v>
      </c>
      <c r="H2460" s="123">
        <v>0</v>
      </c>
      <c r="I2460" s="122">
        <v>0</v>
      </c>
      <c r="J2460" s="124">
        <f t="shared" si="38"/>
        <v>0</v>
      </c>
    </row>
    <row r="2461" spans="1:11" ht="15" customHeight="1" x14ac:dyDescent="0.2">
      <c r="A2461" s="120" t="s">
        <v>7302</v>
      </c>
      <c r="B2461" s="120" t="s">
        <v>3532</v>
      </c>
      <c r="C2461" s="98" t="s">
        <v>3533</v>
      </c>
      <c r="D2461" s="120" t="s">
        <v>3534</v>
      </c>
      <c r="E2461" s="98">
        <v>0</v>
      </c>
      <c r="F2461" s="120">
        <v>0</v>
      </c>
      <c r="G2461" s="121">
        <v>6530</v>
      </c>
      <c r="H2461" s="123">
        <v>0</v>
      </c>
      <c r="I2461" s="122">
        <v>0</v>
      </c>
      <c r="J2461" s="124">
        <f t="shared" si="38"/>
        <v>0</v>
      </c>
    </row>
    <row r="2462" spans="1:11" ht="15" customHeight="1" x14ac:dyDescent="0.2">
      <c r="A2462" s="120" t="s">
        <v>7303</v>
      </c>
      <c r="B2462" s="120" t="s">
        <v>7281</v>
      </c>
      <c r="C2462" s="98" t="s">
        <v>3533</v>
      </c>
      <c r="D2462" s="120" t="s">
        <v>3534</v>
      </c>
      <c r="E2462" s="98">
        <v>0</v>
      </c>
      <c r="F2462" s="120">
        <v>0</v>
      </c>
      <c r="G2462" s="121">
        <v>4500</v>
      </c>
      <c r="H2462" s="123">
        <v>0</v>
      </c>
      <c r="I2462" s="122">
        <v>0</v>
      </c>
      <c r="J2462" s="124">
        <f t="shared" si="38"/>
        <v>0</v>
      </c>
      <c r="K2462" s="98" t="s">
        <v>7304</v>
      </c>
    </row>
    <row r="2463" spans="1:11" ht="15" customHeight="1" x14ac:dyDescent="0.2">
      <c r="A2463" s="120" t="s">
        <v>7305</v>
      </c>
      <c r="B2463" s="120" t="s">
        <v>7281</v>
      </c>
      <c r="C2463" s="98" t="s">
        <v>3533</v>
      </c>
      <c r="D2463" s="120" t="s">
        <v>3534</v>
      </c>
      <c r="E2463" s="98">
        <v>0</v>
      </c>
      <c r="F2463" s="120">
        <v>0</v>
      </c>
      <c r="G2463" s="121">
        <v>2397</v>
      </c>
      <c r="H2463" s="123">
        <v>0</v>
      </c>
      <c r="I2463" s="122">
        <v>0</v>
      </c>
      <c r="J2463" s="124">
        <f t="shared" si="38"/>
        <v>0</v>
      </c>
    </row>
    <row r="2464" spans="1:11" ht="15" customHeight="1" x14ac:dyDescent="0.2">
      <c r="A2464" s="120" t="s">
        <v>7306</v>
      </c>
      <c r="B2464" s="120" t="s">
        <v>3532</v>
      </c>
      <c r="C2464" s="98" t="s">
        <v>3533</v>
      </c>
      <c r="D2464" s="120" t="s">
        <v>3534</v>
      </c>
      <c r="E2464" s="98">
        <v>0</v>
      </c>
      <c r="F2464" s="120">
        <v>0</v>
      </c>
      <c r="G2464" s="121">
        <v>315351</v>
      </c>
      <c r="H2464" s="123">
        <v>0</v>
      </c>
      <c r="I2464" s="122">
        <v>0</v>
      </c>
      <c r="J2464" s="124">
        <f t="shared" si="38"/>
        <v>0</v>
      </c>
    </row>
    <row r="2465" spans="1:11" ht="15" customHeight="1" x14ac:dyDescent="0.2">
      <c r="A2465" s="120" t="s">
        <v>7307</v>
      </c>
      <c r="B2465" s="120" t="s">
        <v>7281</v>
      </c>
      <c r="C2465" s="98" t="s">
        <v>3533</v>
      </c>
      <c r="D2465" s="120" t="s">
        <v>3534</v>
      </c>
      <c r="E2465" s="98">
        <v>0</v>
      </c>
      <c r="F2465" s="120">
        <v>0</v>
      </c>
      <c r="G2465" s="121">
        <v>9100</v>
      </c>
      <c r="H2465" s="123">
        <v>0</v>
      </c>
      <c r="I2465" s="122">
        <v>0</v>
      </c>
      <c r="J2465" s="124">
        <f t="shared" si="38"/>
        <v>0</v>
      </c>
    </row>
    <row r="2466" spans="1:11" ht="15" customHeight="1" x14ac:dyDescent="0.2">
      <c r="A2466" s="120" t="s">
        <v>7308</v>
      </c>
      <c r="B2466" s="120" t="s">
        <v>3532</v>
      </c>
      <c r="C2466" s="98" t="s">
        <v>3533</v>
      </c>
      <c r="D2466" s="120" t="s">
        <v>3534</v>
      </c>
      <c r="E2466" s="98">
        <v>0</v>
      </c>
      <c r="F2466" s="120">
        <v>0</v>
      </c>
      <c r="G2466" s="121">
        <v>0</v>
      </c>
      <c r="H2466" s="123">
        <v>0</v>
      </c>
      <c r="I2466" s="122">
        <v>0</v>
      </c>
      <c r="J2466" s="124">
        <f t="shared" si="38"/>
        <v>0</v>
      </c>
    </row>
    <row r="2467" spans="1:11" ht="15" customHeight="1" x14ac:dyDescent="0.2">
      <c r="A2467" s="120" t="s">
        <v>7309</v>
      </c>
      <c r="B2467" s="120" t="s">
        <v>7281</v>
      </c>
      <c r="C2467" s="98" t="s">
        <v>3533</v>
      </c>
      <c r="D2467" s="120" t="s">
        <v>3534</v>
      </c>
      <c r="E2467" s="98">
        <v>0</v>
      </c>
      <c r="F2467" s="120">
        <v>0</v>
      </c>
      <c r="G2467" s="121">
        <v>1960</v>
      </c>
      <c r="H2467" s="123">
        <v>0</v>
      </c>
      <c r="I2467" s="122">
        <v>0</v>
      </c>
      <c r="J2467" s="124">
        <f t="shared" si="38"/>
        <v>0</v>
      </c>
    </row>
    <row r="2468" spans="1:11" ht="15" customHeight="1" x14ac:dyDescent="0.2">
      <c r="A2468" s="120" t="s">
        <v>7310</v>
      </c>
      <c r="B2468" s="120" t="s">
        <v>4584</v>
      </c>
      <c r="C2468" s="98" t="s">
        <v>3533</v>
      </c>
      <c r="D2468" s="120" t="s">
        <v>3534</v>
      </c>
      <c r="E2468" s="98">
        <v>0.154</v>
      </c>
      <c r="F2468" s="120">
        <v>0</v>
      </c>
      <c r="G2468" s="121">
        <v>0</v>
      </c>
      <c r="H2468" s="123">
        <v>0.154</v>
      </c>
      <c r="I2468" s="122">
        <v>0</v>
      </c>
      <c r="J2468" s="124">
        <f t="shared" si="38"/>
        <v>0.154</v>
      </c>
    </row>
    <row r="2469" spans="1:11" ht="15" customHeight="1" x14ac:dyDescent="0.2">
      <c r="A2469" s="120" t="s">
        <v>7311</v>
      </c>
      <c r="B2469" s="120" t="s">
        <v>7281</v>
      </c>
      <c r="C2469" s="98" t="s">
        <v>3532</v>
      </c>
      <c r="D2469" s="120" t="s">
        <v>3534</v>
      </c>
      <c r="E2469" s="98">
        <v>0</v>
      </c>
      <c r="F2469" s="120">
        <v>0</v>
      </c>
      <c r="G2469" s="121">
        <v>3698</v>
      </c>
      <c r="H2469" s="123">
        <v>0</v>
      </c>
      <c r="I2469" s="122">
        <v>0</v>
      </c>
      <c r="J2469" s="124">
        <f t="shared" si="38"/>
        <v>0</v>
      </c>
    </row>
    <row r="2470" spans="1:11" ht="15" customHeight="1" x14ac:dyDescent="0.2">
      <c r="A2470" s="120" t="s">
        <v>7312</v>
      </c>
      <c r="B2470" s="120" t="s">
        <v>4584</v>
      </c>
      <c r="C2470" s="98" t="s">
        <v>3533</v>
      </c>
      <c r="D2470" s="120" t="s">
        <v>3534</v>
      </c>
      <c r="E2470" s="98">
        <v>0</v>
      </c>
      <c r="F2470" s="120">
        <v>0</v>
      </c>
      <c r="G2470" s="121">
        <v>121</v>
      </c>
      <c r="H2470" s="123">
        <v>0</v>
      </c>
      <c r="I2470" s="122">
        <v>0</v>
      </c>
      <c r="J2470" s="124">
        <f t="shared" si="38"/>
        <v>0</v>
      </c>
    </row>
    <row r="2471" spans="1:11" ht="15" customHeight="1" x14ac:dyDescent="0.2">
      <c r="A2471" s="120" t="s">
        <v>7313</v>
      </c>
      <c r="B2471" s="120" t="s">
        <v>4584</v>
      </c>
      <c r="C2471" s="98" t="s">
        <v>3532</v>
      </c>
      <c r="D2471" s="120" t="s">
        <v>3534</v>
      </c>
      <c r="E2471" s="98">
        <v>0</v>
      </c>
      <c r="F2471" s="120">
        <v>0</v>
      </c>
      <c r="G2471" s="121">
        <v>8140</v>
      </c>
      <c r="H2471" s="123">
        <v>0</v>
      </c>
      <c r="I2471" s="122">
        <v>0</v>
      </c>
      <c r="J2471" s="124">
        <f t="shared" si="38"/>
        <v>0</v>
      </c>
    </row>
    <row r="2472" spans="1:11" ht="15" customHeight="1" x14ac:dyDescent="0.2">
      <c r="A2472" s="120" t="s">
        <v>7314</v>
      </c>
      <c r="B2472" s="120" t="s">
        <v>4584</v>
      </c>
      <c r="C2472" s="98" t="s">
        <v>3533</v>
      </c>
      <c r="D2472" s="120" t="s">
        <v>3534</v>
      </c>
      <c r="E2472" s="98">
        <v>7.3594999999999994E-2</v>
      </c>
      <c r="F2472" s="120">
        <v>0</v>
      </c>
      <c r="G2472" s="121">
        <v>1140</v>
      </c>
      <c r="H2472" s="123">
        <v>7.3594999999999994E-2</v>
      </c>
      <c r="I2472" s="122">
        <v>83.898299999999992</v>
      </c>
      <c r="J2472" s="124">
        <f t="shared" si="38"/>
        <v>7.3594999999999994E-2</v>
      </c>
    </row>
    <row r="2473" spans="1:11" ht="15" customHeight="1" x14ac:dyDescent="0.2">
      <c r="A2473" s="120" t="s">
        <v>7315</v>
      </c>
      <c r="B2473" s="120" t="s">
        <v>4584</v>
      </c>
      <c r="C2473" s="98" t="s">
        <v>3533</v>
      </c>
      <c r="D2473" s="120" t="s">
        <v>3534</v>
      </c>
      <c r="E2473" s="98">
        <v>0</v>
      </c>
      <c r="F2473" s="120">
        <v>0</v>
      </c>
      <c r="G2473" s="121">
        <v>4959</v>
      </c>
      <c r="H2473" s="123">
        <v>0</v>
      </c>
      <c r="I2473" s="122">
        <v>0</v>
      </c>
      <c r="J2473" s="124">
        <f t="shared" si="38"/>
        <v>0</v>
      </c>
      <c r="K2473" s="98" t="s">
        <v>7316</v>
      </c>
    </row>
    <row r="2474" spans="1:11" ht="15" customHeight="1" x14ac:dyDescent="0.2">
      <c r="A2474" s="120" t="s">
        <v>7317</v>
      </c>
      <c r="B2474" s="120" t="s">
        <v>4584</v>
      </c>
      <c r="C2474" s="98" t="s">
        <v>3533</v>
      </c>
      <c r="D2474" s="120" t="s">
        <v>3534</v>
      </c>
      <c r="E2474" s="98">
        <v>0</v>
      </c>
      <c r="F2474" s="120">
        <v>0</v>
      </c>
      <c r="G2474" s="121">
        <v>330</v>
      </c>
      <c r="H2474" s="123">
        <v>0</v>
      </c>
      <c r="I2474" s="122">
        <v>0</v>
      </c>
      <c r="J2474" s="124">
        <f t="shared" si="38"/>
        <v>0</v>
      </c>
    </row>
    <row r="2475" spans="1:11" ht="15" customHeight="1" x14ac:dyDescent="0.2">
      <c r="A2475" s="120" t="s">
        <v>7318</v>
      </c>
      <c r="B2475" s="120" t="s">
        <v>7281</v>
      </c>
      <c r="C2475" s="98" t="s">
        <v>3533</v>
      </c>
      <c r="D2475" s="120" t="s">
        <v>3534</v>
      </c>
      <c r="E2475" s="98">
        <v>0</v>
      </c>
      <c r="F2475" s="120">
        <v>0</v>
      </c>
      <c r="G2475" s="121">
        <v>0</v>
      </c>
      <c r="H2475" s="123">
        <v>0</v>
      </c>
      <c r="I2475" s="122">
        <v>0</v>
      </c>
      <c r="J2475" s="124">
        <f t="shared" si="38"/>
        <v>0</v>
      </c>
    </row>
    <row r="2476" spans="1:11" ht="15" customHeight="1" x14ac:dyDescent="0.2">
      <c r="A2476" s="120" t="s">
        <v>7319</v>
      </c>
      <c r="B2476" s="120" t="s">
        <v>7281</v>
      </c>
      <c r="C2476" s="98" t="s">
        <v>3533</v>
      </c>
      <c r="D2476" s="120" t="s">
        <v>3534</v>
      </c>
      <c r="E2476" s="98">
        <v>0</v>
      </c>
      <c r="F2476" s="120">
        <v>0</v>
      </c>
      <c r="G2476" s="121">
        <v>455</v>
      </c>
      <c r="H2476" s="123">
        <v>0</v>
      </c>
      <c r="I2476" s="122">
        <v>0</v>
      </c>
      <c r="J2476" s="124">
        <f t="shared" si="38"/>
        <v>0</v>
      </c>
    </row>
    <row r="2477" spans="1:11" ht="15" customHeight="1" x14ac:dyDescent="0.2">
      <c r="A2477" s="120" t="s">
        <v>7320</v>
      </c>
      <c r="B2477" s="120" t="s">
        <v>7321</v>
      </c>
      <c r="C2477" s="98" t="s">
        <v>3533</v>
      </c>
      <c r="D2477" s="120" t="s">
        <v>3563</v>
      </c>
      <c r="E2477" s="98">
        <v>0</v>
      </c>
      <c r="F2477" s="120">
        <v>0</v>
      </c>
      <c r="G2477" s="121">
        <v>0</v>
      </c>
      <c r="H2477" s="123">
        <v>0</v>
      </c>
      <c r="I2477" s="122">
        <v>0</v>
      </c>
      <c r="J2477" s="124">
        <f t="shared" si="38"/>
        <v>0</v>
      </c>
      <c r="K2477" s="98" t="s">
        <v>7322</v>
      </c>
    </row>
    <row r="2478" spans="1:11" ht="15" customHeight="1" x14ac:dyDescent="0.2">
      <c r="A2478" s="120" t="s">
        <v>7323</v>
      </c>
      <c r="B2478" s="120" t="s">
        <v>3532</v>
      </c>
      <c r="C2478" s="98" t="s">
        <v>3532</v>
      </c>
      <c r="D2478" s="120" t="s">
        <v>3534</v>
      </c>
      <c r="E2478" s="98">
        <v>0</v>
      </c>
      <c r="F2478" s="120">
        <v>0</v>
      </c>
      <c r="G2478" s="121">
        <v>0</v>
      </c>
      <c r="H2478" s="123">
        <v>0</v>
      </c>
      <c r="I2478" s="122">
        <v>0</v>
      </c>
      <c r="J2478" s="124">
        <f t="shared" si="38"/>
        <v>0</v>
      </c>
    </row>
    <row r="2479" spans="1:11" ht="15" customHeight="1" x14ac:dyDescent="0.2">
      <c r="A2479" s="120" t="s">
        <v>7324</v>
      </c>
      <c r="B2479" s="120" t="s">
        <v>3532</v>
      </c>
      <c r="C2479" s="98" t="s">
        <v>3532</v>
      </c>
      <c r="D2479" s="120" t="s">
        <v>3534</v>
      </c>
      <c r="E2479" s="98">
        <v>0</v>
      </c>
      <c r="F2479" s="120">
        <v>0</v>
      </c>
      <c r="G2479" s="121">
        <v>0</v>
      </c>
      <c r="H2479" s="123">
        <v>0</v>
      </c>
      <c r="I2479" s="122">
        <v>0</v>
      </c>
      <c r="J2479" s="124">
        <f t="shared" si="38"/>
        <v>0</v>
      </c>
    </row>
    <row r="2480" spans="1:11" ht="15" customHeight="1" x14ac:dyDescent="0.2">
      <c r="A2480" s="120" t="s">
        <v>7325</v>
      </c>
      <c r="B2480" s="120" t="s">
        <v>3532</v>
      </c>
      <c r="C2480" s="98" t="s">
        <v>3532</v>
      </c>
      <c r="D2480" s="120" t="s">
        <v>3534</v>
      </c>
      <c r="E2480" s="98">
        <v>0</v>
      </c>
      <c r="F2480" s="120">
        <v>0</v>
      </c>
      <c r="G2480" s="121">
        <v>0</v>
      </c>
      <c r="H2480" s="123">
        <v>0</v>
      </c>
      <c r="I2480" s="122">
        <v>0</v>
      </c>
      <c r="J2480" s="124">
        <f t="shared" si="38"/>
        <v>0</v>
      </c>
    </row>
    <row r="2481" spans="1:11" ht="15" customHeight="1" x14ac:dyDescent="0.2">
      <c r="A2481" s="120" t="s">
        <v>7326</v>
      </c>
      <c r="B2481" s="120" t="s">
        <v>3532</v>
      </c>
      <c r="C2481" s="98" t="s">
        <v>3532</v>
      </c>
      <c r="D2481" s="120" t="s">
        <v>3534</v>
      </c>
      <c r="E2481" s="98">
        <v>0</v>
      </c>
      <c r="F2481" s="120">
        <v>0</v>
      </c>
      <c r="G2481" s="121">
        <v>0</v>
      </c>
      <c r="H2481" s="123">
        <v>0</v>
      </c>
      <c r="I2481" s="122">
        <v>0</v>
      </c>
      <c r="J2481" s="124">
        <f t="shared" si="38"/>
        <v>0</v>
      </c>
    </row>
    <row r="2482" spans="1:11" ht="15" customHeight="1" x14ac:dyDescent="0.2">
      <c r="A2482" s="120" t="s">
        <v>7327</v>
      </c>
      <c r="B2482" s="120" t="s">
        <v>3532</v>
      </c>
      <c r="C2482" s="98" t="s">
        <v>3532</v>
      </c>
      <c r="D2482" s="120" t="s">
        <v>3563</v>
      </c>
      <c r="E2482" s="98">
        <v>0</v>
      </c>
      <c r="F2482" s="120">
        <v>0</v>
      </c>
      <c r="G2482" s="121">
        <v>155</v>
      </c>
      <c r="H2482" s="123">
        <v>0</v>
      </c>
      <c r="I2482" s="122">
        <v>0</v>
      </c>
      <c r="J2482" s="124">
        <f t="shared" si="38"/>
        <v>0</v>
      </c>
    </row>
    <row r="2483" spans="1:11" ht="15" customHeight="1" x14ac:dyDescent="0.2">
      <c r="A2483" s="120" t="s">
        <v>7328</v>
      </c>
      <c r="B2483" s="120" t="s">
        <v>7329</v>
      </c>
      <c r="C2483" s="98" t="s">
        <v>3540</v>
      </c>
      <c r="D2483" s="120" t="s">
        <v>3534</v>
      </c>
      <c r="E2483" s="98">
        <v>0</v>
      </c>
      <c r="F2483" s="120">
        <v>0</v>
      </c>
      <c r="G2483" s="121">
        <v>0</v>
      </c>
      <c r="H2483" s="123">
        <v>0</v>
      </c>
      <c r="I2483" s="122">
        <v>0</v>
      </c>
      <c r="J2483" s="124">
        <f t="shared" si="38"/>
        <v>0</v>
      </c>
    </row>
    <row r="2484" spans="1:11" ht="15" customHeight="1" x14ac:dyDescent="0.2">
      <c r="A2484" s="120" t="s">
        <v>7330</v>
      </c>
      <c r="B2484" s="120" t="s">
        <v>3532</v>
      </c>
      <c r="C2484" s="98" t="s">
        <v>3533</v>
      </c>
      <c r="D2484" s="120" t="s">
        <v>3534</v>
      </c>
      <c r="E2484" s="98">
        <v>0</v>
      </c>
      <c r="F2484" s="120">
        <v>0</v>
      </c>
      <c r="G2484" s="121">
        <v>3599</v>
      </c>
      <c r="H2484" s="123">
        <v>0</v>
      </c>
      <c r="I2484" s="122">
        <v>0</v>
      </c>
      <c r="J2484" s="124">
        <f t="shared" si="38"/>
        <v>0</v>
      </c>
    </row>
    <row r="2485" spans="1:11" ht="15" customHeight="1" x14ac:dyDescent="0.2">
      <c r="A2485" s="120" t="s">
        <v>7331</v>
      </c>
      <c r="B2485" s="120" t="s">
        <v>3532</v>
      </c>
      <c r="C2485" s="98" t="s">
        <v>3533</v>
      </c>
      <c r="D2485" s="120" t="s">
        <v>3534</v>
      </c>
      <c r="E2485" s="98">
        <v>0</v>
      </c>
      <c r="F2485" s="120">
        <v>0</v>
      </c>
      <c r="G2485" s="121">
        <v>3546</v>
      </c>
      <c r="H2485" s="123">
        <v>0</v>
      </c>
      <c r="I2485" s="122">
        <v>0</v>
      </c>
      <c r="J2485" s="124">
        <f t="shared" si="38"/>
        <v>0</v>
      </c>
    </row>
    <row r="2486" spans="1:11" ht="15" customHeight="1" x14ac:dyDescent="0.2">
      <c r="A2486" s="120" t="s">
        <v>7332</v>
      </c>
      <c r="B2486" s="120" t="s">
        <v>3532</v>
      </c>
      <c r="C2486" s="98" t="s">
        <v>3540</v>
      </c>
      <c r="D2486" s="120" t="s">
        <v>3534</v>
      </c>
      <c r="E2486" s="98">
        <v>0</v>
      </c>
      <c r="F2486" s="120">
        <v>0</v>
      </c>
      <c r="G2486" s="121">
        <v>0</v>
      </c>
      <c r="H2486" s="123">
        <v>0</v>
      </c>
      <c r="I2486" s="122">
        <v>0</v>
      </c>
      <c r="J2486" s="124">
        <f t="shared" si="38"/>
        <v>0</v>
      </c>
    </row>
    <row r="2487" spans="1:11" ht="15" customHeight="1" x14ac:dyDescent="0.2">
      <c r="A2487" s="120" t="s">
        <v>7333</v>
      </c>
      <c r="B2487" s="120" t="s">
        <v>3532</v>
      </c>
      <c r="C2487" s="98" t="s">
        <v>3532</v>
      </c>
      <c r="D2487" s="120" t="s">
        <v>3534</v>
      </c>
      <c r="E2487" s="98">
        <v>0</v>
      </c>
      <c r="F2487" s="120">
        <v>0</v>
      </c>
      <c r="G2487" s="121">
        <v>0</v>
      </c>
      <c r="H2487" s="123">
        <v>0</v>
      </c>
      <c r="I2487" s="122">
        <v>0</v>
      </c>
      <c r="J2487" s="124">
        <f t="shared" si="38"/>
        <v>0</v>
      </c>
    </row>
    <row r="2488" spans="1:11" ht="15" customHeight="1" x14ac:dyDescent="0.2">
      <c r="A2488" s="120" t="s">
        <v>7334</v>
      </c>
      <c r="B2488" s="120" t="s">
        <v>3532</v>
      </c>
      <c r="C2488" s="98" t="s">
        <v>3540</v>
      </c>
      <c r="D2488" s="120" t="s">
        <v>3534</v>
      </c>
      <c r="E2488" s="98">
        <v>0</v>
      </c>
      <c r="F2488" s="120">
        <v>0</v>
      </c>
      <c r="G2488" s="121">
        <v>0</v>
      </c>
      <c r="H2488" s="123">
        <v>0</v>
      </c>
      <c r="I2488" s="122">
        <v>0</v>
      </c>
      <c r="J2488" s="124">
        <f t="shared" si="38"/>
        <v>0</v>
      </c>
    </row>
    <row r="2489" spans="1:11" ht="15" customHeight="1" x14ac:dyDescent="0.2">
      <c r="A2489" s="120" t="s">
        <v>7335</v>
      </c>
      <c r="B2489" s="120" t="s">
        <v>7336</v>
      </c>
      <c r="C2489" s="98" t="s">
        <v>3540</v>
      </c>
      <c r="D2489" s="120" t="s">
        <v>3534</v>
      </c>
      <c r="E2489" s="98">
        <v>0</v>
      </c>
      <c r="F2489" s="120">
        <v>0</v>
      </c>
      <c r="G2489" s="121">
        <v>0</v>
      </c>
      <c r="H2489" s="123">
        <v>0</v>
      </c>
      <c r="I2489" s="122">
        <v>0</v>
      </c>
      <c r="J2489" s="124">
        <f t="shared" si="38"/>
        <v>0</v>
      </c>
    </row>
    <row r="2490" spans="1:11" ht="15" customHeight="1" x14ac:dyDescent="0.2">
      <c r="A2490" s="120" t="s">
        <v>7337</v>
      </c>
      <c r="B2490" s="120" t="s">
        <v>7338</v>
      </c>
      <c r="C2490" s="98" t="s">
        <v>3533</v>
      </c>
      <c r="D2490" s="120" t="s">
        <v>3563</v>
      </c>
      <c r="E2490" s="98">
        <v>4.95</v>
      </c>
      <c r="F2490" s="120">
        <v>0</v>
      </c>
      <c r="G2490" s="121">
        <v>0</v>
      </c>
      <c r="H2490" s="123">
        <v>4.95</v>
      </c>
      <c r="I2490" s="122">
        <v>0</v>
      </c>
      <c r="J2490" s="124">
        <f t="shared" si="38"/>
        <v>4950</v>
      </c>
      <c r="K2490" s="98" t="s">
        <v>7339</v>
      </c>
    </row>
    <row r="2491" spans="1:11" ht="15" customHeight="1" x14ac:dyDescent="0.2">
      <c r="A2491" s="120" t="s">
        <v>7340</v>
      </c>
      <c r="B2491" s="120" t="s">
        <v>3532</v>
      </c>
      <c r="C2491" s="98" t="s">
        <v>3533</v>
      </c>
      <c r="D2491" s="120" t="s">
        <v>3534</v>
      </c>
      <c r="E2491" s="98">
        <v>0</v>
      </c>
      <c r="F2491" s="120">
        <v>0</v>
      </c>
      <c r="G2491" s="121">
        <v>476</v>
      </c>
      <c r="H2491" s="123">
        <v>0</v>
      </c>
      <c r="I2491" s="122">
        <v>0</v>
      </c>
      <c r="J2491" s="124">
        <f t="shared" si="38"/>
        <v>0</v>
      </c>
    </row>
    <row r="2492" spans="1:11" ht="15" customHeight="1" x14ac:dyDescent="0.2">
      <c r="A2492" s="120" t="s">
        <v>7341</v>
      </c>
      <c r="B2492" s="120" t="s">
        <v>3532</v>
      </c>
      <c r="C2492" s="98" t="s">
        <v>3533</v>
      </c>
      <c r="D2492" s="120" t="s">
        <v>3534</v>
      </c>
      <c r="E2492" s="98">
        <v>0</v>
      </c>
      <c r="F2492" s="120">
        <v>0</v>
      </c>
      <c r="G2492" s="121">
        <v>609</v>
      </c>
      <c r="H2492" s="123">
        <v>0</v>
      </c>
      <c r="I2492" s="122">
        <v>0</v>
      </c>
      <c r="J2492" s="124">
        <f t="shared" si="38"/>
        <v>0</v>
      </c>
    </row>
    <row r="2493" spans="1:11" ht="15" customHeight="1" x14ac:dyDescent="0.2">
      <c r="A2493" s="120" t="s">
        <v>7342</v>
      </c>
      <c r="B2493" s="120" t="s">
        <v>3532</v>
      </c>
      <c r="C2493" s="98" t="s">
        <v>3533</v>
      </c>
      <c r="D2493" s="120" t="s">
        <v>3534</v>
      </c>
      <c r="E2493" s="98">
        <v>0</v>
      </c>
      <c r="F2493" s="120">
        <v>0</v>
      </c>
      <c r="G2493" s="121">
        <v>0</v>
      </c>
      <c r="H2493" s="123">
        <v>0</v>
      </c>
      <c r="I2493" s="122">
        <v>0</v>
      </c>
      <c r="J2493" s="124">
        <f t="shared" si="38"/>
        <v>0</v>
      </c>
    </row>
    <row r="2494" spans="1:11" ht="15" customHeight="1" x14ac:dyDescent="0.2">
      <c r="A2494" s="120" t="s">
        <v>7343</v>
      </c>
      <c r="B2494" s="120" t="s">
        <v>3532</v>
      </c>
      <c r="C2494" s="98" t="s">
        <v>3533</v>
      </c>
      <c r="D2494" s="120" t="s">
        <v>3534</v>
      </c>
      <c r="E2494" s="98">
        <v>0</v>
      </c>
      <c r="F2494" s="120">
        <v>0</v>
      </c>
      <c r="G2494" s="121">
        <v>0</v>
      </c>
      <c r="H2494" s="123">
        <v>0</v>
      </c>
      <c r="I2494" s="122">
        <v>0</v>
      </c>
      <c r="J2494" s="124">
        <f t="shared" si="38"/>
        <v>0</v>
      </c>
    </row>
    <row r="2495" spans="1:11" ht="15" customHeight="1" x14ac:dyDescent="0.2">
      <c r="A2495" s="120" t="s">
        <v>7344</v>
      </c>
      <c r="B2495" s="120" t="s">
        <v>7345</v>
      </c>
      <c r="C2495" s="98" t="s">
        <v>3533</v>
      </c>
      <c r="D2495" s="120" t="s">
        <v>3534</v>
      </c>
      <c r="E2495" s="98">
        <v>0</v>
      </c>
      <c r="F2495" s="120">
        <v>0</v>
      </c>
      <c r="G2495" s="121">
        <v>0</v>
      </c>
      <c r="H2495" s="123">
        <v>0</v>
      </c>
      <c r="I2495" s="122">
        <v>0</v>
      </c>
      <c r="J2495" s="124">
        <f t="shared" si="38"/>
        <v>0</v>
      </c>
    </row>
    <row r="2496" spans="1:11" ht="15" customHeight="1" x14ac:dyDescent="0.2">
      <c r="A2496" s="120" t="s">
        <v>7346</v>
      </c>
      <c r="B2496" s="120" t="s">
        <v>7345</v>
      </c>
      <c r="C2496" s="98" t="s">
        <v>3533</v>
      </c>
      <c r="D2496" s="120" t="s">
        <v>3534</v>
      </c>
      <c r="E2496" s="98">
        <v>0</v>
      </c>
      <c r="F2496" s="120">
        <v>0</v>
      </c>
      <c r="G2496" s="121">
        <v>0</v>
      </c>
      <c r="H2496" s="123">
        <v>0</v>
      </c>
      <c r="I2496" s="122">
        <v>0</v>
      </c>
      <c r="J2496" s="124">
        <f t="shared" si="38"/>
        <v>0</v>
      </c>
    </row>
    <row r="2497" spans="1:11" ht="15" customHeight="1" x14ac:dyDescent="0.2">
      <c r="A2497" s="120" t="s">
        <v>7347</v>
      </c>
      <c r="B2497" s="120" t="s">
        <v>7345</v>
      </c>
      <c r="C2497" s="98" t="s">
        <v>3533</v>
      </c>
      <c r="D2497" s="120" t="s">
        <v>3534</v>
      </c>
      <c r="E2497" s="98">
        <v>0</v>
      </c>
      <c r="F2497" s="120">
        <v>0</v>
      </c>
      <c r="G2497" s="121">
        <v>0</v>
      </c>
      <c r="H2497" s="123">
        <v>0</v>
      </c>
      <c r="I2497" s="122">
        <v>0</v>
      </c>
      <c r="J2497" s="124">
        <f t="shared" si="38"/>
        <v>0</v>
      </c>
    </row>
    <row r="2498" spans="1:11" ht="15" customHeight="1" x14ac:dyDescent="0.2">
      <c r="A2498" s="120" t="s">
        <v>7348</v>
      </c>
      <c r="B2498" s="120" t="s">
        <v>3532</v>
      </c>
      <c r="C2498" s="98" t="s">
        <v>3533</v>
      </c>
      <c r="D2498" s="120" t="s">
        <v>3534</v>
      </c>
      <c r="E2498" s="98">
        <v>0</v>
      </c>
      <c r="F2498" s="120">
        <v>0</v>
      </c>
      <c r="G2498" s="121">
        <v>0</v>
      </c>
      <c r="H2498" s="123">
        <v>0</v>
      </c>
      <c r="I2498" s="122">
        <v>0</v>
      </c>
      <c r="J2498" s="124">
        <f t="shared" ref="J2498:J2561" si="39">IF(D2498="gm", E2498*1000,+E2498)</f>
        <v>0</v>
      </c>
    </row>
    <row r="2499" spans="1:11" ht="15" customHeight="1" x14ac:dyDescent="0.2">
      <c r="A2499" s="120" t="s">
        <v>7349</v>
      </c>
      <c r="B2499" s="120" t="s">
        <v>3532</v>
      </c>
      <c r="C2499" s="98" t="s">
        <v>3533</v>
      </c>
      <c r="D2499" s="120" t="s">
        <v>3534</v>
      </c>
      <c r="E2499" s="98">
        <v>0</v>
      </c>
      <c r="F2499" s="120">
        <v>0</v>
      </c>
      <c r="G2499" s="121">
        <v>0</v>
      </c>
      <c r="H2499" s="123">
        <v>0</v>
      </c>
      <c r="I2499" s="122">
        <v>0</v>
      </c>
      <c r="J2499" s="124">
        <f t="shared" si="39"/>
        <v>0</v>
      </c>
    </row>
    <row r="2500" spans="1:11" ht="15" customHeight="1" x14ac:dyDescent="0.2">
      <c r="A2500" s="120" t="s">
        <v>7350</v>
      </c>
      <c r="B2500" s="120" t="s">
        <v>3532</v>
      </c>
      <c r="C2500" s="98" t="s">
        <v>3533</v>
      </c>
      <c r="D2500" s="120" t="s">
        <v>3534</v>
      </c>
      <c r="E2500" s="98">
        <v>0</v>
      </c>
      <c r="F2500" s="120">
        <v>0</v>
      </c>
      <c r="G2500" s="121">
        <v>0</v>
      </c>
      <c r="H2500" s="123">
        <v>0</v>
      </c>
      <c r="I2500" s="122">
        <v>0</v>
      </c>
      <c r="J2500" s="124">
        <f t="shared" si="39"/>
        <v>0</v>
      </c>
    </row>
    <row r="2501" spans="1:11" ht="15" customHeight="1" x14ac:dyDescent="0.2">
      <c r="A2501" s="120" t="s">
        <v>7351</v>
      </c>
      <c r="B2501" s="120" t="s">
        <v>3532</v>
      </c>
      <c r="C2501" s="98" t="s">
        <v>3533</v>
      </c>
      <c r="D2501" s="120" t="s">
        <v>3534</v>
      </c>
      <c r="E2501" s="98">
        <v>0</v>
      </c>
      <c r="F2501" s="120">
        <v>0</v>
      </c>
      <c r="G2501" s="121">
        <v>0</v>
      </c>
      <c r="H2501" s="123">
        <v>0</v>
      </c>
      <c r="I2501" s="122">
        <v>0</v>
      </c>
      <c r="J2501" s="124">
        <f t="shared" si="39"/>
        <v>0</v>
      </c>
    </row>
    <row r="2502" spans="1:11" ht="15" customHeight="1" x14ac:dyDescent="0.2">
      <c r="A2502" s="120" t="s">
        <v>7352</v>
      </c>
      <c r="B2502" s="120" t="s">
        <v>7353</v>
      </c>
      <c r="C2502" s="98" t="s">
        <v>3533</v>
      </c>
      <c r="D2502" s="120" t="s">
        <v>3534</v>
      </c>
      <c r="E2502" s="98">
        <v>0</v>
      </c>
      <c r="F2502" s="120">
        <v>0</v>
      </c>
      <c r="G2502" s="121">
        <v>0</v>
      </c>
      <c r="H2502" s="123">
        <v>0</v>
      </c>
      <c r="I2502" s="122">
        <v>0</v>
      </c>
      <c r="J2502" s="124">
        <f t="shared" si="39"/>
        <v>0</v>
      </c>
    </row>
    <row r="2503" spans="1:11" ht="15" customHeight="1" x14ac:dyDescent="0.2">
      <c r="A2503" s="120" t="s">
        <v>7354</v>
      </c>
      <c r="B2503" s="120" t="s">
        <v>7353</v>
      </c>
      <c r="C2503" s="98" t="s">
        <v>3533</v>
      </c>
      <c r="D2503" s="120" t="s">
        <v>3534</v>
      </c>
      <c r="E2503" s="98">
        <v>0</v>
      </c>
      <c r="F2503" s="120">
        <v>0</v>
      </c>
      <c r="G2503" s="121">
        <v>0</v>
      </c>
      <c r="H2503" s="123">
        <v>0</v>
      </c>
      <c r="I2503" s="122">
        <v>0</v>
      </c>
      <c r="J2503" s="124">
        <f t="shared" si="39"/>
        <v>0</v>
      </c>
    </row>
    <row r="2504" spans="1:11" ht="15" customHeight="1" x14ac:dyDescent="0.2">
      <c r="A2504" s="120" t="s">
        <v>7355</v>
      </c>
      <c r="B2504" s="120" t="s">
        <v>3532</v>
      </c>
      <c r="C2504" s="98" t="s">
        <v>3533</v>
      </c>
      <c r="D2504" s="120" t="s">
        <v>3534</v>
      </c>
      <c r="E2504" s="98">
        <v>0</v>
      </c>
      <c r="F2504" s="120">
        <v>0</v>
      </c>
      <c r="G2504" s="121">
        <v>0</v>
      </c>
      <c r="H2504" s="123">
        <v>0</v>
      </c>
      <c r="I2504" s="122">
        <v>0</v>
      </c>
      <c r="J2504" s="124">
        <f t="shared" si="39"/>
        <v>0</v>
      </c>
    </row>
    <row r="2505" spans="1:11" ht="15" customHeight="1" x14ac:dyDescent="0.2">
      <c r="A2505" s="120" t="s">
        <v>7354</v>
      </c>
      <c r="B2505" s="120" t="s">
        <v>7353</v>
      </c>
      <c r="C2505" s="98" t="s">
        <v>3533</v>
      </c>
      <c r="D2505" s="120" t="s">
        <v>3534</v>
      </c>
      <c r="E2505" s="98">
        <v>0</v>
      </c>
      <c r="F2505" s="120">
        <v>0</v>
      </c>
      <c r="G2505" s="121">
        <v>0</v>
      </c>
      <c r="H2505" s="123">
        <v>0</v>
      </c>
      <c r="I2505" s="122">
        <v>0</v>
      </c>
      <c r="J2505" s="124">
        <f t="shared" si="39"/>
        <v>0</v>
      </c>
    </row>
    <row r="2506" spans="1:11" ht="15" customHeight="1" x14ac:dyDescent="0.2">
      <c r="A2506" s="120" t="s">
        <v>7356</v>
      </c>
      <c r="B2506" s="120" t="s">
        <v>3692</v>
      </c>
      <c r="C2506" s="98" t="s">
        <v>3533</v>
      </c>
      <c r="D2506" s="120" t="s">
        <v>3534</v>
      </c>
      <c r="E2506" s="98">
        <v>0</v>
      </c>
      <c r="F2506" s="120">
        <v>0</v>
      </c>
      <c r="G2506" s="121">
        <v>0</v>
      </c>
      <c r="H2506" s="123">
        <v>0</v>
      </c>
      <c r="I2506" s="122">
        <v>0</v>
      </c>
      <c r="J2506" s="124">
        <f t="shared" si="39"/>
        <v>0</v>
      </c>
      <c r="K2506" s="98" t="s">
        <v>4447</v>
      </c>
    </row>
    <row r="2507" spans="1:11" ht="15" customHeight="1" x14ac:dyDescent="0.2">
      <c r="A2507" s="120" t="s">
        <v>7357</v>
      </c>
      <c r="B2507" s="120" t="s">
        <v>3532</v>
      </c>
      <c r="C2507" s="98" t="s">
        <v>3533</v>
      </c>
      <c r="D2507" s="120" t="s">
        <v>3534</v>
      </c>
      <c r="E2507" s="98">
        <v>0</v>
      </c>
      <c r="F2507" s="120">
        <v>0</v>
      </c>
      <c r="G2507" s="121">
        <v>559</v>
      </c>
      <c r="H2507" s="123">
        <v>0</v>
      </c>
      <c r="I2507" s="122">
        <v>0</v>
      </c>
      <c r="J2507" s="124">
        <f t="shared" si="39"/>
        <v>0</v>
      </c>
    </row>
    <row r="2508" spans="1:11" ht="15" customHeight="1" x14ac:dyDescent="0.2">
      <c r="A2508" s="120" t="s">
        <v>7358</v>
      </c>
      <c r="B2508" s="120" t="s">
        <v>3532</v>
      </c>
      <c r="C2508" s="98" t="s">
        <v>3533</v>
      </c>
      <c r="D2508" s="120" t="s">
        <v>3534</v>
      </c>
      <c r="E2508" s="98">
        <v>0</v>
      </c>
      <c r="F2508" s="120">
        <v>0</v>
      </c>
      <c r="G2508" s="121">
        <v>0</v>
      </c>
      <c r="H2508" s="123">
        <v>0</v>
      </c>
      <c r="I2508" s="122">
        <v>0</v>
      </c>
      <c r="J2508" s="124">
        <f t="shared" si="39"/>
        <v>0</v>
      </c>
    </row>
    <row r="2509" spans="1:11" ht="15" customHeight="1" x14ac:dyDescent="0.2">
      <c r="A2509" s="120" t="s">
        <v>7359</v>
      </c>
      <c r="B2509" s="120" t="s">
        <v>3532</v>
      </c>
      <c r="C2509" s="98" t="s">
        <v>3532</v>
      </c>
      <c r="D2509" s="120" t="s">
        <v>3534</v>
      </c>
      <c r="E2509" s="98">
        <v>0</v>
      </c>
      <c r="F2509" s="120">
        <v>0</v>
      </c>
      <c r="G2509" s="121">
        <v>0</v>
      </c>
      <c r="H2509" s="123">
        <v>0</v>
      </c>
      <c r="I2509" s="122">
        <v>0</v>
      </c>
      <c r="J2509" s="124">
        <f t="shared" si="39"/>
        <v>0</v>
      </c>
    </row>
    <row r="2510" spans="1:11" ht="15" customHeight="1" x14ac:dyDescent="0.2">
      <c r="A2510" s="120" t="s">
        <v>7360</v>
      </c>
      <c r="B2510" s="120" t="s">
        <v>3532</v>
      </c>
      <c r="C2510" s="98" t="s">
        <v>3533</v>
      </c>
      <c r="D2510" s="120" t="s">
        <v>3534</v>
      </c>
      <c r="E2510" s="98">
        <v>0</v>
      </c>
      <c r="F2510" s="120">
        <v>0</v>
      </c>
      <c r="G2510" s="121">
        <v>101578</v>
      </c>
      <c r="H2510" s="123">
        <v>0</v>
      </c>
      <c r="I2510" s="122">
        <v>0</v>
      </c>
      <c r="J2510" s="124">
        <f t="shared" si="39"/>
        <v>0</v>
      </c>
    </row>
    <row r="2511" spans="1:11" ht="15" customHeight="1" x14ac:dyDescent="0.2">
      <c r="A2511" s="120" t="s">
        <v>7361</v>
      </c>
      <c r="B2511" s="120" t="s">
        <v>3532</v>
      </c>
      <c r="C2511" s="98" t="s">
        <v>3533</v>
      </c>
      <c r="D2511" s="120" t="s">
        <v>3534</v>
      </c>
      <c r="E2511" s="98">
        <v>0</v>
      </c>
      <c r="F2511" s="120">
        <v>0</v>
      </c>
      <c r="G2511" s="121">
        <v>0</v>
      </c>
      <c r="H2511" s="123">
        <v>0</v>
      </c>
      <c r="I2511" s="122">
        <v>0</v>
      </c>
      <c r="J2511" s="124">
        <f t="shared" si="39"/>
        <v>0</v>
      </c>
    </row>
    <row r="2512" spans="1:11" ht="15" customHeight="1" x14ac:dyDescent="0.2">
      <c r="A2512" s="120" t="s">
        <v>7362</v>
      </c>
      <c r="B2512" s="120" t="s">
        <v>3532</v>
      </c>
      <c r="C2512" s="98" t="s">
        <v>3533</v>
      </c>
      <c r="D2512" s="120" t="s">
        <v>3534</v>
      </c>
      <c r="E2512" s="98">
        <v>0</v>
      </c>
      <c r="F2512" s="120">
        <v>0</v>
      </c>
      <c r="G2512" s="121">
        <v>3008</v>
      </c>
      <c r="H2512" s="123">
        <v>0</v>
      </c>
      <c r="I2512" s="122">
        <v>0</v>
      </c>
      <c r="J2512" s="124">
        <f t="shared" si="39"/>
        <v>0</v>
      </c>
    </row>
    <row r="2513" spans="1:10" ht="15" customHeight="1" x14ac:dyDescent="0.2">
      <c r="A2513" s="120" t="s">
        <v>7363</v>
      </c>
      <c r="B2513" s="120" t="s">
        <v>3532</v>
      </c>
      <c r="C2513" s="98" t="s">
        <v>3532</v>
      </c>
      <c r="D2513" s="120" t="s">
        <v>3534</v>
      </c>
      <c r="E2513" s="98">
        <v>0</v>
      </c>
      <c r="F2513" s="120">
        <v>0</v>
      </c>
      <c r="G2513" s="121">
        <v>1750</v>
      </c>
      <c r="H2513" s="123">
        <v>0</v>
      </c>
      <c r="I2513" s="122">
        <v>0</v>
      </c>
      <c r="J2513" s="124">
        <f t="shared" si="39"/>
        <v>0</v>
      </c>
    </row>
    <row r="2514" spans="1:10" ht="15" customHeight="1" x14ac:dyDescent="0.2">
      <c r="A2514" s="120" t="s">
        <v>7364</v>
      </c>
      <c r="B2514" s="120" t="s">
        <v>3532</v>
      </c>
      <c r="C2514" s="98" t="s">
        <v>3533</v>
      </c>
      <c r="D2514" s="120" t="s">
        <v>3534</v>
      </c>
      <c r="E2514" s="98">
        <v>0</v>
      </c>
      <c r="F2514" s="120">
        <v>0</v>
      </c>
      <c r="G2514" s="121">
        <v>1267</v>
      </c>
      <c r="H2514" s="123">
        <v>0</v>
      </c>
      <c r="I2514" s="122">
        <v>0</v>
      </c>
      <c r="J2514" s="124">
        <f t="shared" si="39"/>
        <v>0</v>
      </c>
    </row>
    <row r="2515" spans="1:10" ht="15" customHeight="1" x14ac:dyDescent="0.2">
      <c r="A2515" s="120" t="s">
        <v>7365</v>
      </c>
      <c r="B2515" s="120" t="s">
        <v>3532</v>
      </c>
      <c r="C2515" s="98" t="s">
        <v>3533</v>
      </c>
      <c r="D2515" s="120" t="s">
        <v>3534</v>
      </c>
      <c r="E2515" s="98">
        <v>0</v>
      </c>
      <c r="F2515" s="120">
        <v>0</v>
      </c>
      <c r="G2515" s="121">
        <v>1325</v>
      </c>
      <c r="H2515" s="123">
        <v>0</v>
      </c>
      <c r="I2515" s="122">
        <v>0</v>
      </c>
      <c r="J2515" s="124">
        <f t="shared" si="39"/>
        <v>0</v>
      </c>
    </row>
    <row r="2516" spans="1:10" ht="15" customHeight="1" x14ac:dyDescent="0.2">
      <c r="A2516" s="120" t="s">
        <v>7366</v>
      </c>
      <c r="B2516" s="120" t="s">
        <v>3532</v>
      </c>
      <c r="C2516" s="98" t="s">
        <v>3533</v>
      </c>
      <c r="D2516" s="120" t="s">
        <v>3534</v>
      </c>
      <c r="E2516" s="98">
        <v>0</v>
      </c>
      <c r="F2516" s="120">
        <v>0</v>
      </c>
      <c r="G2516" s="121">
        <v>112927</v>
      </c>
      <c r="H2516" s="123">
        <v>0</v>
      </c>
      <c r="I2516" s="122">
        <v>0</v>
      </c>
      <c r="J2516" s="124">
        <f t="shared" si="39"/>
        <v>0</v>
      </c>
    </row>
    <row r="2517" spans="1:10" ht="15" customHeight="1" x14ac:dyDescent="0.2">
      <c r="A2517" s="120" t="s">
        <v>7367</v>
      </c>
      <c r="B2517" s="120" t="s">
        <v>3532</v>
      </c>
      <c r="C2517" s="98" t="s">
        <v>3533</v>
      </c>
      <c r="D2517" s="120" t="s">
        <v>3534</v>
      </c>
      <c r="E2517" s="98">
        <v>0</v>
      </c>
      <c r="F2517" s="120">
        <v>0</v>
      </c>
      <c r="G2517" s="121">
        <v>57022</v>
      </c>
      <c r="H2517" s="123">
        <v>0</v>
      </c>
      <c r="I2517" s="122">
        <v>0</v>
      </c>
      <c r="J2517" s="124">
        <f t="shared" si="39"/>
        <v>0</v>
      </c>
    </row>
    <row r="2518" spans="1:10" ht="15" customHeight="1" x14ac:dyDescent="0.2">
      <c r="A2518" s="120" t="s">
        <v>7368</v>
      </c>
      <c r="B2518" s="120" t="s">
        <v>3532</v>
      </c>
      <c r="C2518" s="98" t="s">
        <v>3533</v>
      </c>
      <c r="D2518" s="120" t="s">
        <v>3563</v>
      </c>
      <c r="E2518" s="98">
        <v>0</v>
      </c>
      <c r="F2518" s="120">
        <v>0</v>
      </c>
      <c r="G2518" s="121">
        <v>75157</v>
      </c>
      <c r="H2518" s="123">
        <v>0</v>
      </c>
      <c r="I2518" s="122">
        <v>0</v>
      </c>
      <c r="J2518" s="124">
        <f t="shared" si="39"/>
        <v>0</v>
      </c>
    </row>
    <row r="2519" spans="1:10" ht="15" customHeight="1" x14ac:dyDescent="0.2">
      <c r="A2519" s="120" t="s">
        <v>7369</v>
      </c>
      <c r="B2519" s="120" t="s">
        <v>3532</v>
      </c>
      <c r="C2519" s="98" t="s">
        <v>3533</v>
      </c>
      <c r="D2519" s="120" t="s">
        <v>3534</v>
      </c>
      <c r="E2519" s="98">
        <v>0</v>
      </c>
      <c r="F2519" s="120">
        <v>0</v>
      </c>
      <c r="G2519" s="121">
        <v>75</v>
      </c>
      <c r="H2519" s="123">
        <v>0</v>
      </c>
      <c r="I2519" s="122">
        <v>0</v>
      </c>
      <c r="J2519" s="124">
        <f t="shared" si="39"/>
        <v>0</v>
      </c>
    </row>
    <row r="2520" spans="1:10" ht="15" customHeight="1" x14ac:dyDescent="0.2">
      <c r="A2520" s="120" t="s">
        <v>7370</v>
      </c>
      <c r="B2520" s="120" t="s">
        <v>3532</v>
      </c>
      <c r="C2520" s="98" t="s">
        <v>3533</v>
      </c>
      <c r="D2520" s="120" t="s">
        <v>3534</v>
      </c>
      <c r="E2520" s="98">
        <v>0</v>
      </c>
      <c r="F2520" s="120">
        <v>0</v>
      </c>
      <c r="G2520" s="121">
        <v>100</v>
      </c>
      <c r="H2520" s="123">
        <v>0</v>
      </c>
      <c r="I2520" s="122">
        <v>0</v>
      </c>
      <c r="J2520" s="124">
        <f t="shared" si="39"/>
        <v>0</v>
      </c>
    </row>
    <row r="2521" spans="1:10" ht="15" customHeight="1" x14ac:dyDescent="0.2">
      <c r="A2521" s="120" t="s">
        <v>7371</v>
      </c>
      <c r="B2521" s="120" t="s">
        <v>3532</v>
      </c>
      <c r="C2521" s="98" t="s">
        <v>3533</v>
      </c>
      <c r="D2521" s="120" t="s">
        <v>3534</v>
      </c>
      <c r="E2521" s="98">
        <v>0</v>
      </c>
      <c r="F2521" s="120">
        <v>0</v>
      </c>
      <c r="G2521" s="121">
        <v>0</v>
      </c>
      <c r="H2521" s="123">
        <v>0</v>
      </c>
      <c r="I2521" s="122">
        <v>0</v>
      </c>
      <c r="J2521" s="124">
        <f t="shared" si="39"/>
        <v>0</v>
      </c>
    </row>
    <row r="2522" spans="1:10" ht="15" customHeight="1" x14ac:dyDescent="0.2">
      <c r="A2522" s="120" t="s">
        <v>7372</v>
      </c>
      <c r="B2522" s="120" t="s">
        <v>7373</v>
      </c>
      <c r="C2522" s="98" t="s">
        <v>3540</v>
      </c>
      <c r="D2522" s="120" t="s">
        <v>3534</v>
      </c>
      <c r="E2522" s="98">
        <v>0</v>
      </c>
      <c r="F2522" s="120">
        <v>0</v>
      </c>
      <c r="G2522" s="121">
        <v>17160</v>
      </c>
      <c r="H2522" s="123">
        <v>0</v>
      </c>
      <c r="I2522" s="122">
        <v>0</v>
      </c>
      <c r="J2522" s="124">
        <f t="shared" si="39"/>
        <v>0</v>
      </c>
    </row>
    <row r="2523" spans="1:10" ht="15" customHeight="1" x14ac:dyDescent="0.2">
      <c r="A2523" s="120" t="s">
        <v>7374</v>
      </c>
      <c r="B2523" s="120" t="s">
        <v>3532</v>
      </c>
      <c r="C2523" s="98" t="s">
        <v>3540</v>
      </c>
      <c r="D2523" s="120" t="s">
        <v>3534</v>
      </c>
      <c r="E2523" s="98">
        <v>0</v>
      </c>
      <c r="F2523" s="120">
        <v>0</v>
      </c>
      <c r="G2523" s="121">
        <v>3840</v>
      </c>
      <c r="H2523" s="123">
        <v>0</v>
      </c>
      <c r="I2523" s="122">
        <v>0</v>
      </c>
      <c r="J2523" s="124">
        <f t="shared" si="39"/>
        <v>0</v>
      </c>
    </row>
    <row r="2524" spans="1:10" ht="15" customHeight="1" x14ac:dyDescent="0.2">
      <c r="A2524" s="120" t="s">
        <v>7375</v>
      </c>
      <c r="B2524" s="120" t="s">
        <v>7373</v>
      </c>
      <c r="C2524" s="98" t="s">
        <v>3533</v>
      </c>
      <c r="D2524" s="120" t="s">
        <v>3534</v>
      </c>
      <c r="E2524" s="98">
        <v>0</v>
      </c>
      <c r="F2524" s="120">
        <v>0</v>
      </c>
      <c r="G2524" s="121">
        <v>2530</v>
      </c>
      <c r="H2524" s="123">
        <v>0</v>
      </c>
      <c r="I2524" s="122">
        <v>0</v>
      </c>
      <c r="J2524" s="124">
        <f t="shared" si="39"/>
        <v>0</v>
      </c>
    </row>
    <row r="2525" spans="1:10" ht="15" customHeight="1" x14ac:dyDescent="0.2">
      <c r="A2525" s="120" t="s">
        <v>7376</v>
      </c>
      <c r="B2525" s="120" t="s">
        <v>7377</v>
      </c>
      <c r="C2525" s="98" t="s">
        <v>3533</v>
      </c>
      <c r="D2525" s="120" t="s">
        <v>3534</v>
      </c>
      <c r="E2525" s="98">
        <v>0</v>
      </c>
      <c r="F2525" s="120">
        <v>0</v>
      </c>
      <c r="G2525" s="121">
        <v>763</v>
      </c>
      <c r="H2525" s="123">
        <v>0</v>
      </c>
      <c r="I2525" s="122">
        <v>0</v>
      </c>
      <c r="J2525" s="124">
        <f t="shared" si="39"/>
        <v>0</v>
      </c>
    </row>
    <row r="2526" spans="1:10" ht="15" customHeight="1" x14ac:dyDescent="0.2">
      <c r="A2526" s="120" t="s">
        <v>7378</v>
      </c>
      <c r="B2526" s="120" t="s">
        <v>3532</v>
      </c>
      <c r="C2526" s="98" t="s">
        <v>3533</v>
      </c>
      <c r="D2526" s="120" t="s">
        <v>3534</v>
      </c>
      <c r="E2526" s="98">
        <v>0</v>
      </c>
      <c r="F2526" s="120">
        <v>0</v>
      </c>
      <c r="G2526" s="121">
        <v>154</v>
      </c>
      <c r="H2526" s="123">
        <v>0</v>
      </c>
      <c r="I2526" s="122">
        <v>0</v>
      </c>
      <c r="J2526" s="124">
        <f t="shared" si="39"/>
        <v>0</v>
      </c>
    </row>
    <row r="2527" spans="1:10" ht="15" customHeight="1" x14ac:dyDescent="0.2">
      <c r="A2527" s="120" t="s">
        <v>7379</v>
      </c>
      <c r="B2527" s="120" t="s">
        <v>7380</v>
      </c>
      <c r="C2527" s="98" t="s">
        <v>3532</v>
      </c>
      <c r="D2527" s="120" t="s">
        <v>3534</v>
      </c>
      <c r="E2527" s="98">
        <v>1.7777777777777799</v>
      </c>
      <c r="F2527" s="120">
        <v>0</v>
      </c>
      <c r="G2527" s="121">
        <v>0</v>
      </c>
      <c r="H2527" s="123">
        <v>1.7777780000000001</v>
      </c>
      <c r="I2527" s="122">
        <v>0</v>
      </c>
      <c r="J2527" s="124">
        <f t="shared" si="39"/>
        <v>1.7777777777777799</v>
      </c>
    </row>
    <row r="2528" spans="1:10" ht="15" customHeight="1" x14ac:dyDescent="0.2">
      <c r="A2528" s="120" t="s">
        <v>7381</v>
      </c>
      <c r="B2528" s="120" t="s">
        <v>3532</v>
      </c>
      <c r="C2528" s="98" t="s">
        <v>3533</v>
      </c>
      <c r="D2528" s="120" t="s">
        <v>3534</v>
      </c>
      <c r="E2528" s="98">
        <v>0</v>
      </c>
      <c r="F2528" s="120">
        <v>0</v>
      </c>
      <c r="G2528" s="121">
        <v>1199</v>
      </c>
      <c r="H2528" s="123">
        <v>0</v>
      </c>
      <c r="I2528" s="122">
        <v>0</v>
      </c>
      <c r="J2528" s="124">
        <f t="shared" si="39"/>
        <v>0</v>
      </c>
    </row>
    <row r="2529" spans="1:10" ht="15" customHeight="1" x14ac:dyDescent="0.2">
      <c r="A2529" s="120" t="s">
        <v>7382</v>
      </c>
      <c r="B2529" s="120" t="s">
        <v>3532</v>
      </c>
      <c r="C2529" s="98" t="s">
        <v>3533</v>
      </c>
      <c r="D2529" s="120" t="s">
        <v>3534</v>
      </c>
      <c r="E2529" s="98">
        <v>1.7777777777777799</v>
      </c>
      <c r="F2529" s="120">
        <v>0</v>
      </c>
      <c r="G2529" s="121">
        <v>0</v>
      </c>
      <c r="H2529" s="123">
        <v>1.7777780000000001</v>
      </c>
      <c r="I2529" s="122">
        <v>0</v>
      </c>
      <c r="J2529" s="124">
        <f t="shared" si="39"/>
        <v>1.7777777777777799</v>
      </c>
    </row>
    <row r="2530" spans="1:10" ht="15" customHeight="1" x14ac:dyDescent="0.2">
      <c r="A2530" s="120" t="s">
        <v>7383</v>
      </c>
      <c r="B2530" s="120" t="s">
        <v>3532</v>
      </c>
      <c r="C2530" s="98" t="s">
        <v>3533</v>
      </c>
      <c r="D2530" s="120" t="s">
        <v>3534</v>
      </c>
      <c r="E2530" s="98">
        <v>0</v>
      </c>
      <c r="F2530" s="120">
        <v>0</v>
      </c>
      <c r="G2530" s="121">
        <v>1198</v>
      </c>
      <c r="H2530" s="123">
        <v>0</v>
      </c>
      <c r="I2530" s="122">
        <v>0</v>
      </c>
      <c r="J2530" s="124">
        <f t="shared" si="39"/>
        <v>0</v>
      </c>
    </row>
    <row r="2531" spans="1:10" ht="15" customHeight="1" x14ac:dyDescent="0.2">
      <c r="A2531" s="120" t="s">
        <v>7384</v>
      </c>
      <c r="B2531" s="120" t="s">
        <v>3532</v>
      </c>
      <c r="C2531" s="98" t="s">
        <v>3533</v>
      </c>
      <c r="D2531" s="120" t="s">
        <v>3534</v>
      </c>
      <c r="E2531" s="98">
        <v>1.7777777777777799</v>
      </c>
      <c r="F2531" s="120">
        <v>0</v>
      </c>
      <c r="G2531" s="121">
        <v>0</v>
      </c>
      <c r="H2531" s="123">
        <v>1.7777780000000001</v>
      </c>
      <c r="I2531" s="122">
        <v>0</v>
      </c>
      <c r="J2531" s="124">
        <f t="shared" si="39"/>
        <v>1.7777777777777799</v>
      </c>
    </row>
    <row r="2532" spans="1:10" ht="15" customHeight="1" x14ac:dyDescent="0.2">
      <c r="A2532" s="120" t="s">
        <v>7385</v>
      </c>
      <c r="B2532" s="120" t="s">
        <v>3532</v>
      </c>
      <c r="C2532" s="98" t="s">
        <v>3533</v>
      </c>
      <c r="D2532" s="120" t="s">
        <v>3534</v>
      </c>
      <c r="E2532" s="98">
        <v>0</v>
      </c>
      <c r="F2532" s="120">
        <v>0</v>
      </c>
      <c r="G2532" s="121">
        <v>1199</v>
      </c>
      <c r="H2532" s="123">
        <v>0</v>
      </c>
      <c r="I2532" s="122">
        <v>0</v>
      </c>
      <c r="J2532" s="124">
        <f t="shared" si="39"/>
        <v>0</v>
      </c>
    </row>
    <row r="2533" spans="1:10" ht="15" customHeight="1" x14ac:dyDescent="0.2">
      <c r="A2533" s="120" t="s">
        <v>7386</v>
      </c>
      <c r="B2533" s="120" t="s">
        <v>7377</v>
      </c>
      <c r="C2533" s="98" t="s">
        <v>3533</v>
      </c>
      <c r="D2533" s="120" t="s">
        <v>3534</v>
      </c>
      <c r="E2533" s="98">
        <v>0</v>
      </c>
      <c r="F2533" s="120">
        <v>0</v>
      </c>
      <c r="G2533" s="121">
        <v>1197</v>
      </c>
      <c r="H2533" s="123">
        <v>0</v>
      </c>
      <c r="I2533" s="122">
        <v>0</v>
      </c>
      <c r="J2533" s="124">
        <f t="shared" si="39"/>
        <v>0</v>
      </c>
    </row>
    <row r="2534" spans="1:10" ht="15" customHeight="1" x14ac:dyDescent="0.2">
      <c r="A2534" s="120" t="s">
        <v>7387</v>
      </c>
      <c r="B2534" s="120" t="s">
        <v>3532</v>
      </c>
      <c r="C2534" s="98" t="s">
        <v>3533</v>
      </c>
      <c r="D2534" s="120" t="s">
        <v>3534</v>
      </c>
      <c r="E2534" s="98">
        <v>0</v>
      </c>
      <c r="F2534" s="120">
        <v>0</v>
      </c>
      <c r="G2534" s="121">
        <v>960</v>
      </c>
      <c r="H2534" s="123">
        <v>0</v>
      </c>
      <c r="I2534" s="122">
        <v>0</v>
      </c>
      <c r="J2534" s="124">
        <f t="shared" si="39"/>
        <v>0</v>
      </c>
    </row>
    <row r="2535" spans="1:10" ht="15" customHeight="1" x14ac:dyDescent="0.2">
      <c r="A2535" s="120" t="s">
        <v>7388</v>
      </c>
      <c r="B2535" s="120" t="s">
        <v>3532</v>
      </c>
      <c r="C2535" s="98" t="s">
        <v>3533</v>
      </c>
      <c r="D2535" s="120" t="s">
        <v>3534</v>
      </c>
      <c r="E2535" s="98">
        <v>0</v>
      </c>
      <c r="F2535" s="120">
        <v>0</v>
      </c>
      <c r="G2535" s="121">
        <v>1199</v>
      </c>
      <c r="H2535" s="123">
        <v>0</v>
      </c>
      <c r="I2535" s="122">
        <v>0</v>
      </c>
      <c r="J2535" s="124">
        <f t="shared" si="39"/>
        <v>0</v>
      </c>
    </row>
    <row r="2536" spans="1:10" ht="15" customHeight="1" x14ac:dyDescent="0.2">
      <c r="A2536" s="120" t="s">
        <v>7389</v>
      </c>
      <c r="B2536" s="120" t="s">
        <v>3532</v>
      </c>
      <c r="C2536" s="98" t="s">
        <v>3533</v>
      </c>
      <c r="D2536" s="120" t="s">
        <v>3534</v>
      </c>
      <c r="E2536" s="98">
        <v>0</v>
      </c>
      <c r="F2536" s="120">
        <v>0</v>
      </c>
      <c r="G2536" s="121">
        <v>1209</v>
      </c>
      <c r="H2536" s="123">
        <v>0</v>
      </c>
      <c r="I2536" s="122">
        <v>0</v>
      </c>
      <c r="J2536" s="124">
        <f t="shared" si="39"/>
        <v>0</v>
      </c>
    </row>
    <row r="2537" spans="1:10" ht="15" customHeight="1" x14ac:dyDescent="0.2">
      <c r="A2537" s="120" t="s">
        <v>7390</v>
      </c>
      <c r="B2537" s="120" t="s">
        <v>3532</v>
      </c>
      <c r="C2537" s="98" t="s">
        <v>3533</v>
      </c>
      <c r="D2537" s="120" t="s">
        <v>3534</v>
      </c>
      <c r="E2537" s="98">
        <v>0.60770000000000002</v>
      </c>
      <c r="F2537" s="120">
        <v>0</v>
      </c>
      <c r="G2537" s="121">
        <v>0</v>
      </c>
      <c r="H2537" s="123">
        <v>0.60770000000000002</v>
      </c>
      <c r="I2537" s="122">
        <v>0</v>
      </c>
      <c r="J2537" s="124">
        <f t="shared" si="39"/>
        <v>0.60770000000000002</v>
      </c>
    </row>
    <row r="2538" spans="1:10" ht="15" customHeight="1" x14ac:dyDescent="0.2">
      <c r="A2538" s="120" t="s">
        <v>7391</v>
      </c>
      <c r="B2538" s="120" t="s">
        <v>3532</v>
      </c>
      <c r="C2538" s="98" t="s">
        <v>3533</v>
      </c>
      <c r="D2538" s="120" t="s">
        <v>3534</v>
      </c>
      <c r="E2538" s="98">
        <v>0.60770000000000002</v>
      </c>
      <c r="F2538" s="120">
        <v>0</v>
      </c>
      <c r="G2538" s="121">
        <v>0</v>
      </c>
      <c r="H2538" s="123">
        <v>0.60770000000000002</v>
      </c>
      <c r="I2538" s="122">
        <v>0</v>
      </c>
      <c r="J2538" s="124">
        <f t="shared" si="39"/>
        <v>0.60770000000000002</v>
      </c>
    </row>
    <row r="2539" spans="1:10" ht="15" customHeight="1" x14ac:dyDescent="0.2">
      <c r="A2539" s="120" t="s">
        <v>7392</v>
      </c>
      <c r="B2539" s="120" t="s">
        <v>3532</v>
      </c>
      <c r="C2539" s="98" t="s">
        <v>3533</v>
      </c>
      <c r="D2539" s="120" t="s">
        <v>3534</v>
      </c>
      <c r="E2539" s="98">
        <v>0.60770000000000002</v>
      </c>
      <c r="F2539" s="120">
        <v>0</v>
      </c>
      <c r="G2539" s="121">
        <v>0</v>
      </c>
      <c r="H2539" s="123">
        <v>0.60770000000000002</v>
      </c>
      <c r="I2539" s="122">
        <v>0</v>
      </c>
      <c r="J2539" s="124">
        <f t="shared" si="39"/>
        <v>0.60770000000000002</v>
      </c>
    </row>
    <row r="2540" spans="1:10" ht="15" customHeight="1" x14ac:dyDescent="0.2">
      <c r="A2540" s="120" t="s">
        <v>7393</v>
      </c>
      <c r="B2540" s="120" t="s">
        <v>3532</v>
      </c>
      <c r="C2540" s="98" t="s">
        <v>3533</v>
      </c>
      <c r="D2540" s="120" t="s">
        <v>3534</v>
      </c>
      <c r="E2540" s="98">
        <v>0.60770000000000002</v>
      </c>
      <c r="F2540" s="120">
        <v>0</v>
      </c>
      <c r="G2540" s="121">
        <v>323</v>
      </c>
      <c r="H2540" s="123">
        <v>0.60770000000000002</v>
      </c>
      <c r="I2540" s="122">
        <v>196.28710000000001</v>
      </c>
      <c r="J2540" s="124">
        <f t="shared" si="39"/>
        <v>0.60770000000000002</v>
      </c>
    </row>
    <row r="2541" spans="1:10" ht="15" customHeight="1" x14ac:dyDescent="0.2">
      <c r="A2541" s="120" t="s">
        <v>7394</v>
      </c>
      <c r="B2541" s="120" t="s">
        <v>3532</v>
      </c>
      <c r="C2541" s="98" t="s">
        <v>3533</v>
      </c>
      <c r="D2541" s="120" t="s">
        <v>3534</v>
      </c>
      <c r="E2541" s="98">
        <v>0.60770000000000002</v>
      </c>
      <c r="F2541" s="120">
        <v>0</v>
      </c>
      <c r="G2541" s="121">
        <v>431</v>
      </c>
      <c r="H2541" s="123">
        <v>0.60770000000000002</v>
      </c>
      <c r="I2541" s="122">
        <v>261.9187</v>
      </c>
      <c r="J2541" s="124">
        <f t="shared" si="39"/>
        <v>0.60770000000000002</v>
      </c>
    </row>
    <row r="2542" spans="1:10" ht="15" customHeight="1" x14ac:dyDescent="0.2">
      <c r="A2542" s="120" t="s">
        <v>7395</v>
      </c>
      <c r="B2542" s="120" t="s">
        <v>3532</v>
      </c>
      <c r="C2542" s="98" t="s">
        <v>3533</v>
      </c>
      <c r="D2542" s="120" t="s">
        <v>3534</v>
      </c>
      <c r="E2542" s="98">
        <v>0.60770000000000002</v>
      </c>
      <c r="F2542" s="120">
        <v>0</v>
      </c>
      <c r="G2542" s="121">
        <v>361</v>
      </c>
      <c r="H2542" s="123">
        <v>0.60770000000000002</v>
      </c>
      <c r="I2542" s="122">
        <v>219.37970000000001</v>
      </c>
      <c r="J2542" s="124">
        <f t="shared" si="39"/>
        <v>0.60770000000000002</v>
      </c>
    </row>
    <row r="2543" spans="1:10" ht="15" customHeight="1" x14ac:dyDescent="0.2">
      <c r="A2543" s="120" t="s">
        <v>7396</v>
      </c>
      <c r="B2543" s="120" t="s">
        <v>3532</v>
      </c>
      <c r="C2543" s="98" t="s">
        <v>3532</v>
      </c>
      <c r="D2543" s="120" t="s">
        <v>3534</v>
      </c>
      <c r="E2543" s="98">
        <v>0</v>
      </c>
      <c r="F2543" s="120">
        <v>0</v>
      </c>
      <c r="G2543" s="121">
        <v>0</v>
      </c>
      <c r="H2543" s="123">
        <v>0</v>
      </c>
      <c r="I2543" s="122">
        <v>0</v>
      </c>
      <c r="J2543" s="124">
        <f t="shared" si="39"/>
        <v>0</v>
      </c>
    </row>
    <row r="2544" spans="1:10" ht="15" customHeight="1" x14ac:dyDescent="0.2">
      <c r="A2544" s="120" t="s">
        <v>7397</v>
      </c>
      <c r="B2544" s="120" t="s">
        <v>3532</v>
      </c>
      <c r="C2544" s="98" t="s">
        <v>3532</v>
      </c>
      <c r="D2544" s="120" t="s">
        <v>3563</v>
      </c>
      <c r="E2544" s="98">
        <v>0</v>
      </c>
      <c r="F2544" s="120">
        <v>0</v>
      </c>
      <c r="G2544" s="121">
        <v>0</v>
      </c>
      <c r="H2544" s="123">
        <v>0</v>
      </c>
      <c r="I2544" s="122">
        <v>0</v>
      </c>
      <c r="J2544" s="124">
        <f t="shared" si="39"/>
        <v>0</v>
      </c>
    </row>
    <row r="2545" spans="1:10" ht="15" customHeight="1" x14ac:dyDescent="0.2">
      <c r="A2545" s="120" t="s">
        <v>7398</v>
      </c>
      <c r="B2545" s="120" t="s">
        <v>3532</v>
      </c>
      <c r="C2545" s="98" t="s">
        <v>3532</v>
      </c>
      <c r="D2545" s="120" t="s">
        <v>3534</v>
      </c>
      <c r="E2545" s="98">
        <v>0</v>
      </c>
      <c r="F2545" s="120">
        <v>0</v>
      </c>
      <c r="G2545" s="121">
        <v>0</v>
      </c>
      <c r="H2545" s="123">
        <v>0</v>
      </c>
      <c r="I2545" s="122">
        <v>0</v>
      </c>
      <c r="J2545" s="124">
        <f t="shared" si="39"/>
        <v>0</v>
      </c>
    </row>
    <row r="2546" spans="1:10" ht="15" customHeight="1" x14ac:dyDescent="0.2">
      <c r="A2546" s="120" t="s">
        <v>7399</v>
      </c>
      <c r="B2546" s="120" t="s">
        <v>3532</v>
      </c>
      <c r="C2546" s="98" t="s">
        <v>3533</v>
      </c>
      <c r="D2546" s="120" t="s">
        <v>3534</v>
      </c>
      <c r="E2546" s="98">
        <v>0</v>
      </c>
      <c r="F2546" s="120">
        <v>0</v>
      </c>
      <c r="G2546" s="121">
        <v>1240</v>
      </c>
      <c r="H2546" s="123">
        <v>0</v>
      </c>
      <c r="I2546" s="122">
        <v>0</v>
      </c>
      <c r="J2546" s="124">
        <f t="shared" si="39"/>
        <v>0</v>
      </c>
    </row>
    <row r="2547" spans="1:10" ht="15" customHeight="1" x14ac:dyDescent="0.2">
      <c r="A2547" s="120" t="s">
        <v>7400</v>
      </c>
      <c r="B2547" s="120" t="s">
        <v>3532</v>
      </c>
      <c r="C2547" s="98" t="s">
        <v>3532</v>
      </c>
      <c r="D2547" s="120" t="s">
        <v>3534</v>
      </c>
      <c r="E2547" s="98">
        <v>0</v>
      </c>
      <c r="F2547" s="120">
        <v>0</v>
      </c>
      <c r="G2547" s="121">
        <v>0</v>
      </c>
      <c r="H2547" s="123">
        <v>0</v>
      </c>
      <c r="I2547" s="122">
        <v>0</v>
      </c>
      <c r="J2547" s="124">
        <f t="shared" si="39"/>
        <v>0</v>
      </c>
    </row>
    <row r="2548" spans="1:10" ht="15" customHeight="1" x14ac:dyDescent="0.2">
      <c r="A2548" s="120" t="s">
        <v>7401</v>
      </c>
      <c r="B2548" s="120" t="s">
        <v>3532</v>
      </c>
      <c r="C2548" s="98" t="s">
        <v>3532</v>
      </c>
      <c r="D2548" s="120" t="s">
        <v>3534</v>
      </c>
      <c r="E2548" s="98">
        <v>0</v>
      </c>
      <c r="F2548" s="120">
        <v>0</v>
      </c>
      <c r="G2548" s="121">
        <v>0</v>
      </c>
      <c r="H2548" s="123">
        <v>0</v>
      </c>
      <c r="I2548" s="122">
        <v>0</v>
      </c>
      <c r="J2548" s="124">
        <f t="shared" si="39"/>
        <v>0</v>
      </c>
    </row>
    <row r="2549" spans="1:10" ht="15" customHeight="1" x14ac:dyDescent="0.2">
      <c r="A2549" s="120" t="s">
        <v>7402</v>
      </c>
      <c r="B2549" s="120" t="s">
        <v>3532</v>
      </c>
      <c r="C2549" s="98" t="s">
        <v>3540</v>
      </c>
      <c r="D2549" s="120" t="s">
        <v>3534</v>
      </c>
      <c r="E2549" s="98">
        <v>0</v>
      </c>
      <c r="F2549" s="120">
        <v>0</v>
      </c>
      <c r="G2549" s="121">
        <v>0</v>
      </c>
      <c r="H2549" s="123">
        <v>0</v>
      </c>
      <c r="I2549" s="122">
        <v>0</v>
      </c>
      <c r="J2549" s="124">
        <f t="shared" si="39"/>
        <v>0</v>
      </c>
    </row>
    <row r="2550" spans="1:10" ht="15" customHeight="1" x14ac:dyDescent="0.2">
      <c r="A2550" s="120" t="s">
        <v>7403</v>
      </c>
      <c r="B2550" s="120" t="s">
        <v>4146</v>
      </c>
      <c r="C2550" s="98" t="s">
        <v>3540</v>
      </c>
      <c r="D2550" s="120" t="s">
        <v>3534</v>
      </c>
      <c r="E2550" s="98">
        <v>0</v>
      </c>
      <c r="F2550" s="120">
        <v>0</v>
      </c>
      <c r="G2550" s="121">
        <v>0</v>
      </c>
      <c r="H2550" s="123">
        <v>0</v>
      </c>
      <c r="I2550" s="122">
        <v>0</v>
      </c>
      <c r="J2550" s="124">
        <f t="shared" si="39"/>
        <v>0</v>
      </c>
    </row>
    <row r="2551" spans="1:10" ht="15" customHeight="1" x14ac:dyDescent="0.2">
      <c r="A2551" s="120" t="s">
        <v>7404</v>
      </c>
      <c r="B2551" s="120" t="s">
        <v>3532</v>
      </c>
      <c r="C2551" s="98" t="s">
        <v>3540</v>
      </c>
      <c r="D2551" s="120" t="s">
        <v>3534</v>
      </c>
      <c r="E2551" s="98">
        <v>0</v>
      </c>
      <c r="F2551" s="120">
        <v>0</v>
      </c>
      <c r="G2551" s="121">
        <v>0</v>
      </c>
      <c r="H2551" s="123">
        <v>0</v>
      </c>
      <c r="I2551" s="122">
        <v>0</v>
      </c>
      <c r="J2551" s="124">
        <f t="shared" si="39"/>
        <v>0</v>
      </c>
    </row>
    <row r="2552" spans="1:10" ht="15" customHeight="1" x14ac:dyDescent="0.2">
      <c r="A2552" s="120" t="s">
        <v>7405</v>
      </c>
      <c r="B2552" s="120" t="s">
        <v>3532</v>
      </c>
      <c r="C2552" s="98" t="s">
        <v>3533</v>
      </c>
      <c r="D2552" s="120" t="s">
        <v>3534</v>
      </c>
      <c r="E2552" s="98">
        <v>0</v>
      </c>
      <c r="F2552" s="120">
        <v>0</v>
      </c>
      <c r="G2552" s="121">
        <v>0</v>
      </c>
      <c r="H2552" s="123">
        <v>0</v>
      </c>
      <c r="I2552" s="122">
        <v>0</v>
      </c>
      <c r="J2552" s="124">
        <f t="shared" si="39"/>
        <v>0</v>
      </c>
    </row>
    <row r="2553" spans="1:10" ht="15" customHeight="1" x14ac:dyDescent="0.2">
      <c r="A2553" s="120" t="s">
        <v>7406</v>
      </c>
      <c r="B2553" s="120" t="s">
        <v>3532</v>
      </c>
      <c r="C2553" s="98" t="s">
        <v>3532</v>
      </c>
      <c r="D2553" s="120" t="s">
        <v>3534</v>
      </c>
      <c r="E2553" s="98">
        <v>0</v>
      </c>
      <c r="F2553" s="120">
        <v>0</v>
      </c>
      <c r="G2553" s="121">
        <v>0</v>
      </c>
      <c r="H2553" s="123">
        <v>0</v>
      </c>
      <c r="I2553" s="122">
        <v>0</v>
      </c>
      <c r="J2553" s="124">
        <f t="shared" si="39"/>
        <v>0</v>
      </c>
    </row>
    <row r="2554" spans="1:10" ht="15" customHeight="1" x14ac:dyDescent="0.2">
      <c r="A2554" s="120" t="s">
        <v>7407</v>
      </c>
      <c r="B2554" s="120" t="s">
        <v>7408</v>
      </c>
      <c r="C2554" s="98" t="s">
        <v>3532</v>
      </c>
      <c r="D2554" s="120" t="s">
        <v>3534</v>
      </c>
      <c r="E2554" s="98">
        <v>0</v>
      </c>
      <c r="F2554" s="120">
        <v>0</v>
      </c>
      <c r="G2554" s="121">
        <v>0</v>
      </c>
      <c r="H2554" s="123">
        <v>0</v>
      </c>
      <c r="I2554" s="122">
        <v>0</v>
      </c>
      <c r="J2554" s="124">
        <f t="shared" si="39"/>
        <v>0</v>
      </c>
    </row>
    <row r="2555" spans="1:10" ht="15" customHeight="1" x14ac:dyDescent="0.2">
      <c r="A2555" s="120" t="s">
        <v>7409</v>
      </c>
      <c r="B2555" s="120" t="s">
        <v>3532</v>
      </c>
      <c r="C2555" s="98" t="s">
        <v>3533</v>
      </c>
      <c r="D2555" s="120" t="s">
        <v>3534</v>
      </c>
      <c r="E2555" s="98">
        <v>0</v>
      </c>
      <c r="F2555" s="120">
        <v>0</v>
      </c>
      <c r="G2555" s="121">
        <v>775</v>
      </c>
      <c r="H2555" s="123">
        <v>0</v>
      </c>
      <c r="I2555" s="122">
        <v>0</v>
      </c>
      <c r="J2555" s="124">
        <f t="shared" si="39"/>
        <v>0</v>
      </c>
    </row>
    <row r="2556" spans="1:10" ht="15" customHeight="1" x14ac:dyDescent="0.2">
      <c r="A2556" s="120" t="s">
        <v>7410</v>
      </c>
      <c r="B2556" s="120" t="s">
        <v>3532</v>
      </c>
      <c r="C2556" s="98" t="s">
        <v>3533</v>
      </c>
      <c r="D2556" s="120" t="s">
        <v>3534</v>
      </c>
      <c r="E2556" s="98">
        <v>0</v>
      </c>
      <c r="F2556" s="120">
        <v>0</v>
      </c>
      <c r="G2556" s="121">
        <v>231</v>
      </c>
      <c r="H2556" s="123">
        <v>0</v>
      </c>
      <c r="I2556" s="122">
        <v>0</v>
      </c>
      <c r="J2556" s="124">
        <f t="shared" si="39"/>
        <v>0</v>
      </c>
    </row>
    <row r="2557" spans="1:10" ht="15" customHeight="1" x14ac:dyDescent="0.2">
      <c r="A2557" s="120" t="s">
        <v>7411</v>
      </c>
      <c r="B2557" s="120" t="s">
        <v>3532</v>
      </c>
      <c r="C2557" s="98" t="s">
        <v>3533</v>
      </c>
      <c r="D2557" s="120" t="s">
        <v>3534</v>
      </c>
      <c r="E2557" s="98">
        <v>0</v>
      </c>
      <c r="F2557" s="120">
        <v>0</v>
      </c>
      <c r="G2557" s="121">
        <v>206</v>
      </c>
      <c r="H2557" s="123">
        <v>0</v>
      </c>
      <c r="I2557" s="122">
        <v>0</v>
      </c>
      <c r="J2557" s="124">
        <f t="shared" si="39"/>
        <v>0</v>
      </c>
    </row>
    <row r="2558" spans="1:10" ht="15" customHeight="1" x14ac:dyDescent="0.2">
      <c r="A2558" s="120" t="s">
        <v>7412</v>
      </c>
      <c r="B2558" s="120" t="s">
        <v>7413</v>
      </c>
      <c r="C2558" s="98" t="s">
        <v>3566</v>
      </c>
      <c r="D2558" s="120" t="s">
        <v>3534</v>
      </c>
      <c r="E2558" s="98">
        <v>0</v>
      </c>
      <c r="F2558" s="120">
        <v>0</v>
      </c>
      <c r="G2558" s="121">
        <v>16</v>
      </c>
      <c r="H2558" s="123">
        <v>0</v>
      </c>
      <c r="I2558" s="122">
        <v>0</v>
      </c>
      <c r="J2558" s="124">
        <f t="shared" si="39"/>
        <v>0</v>
      </c>
    </row>
    <row r="2559" spans="1:10" ht="15" customHeight="1" x14ac:dyDescent="0.2">
      <c r="A2559" s="120" t="s">
        <v>7414</v>
      </c>
      <c r="B2559" s="120" t="s">
        <v>7413</v>
      </c>
      <c r="C2559" s="98" t="s">
        <v>3566</v>
      </c>
      <c r="D2559" s="120" t="s">
        <v>3534</v>
      </c>
      <c r="E2559" s="98">
        <v>0</v>
      </c>
      <c r="F2559" s="120">
        <v>0</v>
      </c>
      <c r="G2559" s="121">
        <v>3212</v>
      </c>
      <c r="H2559" s="123">
        <v>0</v>
      </c>
      <c r="I2559" s="122">
        <v>0</v>
      </c>
      <c r="J2559" s="124">
        <f t="shared" si="39"/>
        <v>0</v>
      </c>
    </row>
    <row r="2560" spans="1:10" ht="15" customHeight="1" x14ac:dyDescent="0.2">
      <c r="A2560" s="120" t="s">
        <v>7415</v>
      </c>
      <c r="B2560" s="120" t="s">
        <v>7413</v>
      </c>
      <c r="C2560" s="98" t="s">
        <v>3566</v>
      </c>
      <c r="D2560" s="120" t="s">
        <v>3534</v>
      </c>
      <c r="E2560" s="98">
        <v>0</v>
      </c>
      <c r="F2560" s="120">
        <v>0</v>
      </c>
      <c r="G2560" s="121">
        <v>4943</v>
      </c>
      <c r="H2560" s="123">
        <v>0</v>
      </c>
      <c r="I2560" s="122">
        <v>0</v>
      </c>
      <c r="J2560" s="124">
        <f t="shared" si="39"/>
        <v>0</v>
      </c>
    </row>
    <row r="2561" spans="1:11" ht="15" customHeight="1" x14ac:dyDescent="0.2">
      <c r="A2561" s="120" t="s">
        <v>7416</v>
      </c>
      <c r="B2561" s="120" t="s">
        <v>3532</v>
      </c>
      <c r="C2561" s="98" t="s">
        <v>3533</v>
      </c>
      <c r="D2561" s="120" t="s">
        <v>3534</v>
      </c>
      <c r="E2561" s="98">
        <v>0</v>
      </c>
      <c r="F2561" s="120">
        <v>0</v>
      </c>
      <c r="G2561" s="121">
        <v>4190</v>
      </c>
      <c r="H2561" s="123">
        <v>0</v>
      </c>
      <c r="I2561" s="122">
        <v>0</v>
      </c>
      <c r="J2561" s="124">
        <f t="shared" si="39"/>
        <v>0</v>
      </c>
    </row>
    <row r="2562" spans="1:11" ht="15" customHeight="1" x14ac:dyDescent="0.2">
      <c r="A2562" s="120" t="s">
        <v>7417</v>
      </c>
      <c r="B2562" s="120" t="s">
        <v>7418</v>
      </c>
      <c r="C2562" s="98" t="s">
        <v>3532</v>
      </c>
      <c r="D2562" s="120" t="s">
        <v>3534</v>
      </c>
      <c r="E2562" s="98">
        <v>0</v>
      </c>
      <c r="F2562" s="120">
        <v>0</v>
      </c>
      <c r="G2562" s="121">
        <v>0</v>
      </c>
      <c r="H2562" s="123">
        <v>0</v>
      </c>
      <c r="I2562" s="122">
        <v>0</v>
      </c>
      <c r="J2562" s="124">
        <f t="shared" ref="J2562:J2625" si="40">IF(D2562="gm", E2562*1000,+E2562)</f>
        <v>0</v>
      </c>
    </row>
    <row r="2563" spans="1:11" ht="15" customHeight="1" x14ac:dyDescent="0.2">
      <c r="A2563" s="120" t="s">
        <v>7419</v>
      </c>
      <c r="B2563" s="120" t="s">
        <v>3532</v>
      </c>
      <c r="C2563" s="98" t="s">
        <v>3533</v>
      </c>
      <c r="D2563" s="120" t="s">
        <v>3534</v>
      </c>
      <c r="E2563" s="98">
        <v>0</v>
      </c>
      <c r="F2563" s="120">
        <v>0</v>
      </c>
      <c r="G2563" s="121">
        <v>1694</v>
      </c>
      <c r="H2563" s="123">
        <v>0</v>
      </c>
      <c r="I2563" s="122">
        <v>0</v>
      </c>
      <c r="J2563" s="124">
        <f t="shared" si="40"/>
        <v>0</v>
      </c>
    </row>
    <row r="2564" spans="1:11" ht="15" customHeight="1" x14ac:dyDescent="0.2">
      <c r="A2564" s="120" t="s">
        <v>7420</v>
      </c>
      <c r="B2564" s="120" t="s">
        <v>3532</v>
      </c>
      <c r="C2564" s="98" t="s">
        <v>3532</v>
      </c>
      <c r="D2564" s="120" t="s">
        <v>3534</v>
      </c>
      <c r="E2564" s="98">
        <v>0</v>
      </c>
      <c r="F2564" s="120">
        <v>0</v>
      </c>
      <c r="G2564" s="121">
        <v>0</v>
      </c>
      <c r="H2564" s="123">
        <v>0</v>
      </c>
      <c r="I2564" s="122">
        <v>0</v>
      </c>
      <c r="J2564" s="124">
        <f t="shared" si="40"/>
        <v>0</v>
      </c>
    </row>
    <row r="2565" spans="1:11" ht="15" customHeight="1" x14ac:dyDescent="0.2">
      <c r="A2565" s="120" t="s">
        <v>7421</v>
      </c>
      <c r="B2565" s="120" t="s">
        <v>7413</v>
      </c>
      <c r="C2565" s="98" t="s">
        <v>3540</v>
      </c>
      <c r="D2565" s="120" t="s">
        <v>3534</v>
      </c>
      <c r="E2565" s="98">
        <v>0</v>
      </c>
      <c r="F2565" s="120">
        <v>0</v>
      </c>
      <c r="G2565" s="121">
        <v>0</v>
      </c>
      <c r="H2565" s="123">
        <v>0</v>
      </c>
      <c r="I2565" s="122">
        <v>0</v>
      </c>
      <c r="J2565" s="124">
        <f t="shared" si="40"/>
        <v>0</v>
      </c>
    </row>
    <row r="2566" spans="1:11" ht="15" customHeight="1" x14ac:dyDescent="0.2">
      <c r="A2566" s="120" t="s">
        <v>7422</v>
      </c>
      <c r="B2566" s="120" t="s">
        <v>7413</v>
      </c>
      <c r="C2566" s="98" t="s">
        <v>3533</v>
      </c>
      <c r="D2566" s="120" t="s">
        <v>3534</v>
      </c>
      <c r="E2566" s="98">
        <v>0</v>
      </c>
      <c r="F2566" s="120">
        <v>0</v>
      </c>
      <c r="G2566" s="121">
        <v>0</v>
      </c>
      <c r="H2566" s="123">
        <v>0</v>
      </c>
      <c r="I2566" s="122">
        <v>0</v>
      </c>
      <c r="J2566" s="124">
        <f t="shared" si="40"/>
        <v>0</v>
      </c>
    </row>
    <row r="2567" spans="1:11" ht="15" customHeight="1" x14ac:dyDescent="0.2">
      <c r="A2567" s="120" t="s">
        <v>7423</v>
      </c>
      <c r="B2567" s="120" t="s">
        <v>3532</v>
      </c>
      <c r="C2567" s="98" t="s">
        <v>3533</v>
      </c>
      <c r="D2567" s="120" t="s">
        <v>3534</v>
      </c>
      <c r="E2567" s="98">
        <v>0</v>
      </c>
      <c r="F2567" s="120">
        <v>0</v>
      </c>
      <c r="G2567" s="121">
        <v>2636</v>
      </c>
      <c r="H2567" s="123">
        <v>0</v>
      </c>
      <c r="I2567" s="122">
        <v>0</v>
      </c>
      <c r="J2567" s="124">
        <f t="shared" si="40"/>
        <v>0</v>
      </c>
    </row>
    <row r="2568" spans="1:11" ht="15" customHeight="1" x14ac:dyDescent="0.2">
      <c r="A2568" s="120" t="s">
        <v>7424</v>
      </c>
      <c r="B2568" s="120" t="s">
        <v>7413</v>
      </c>
      <c r="C2568" s="98" t="s">
        <v>3540</v>
      </c>
      <c r="D2568" s="120" t="s">
        <v>3534</v>
      </c>
      <c r="E2568" s="98">
        <v>0</v>
      </c>
      <c r="F2568" s="120">
        <v>0</v>
      </c>
      <c r="G2568" s="121">
        <v>0</v>
      </c>
      <c r="H2568" s="123">
        <v>0</v>
      </c>
      <c r="I2568" s="122">
        <v>0</v>
      </c>
      <c r="J2568" s="124">
        <f t="shared" si="40"/>
        <v>0</v>
      </c>
    </row>
    <row r="2569" spans="1:11" ht="15" customHeight="1" x14ac:dyDescent="0.2">
      <c r="A2569" s="120" t="s">
        <v>7425</v>
      </c>
      <c r="B2569" s="120" t="s">
        <v>7413</v>
      </c>
      <c r="C2569" s="98" t="s">
        <v>3533</v>
      </c>
      <c r="D2569" s="120" t="s">
        <v>3534</v>
      </c>
      <c r="E2569" s="98">
        <v>0</v>
      </c>
      <c r="F2569" s="120">
        <v>0</v>
      </c>
      <c r="G2569" s="121">
        <v>2571</v>
      </c>
      <c r="H2569" s="123">
        <v>0</v>
      </c>
      <c r="I2569" s="122">
        <v>0</v>
      </c>
      <c r="J2569" s="124">
        <f t="shared" si="40"/>
        <v>0</v>
      </c>
      <c r="K2569" s="98" t="s">
        <v>7426</v>
      </c>
    </row>
    <row r="2570" spans="1:11" ht="15" customHeight="1" x14ac:dyDescent="0.2">
      <c r="A2570" s="120" t="s">
        <v>7427</v>
      </c>
      <c r="B2570" s="120" t="s">
        <v>3532</v>
      </c>
      <c r="C2570" s="98" t="s">
        <v>3533</v>
      </c>
      <c r="D2570" s="120" t="s">
        <v>3534</v>
      </c>
      <c r="E2570" s="98">
        <v>0</v>
      </c>
      <c r="F2570" s="120">
        <v>0</v>
      </c>
      <c r="G2570" s="121">
        <v>444</v>
      </c>
      <c r="H2570" s="123">
        <v>0</v>
      </c>
      <c r="I2570" s="122">
        <v>0</v>
      </c>
      <c r="J2570" s="124">
        <f t="shared" si="40"/>
        <v>0</v>
      </c>
    </row>
    <row r="2571" spans="1:11" ht="15" customHeight="1" x14ac:dyDescent="0.2">
      <c r="A2571" s="120" t="s">
        <v>7428</v>
      </c>
      <c r="B2571" s="120" t="s">
        <v>4584</v>
      </c>
      <c r="C2571" s="98" t="s">
        <v>3533</v>
      </c>
      <c r="D2571" s="120" t="s">
        <v>3534</v>
      </c>
      <c r="E2571" s="98">
        <v>0</v>
      </c>
      <c r="F2571" s="120">
        <v>0</v>
      </c>
      <c r="G2571" s="121">
        <v>550</v>
      </c>
      <c r="H2571" s="123">
        <v>0</v>
      </c>
      <c r="I2571" s="122">
        <v>0</v>
      </c>
      <c r="J2571" s="124">
        <f t="shared" si="40"/>
        <v>0</v>
      </c>
    </row>
    <row r="2572" spans="1:11" ht="15" customHeight="1" x14ac:dyDescent="0.2">
      <c r="A2572" s="120" t="s">
        <v>7429</v>
      </c>
      <c r="B2572" s="120" t="s">
        <v>4584</v>
      </c>
      <c r="C2572" s="98" t="s">
        <v>3540</v>
      </c>
      <c r="D2572" s="120" t="s">
        <v>3534</v>
      </c>
      <c r="E2572" s="98">
        <v>0</v>
      </c>
      <c r="F2572" s="120">
        <v>0</v>
      </c>
      <c r="G2572" s="121">
        <v>0</v>
      </c>
      <c r="H2572" s="123">
        <v>0</v>
      </c>
      <c r="I2572" s="122">
        <v>0</v>
      </c>
      <c r="J2572" s="124">
        <f t="shared" si="40"/>
        <v>0</v>
      </c>
    </row>
    <row r="2573" spans="1:11" ht="15" customHeight="1" x14ac:dyDescent="0.2">
      <c r="A2573" s="120" t="s">
        <v>7430</v>
      </c>
      <c r="B2573" s="120" t="s">
        <v>7418</v>
      </c>
      <c r="C2573" s="98" t="s">
        <v>3533</v>
      </c>
      <c r="D2573" s="120" t="s">
        <v>3534</v>
      </c>
      <c r="E2573" s="98">
        <v>0</v>
      </c>
      <c r="F2573" s="120">
        <v>0</v>
      </c>
      <c r="G2573" s="121">
        <v>1105</v>
      </c>
      <c r="H2573" s="123">
        <v>0</v>
      </c>
      <c r="I2573" s="122">
        <v>0</v>
      </c>
      <c r="J2573" s="124">
        <f t="shared" si="40"/>
        <v>0</v>
      </c>
    </row>
    <row r="2574" spans="1:11" ht="15" customHeight="1" x14ac:dyDescent="0.2">
      <c r="A2574" s="120" t="s">
        <v>7431</v>
      </c>
      <c r="B2574" s="120" t="s">
        <v>4584</v>
      </c>
      <c r="C2574" s="98" t="s">
        <v>3533</v>
      </c>
      <c r="D2574" s="120" t="s">
        <v>3534</v>
      </c>
      <c r="E2574" s="98">
        <v>0</v>
      </c>
      <c r="F2574" s="120">
        <v>0</v>
      </c>
      <c r="G2574" s="121">
        <v>879</v>
      </c>
      <c r="H2574" s="123">
        <v>0</v>
      </c>
      <c r="I2574" s="122">
        <v>0</v>
      </c>
      <c r="J2574" s="124">
        <f t="shared" si="40"/>
        <v>0</v>
      </c>
    </row>
    <row r="2575" spans="1:11" ht="15" customHeight="1" x14ac:dyDescent="0.2">
      <c r="A2575" s="120" t="s">
        <v>7432</v>
      </c>
      <c r="B2575" s="120" t="s">
        <v>7413</v>
      </c>
      <c r="C2575" s="98" t="s">
        <v>3533</v>
      </c>
      <c r="D2575" s="120" t="s">
        <v>3534</v>
      </c>
      <c r="E2575" s="98">
        <v>0</v>
      </c>
      <c r="F2575" s="120">
        <v>0</v>
      </c>
      <c r="G2575" s="121">
        <v>112</v>
      </c>
      <c r="H2575" s="123">
        <v>0</v>
      </c>
      <c r="I2575" s="122">
        <v>0</v>
      </c>
      <c r="J2575" s="124">
        <f t="shared" si="40"/>
        <v>0</v>
      </c>
      <c r="K2575" s="98" t="s">
        <v>7304</v>
      </c>
    </row>
    <row r="2576" spans="1:11" ht="15" customHeight="1" x14ac:dyDescent="0.2">
      <c r="A2576" s="120" t="s">
        <v>7433</v>
      </c>
      <c r="B2576" s="120" t="s">
        <v>4584</v>
      </c>
      <c r="C2576" s="98" t="s">
        <v>3540</v>
      </c>
      <c r="D2576" s="120" t="s">
        <v>3534</v>
      </c>
      <c r="E2576" s="98">
        <v>0</v>
      </c>
      <c r="F2576" s="120">
        <v>0</v>
      </c>
      <c r="G2576" s="121">
        <v>209</v>
      </c>
      <c r="H2576" s="123">
        <v>0</v>
      </c>
      <c r="I2576" s="122">
        <v>0</v>
      </c>
      <c r="J2576" s="124">
        <f t="shared" si="40"/>
        <v>0</v>
      </c>
    </row>
    <row r="2577" spans="1:10" ht="15" customHeight="1" x14ac:dyDescent="0.2">
      <c r="A2577" s="120" t="s">
        <v>7434</v>
      </c>
      <c r="B2577" s="120" t="s">
        <v>7413</v>
      </c>
      <c r="C2577" s="98" t="s">
        <v>3540</v>
      </c>
      <c r="D2577" s="120" t="s">
        <v>3534</v>
      </c>
      <c r="E2577" s="98">
        <v>0</v>
      </c>
      <c r="F2577" s="120">
        <v>0</v>
      </c>
      <c r="G2577" s="121">
        <v>586</v>
      </c>
      <c r="H2577" s="123">
        <v>0</v>
      </c>
      <c r="I2577" s="122">
        <v>0</v>
      </c>
      <c r="J2577" s="124">
        <f t="shared" si="40"/>
        <v>0</v>
      </c>
    </row>
    <row r="2578" spans="1:10" ht="15" customHeight="1" x14ac:dyDescent="0.2">
      <c r="A2578" s="120" t="s">
        <v>7435</v>
      </c>
      <c r="B2578" s="120" t="s">
        <v>7413</v>
      </c>
      <c r="C2578" s="98" t="s">
        <v>3532</v>
      </c>
      <c r="D2578" s="120" t="s">
        <v>3534</v>
      </c>
      <c r="E2578" s="98">
        <v>0</v>
      </c>
      <c r="F2578" s="120">
        <v>0</v>
      </c>
      <c r="G2578" s="121">
        <v>100</v>
      </c>
      <c r="H2578" s="123">
        <v>0</v>
      </c>
      <c r="I2578" s="122">
        <v>0</v>
      </c>
      <c r="J2578" s="124">
        <f t="shared" si="40"/>
        <v>0</v>
      </c>
    </row>
    <row r="2579" spans="1:10" ht="15" customHeight="1" x14ac:dyDescent="0.2">
      <c r="A2579" s="120" t="s">
        <v>7436</v>
      </c>
      <c r="B2579" s="120" t="s">
        <v>7413</v>
      </c>
      <c r="C2579" s="98" t="s">
        <v>3533</v>
      </c>
      <c r="D2579" s="120" t="s">
        <v>3534</v>
      </c>
      <c r="E2579" s="98">
        <v>0</v>
      </c>
      <c r="F2579" s="120">
        <v>0</v>
      </c>
      <c r="G2579" s="121">
        <v>445</v>
      </c>
      <c r="H2579" s="123">
        <v>0</v>
      </c>
      <c r="I2579" s="122">
        <v>0</v>
      </c>
      <c r="J2579" s="124">
        <f t="shared" si="40"/>
        <v>0</v>
      </c>
    </row>
    <row r="2580" spans="1:10" ht="15" customHeight="1" x14ac:dyDescent="0.2">
      <c r="A2580" s="120" t="s">
        <v>7437</v>
      </c>
      <c r="B2580" s="120" t="s">
        <v>3532</v>
      </c>
      <c r="C2580" s="98" t="s">
        <v>3533</v>
      </c>
      <c r="D2580" s="120" t="s">
        <v>3534</v>
      </c>
      <c r="E2580" s="98">
        <v>0</v>
      </c>
      <c r="F2580" s="120">
        <v>0</v>
      </c>
      <c r="G2580" s="121">
        <v>606</v>
      </c>
      <c r="H2580" s="123">
        <v>0</v>
      </c>
      <c r="I2580" s="122">
        <v>0</v>
      </c>
      <c r="J2580" s="124">
        <f t="shared" si="40"/>
        <v>0</v>
      </c>
    </row>
    <row r="2581" spans="1:10" ht="15" customHeight="1" x14ac:dyDescent="0.2">
      <c r="A2581" s="120" t="s">
        <v>7438</v>
      </c>
      <c r="B2581" s="120" t="s">
        <v>3532</v>
      </c>
      <c r="C2581" s="98" t="s">
        <v>3533</v>
      </c>
      <c r="D2581" s="120" t="s">
        <v>3534</v>
      </c>
      <c r="E2581" s="98">
        <v>0</v>
      </c>
      <c r="F2581" s="120">
        <v>0</v>
      </c>
      <c r="G2581" s="121">
        <v>595</v>
      </c>
      <c r="H2581" s="123">
        <v>0</v>
      </c>
      <c r="I2581" s="122">
        <v>0</v>
      </c>
      <c r="J2581" s="124">
        <f t="shared" si="40"/>
        <v>0</v>
      </c>
    </row>
    <row r="2582" spans="1:10" ht="15" customHeight="1" x14ac:dyDescent="0.2">
      <c r="A2582" s="120" t="s">
        <v>7439</v>
      </c>
      <c r="B2582" s="120" t="s">
        <v>3532</v>
      </c>
      <c r="C2582" s="98" t="s">
        <v>3533</v>
      </c>
      <c r="D2582" s="120" t="s">
        <v>3534</v>
      </c>
      <c r="E2582" s="98">
        <v>0</v>
      </c>
      <c r="F2582" s="120">
        <v>0</v>
      </c>
      <c r="G2582" s="121">
        <v>1099</v>
      </c>
      <c r="H2582" s="123">
        <v>0</v>
      </c>
      <c r="I2582" s="122">
        <v>0</v>
      </c>
      <c r="J2582" s="124">
        <f t="shared" si="40"/>
        <v>0</v>
      </c>
    </row>
    <row r="2583" spans="1:10" ht="15" customHeight="1" x14ac:dyDescent="0.2">
      <c r="A2583" s="120" t="s">
        <v>7440</v>
      </c>
      <c r="B2583" s="120" t="s">
        <v>3532</v>
      </c>
      <c r="C2583" s="98" t="s">
        <v>3533</v>
      </c>
      <c r="D2583" s="120" t="s">
        <v>3534</v>
      </c>
      <c r="E2583" s="98">
        <v>0</v>
      </c>
      <c r="F2583" s="120">
        <v>0</v>
      </c>
      <c r="G2583" s="121">
        <v>1086</v>
      </c>
      <c r="H2583" s="123">
        <v>0</v>
      </c>
      <c r="I2583" s="122">
        <v>0</v>
      </c>
      <c r="J2583" s="124">
        <f t="shared" si="40"/>
        <v>0</v>
      </c>
    </row>
    <row r="2584" spans="1:10" ht="15" customHeight="1" x14ac:dyDescent="0.2">
      <c r="A2584" s="120" t="s">
        <v>7441</v>
      </c>
      <c r="B2584" s="120" t="s">
        <v>3532</v>
      </c>
      <c r="C2584" s="98" t="s">
        <v>3533</v>
      </c>
      <c r="D2584" s="120" t="s">
        <v>3534</v>
      </c>
      <c r="E2584" s="98">
        <v>0</v>
      </c>
      <c r="F2584" s="120">
        <v>0</v>
      </c>
      <c r="G2584" s="121">
        <v>1197</v>
      </c>
      <c r="H2584" s="123">
        <v>0</v>
      </c>
      <c r="I2584" s="122">
        <v>0</v>
      </c>
      <c r="J2584" s="124">
        <f t="shared" si="40"/>
        <v>0</v>
      </c>
    </row>
    <row r="2585" spans="1:10" ht="15" customHeight="1" x14ac:dyDescent="0.2">
      <c r="A2585" s="120" t="s">
        <v>7442</v>
      </c>
      <c r="B2585" s="120" t="s">
        <v>3532</v>
      </c>
      <c r="C2585" s="98" t="s">
        <v>3533</v>
      </c>
      <c r="D2585" s="120" t="s">
        <v>3534</v>
      </c>
      <c r="E2585" s="98">
        <v>0</v>
      </c>
      <c r="F2585" s="120">
        <v>0</v>
      </c>
      <c r="G2585" s="121">
        <v>1016</v>
      </c>
      <c r="H2585" s="123">
        <v>0</v>
      </c>
      <c r="I2585" s="122">
        <v>0</v>
      </c>
      <c r="J2585" s="124">
        <f t="shared" si="40"/>
        <v>0</v>
      </c>
    </row>
    <row r="2586" spans="1:10" ht="15" customHeight="1" x14ac:dyDescent="0.2">
      <c r="A2586" s="120" t="s">
        <v>7443</v>
      </c>
      <c r="B2586" s="120" t="s">
        <v>3532</v>
      </c>
      <c r="C2586" s="98" t="s">
        <v>3532</v>
      </c>
      <c r="D2586" s="120" t="s">
        <v>3534</v>
      </c>
      <c r="E2586" s="98">
        <v>0</v>
      </c>
      <c r="F2586" s="120">
        <v>0</v>
      </c>
      <c r="G2586" s="121">
        <v>0</v>
      </c>
      <c r="H2586" s="123">
        <v>0</v>
      </c>
      <c r="I2586" s="122">
        <v>0</v>
      </c>
      <c r="J2586" s="124">
        <f t="shared" si="40"/>
        <v>0</v>
      </c>
    </row>
    <row r="2587" spans="1:10" ht="15" customHeight="1" x14ac:dyDescent="0.2">
      <c r="A2587" s="120" t="s">
        <v>7444</v>
      </c>
      <c r="B2587" s="120" t="s">
        <v>7445</v>
      </c>
      <c r="C2587" s="98" t="s">
        <v>3540</v>
      </c>
      <c r="D2587" s="120" t="s">
        <v>3534</v>
      </c>
      <c r="E2587" s="98">
        <v>0</v>
      </c>
      <c r="F2587" s="120">
        <v>0</v>
      </c>
      <c r="G2587" s="121">
        <v>0</v>
      </c>
      <c r="H2587" s="123">
        <v>0</v>
      </c>
      <c r="I2587" s="122">
        <v>0</v>
      </c>
      <c r="J2587" s="124">
        <f t="shared" si="40"/>
        <v>0</v>
      </c>
    </row>
    <row r="2588" spans="1:10" ht="15" customHeight="1" x14ac:dyDescent="0.2">
      <c r="A2588" s="120" t="s">
        <v>7446</v>
      </c>
      <c r="B2588" s="120" t="s">
        <v>7445</v>
      </c>
      <c r="C2588" s="98" t="s">
        <v>3540</v>
      </c>
      <c r="D2588" s="120" t="s">
        <v>3534</v>
      </c>
      <c r="E2588" s="98">
        <v>0</v>
      </c>
      <c r="F2588" s="120">
        <v>0</v>
      </c>
      <c r="G2588" s="121">
        <v>0</v>
      </c>
      <c r="H2588" s="123">
        <v>0</v>
      </c>
      <c r="I2588" s="122">
        <v>0</v>
      </c>
      <c r="J2588" s="124">
        <f t="shared" si="40"/>
        <v>0</v>
      </c>
    </row>
    <row r="2589" spans="1:10" ht="15" customHeight="1" x14ac:dyDescent="0.2">
      <c r="A2589" s="120" t="s">
        <v>7447</v>
      </c>
      <c r="B2589" s="120" t="s">
        <v>7445</v>
      </c>
      <c r="C2589" s="98" t="s">
        <v>3540</v>
      </c>
      <c r="D2589" s="120" t="s">
        <v>3534</v>
      </c>
      <c r="E2589" s="98">
        <v>0</v>
      </c>
      <c r="F2589" s="120">
        <v>0</v>
      </c>
      <c r="G2589" s="121">
        <v>0</v>
      </c>
      <c r="H2589" s="123">
        <v>0</v>
      </c>
      <c r="I2589" s="122">
        <v>0</v>
      </c>
      <c r="J2589" s="124">
        <f t="shared" si="40"/>
        <v>0</v>
      </c>
    </row>
    <row r="2590" spans="1:10" ht="15" customHeight="1" x14ac:dyDescent="0.2">
      <c r="A2590" s="120" t="s">
        <v>7448</v>
      </c>
      <c r="B2590" s="120" t="s">
        <v>7445</v>
      </c>
      <c r="C2590" s="98" t="s">
        <v>3540</v>
      </c>
      <c r="D2590" s="120" t="s">
        <v>3534</v>
      </c>
      <c r="E2590" s="98">
        <v>0</v>
      </c>
      <c r="F2590" s="120">
        <v>0</v>
      </c>
      <c r="G2590" s="121">
        <v>0</v>
      </c>
      <c r="H2590" s="123">
        <v>0</v>
      </c>
      <c r="I2590" s="122">
        <v>0</v>
      </c>
      <c r="J2590" s="124">
        <f t="shared" si="40"/>
        <v>0</v>
      </c>
    </row>
    <row r="2591" spans="1:10" ht="15" customHeight="1" x14ac:dyDescent="0.2">
      <c r="A2591" s="120" t="s">
        <v>7449</v>
      </c>
      <c r="B2591" s="120" t="s">
        <v>7445</v>
      </c>
      <c r="C2591" s="98" t="s">
        <v>3540</v>
      </c>
      <c r="D2591" s="120" t="s">
        <v>3534</v>
      </c>
      <c r="E2591" s="98">
        <v>0</v>
      </c>
      <c r="F2591" s="120">
        <v>0</v>
      </c>
      <c r="G2591" s="121">
        <v>0</v>
      </c>
      <c r="H2591" s="123">
        <v>0</v>
      </c>
      <c r="I2591" s="122">
        <v>0</v>
      </c>
      <c r="J2591" s="124">
        <f t="shared" si="40"/>
        <v>0</v>
      </c>
    </row>
    <row r="2592" spans="1:10" ht="15" customHeight="1" x14ac:dyDescent="0.2">
      <c r="A2592" s="120" t="s">
        <v>7450</v>
      </c>
      <c r="B2592" s="120" t="s">
        <v>7445</v>
      </c>
      <c r="C2592" s="98" t="s">
        <v>3540</v>
      </c>
      <c r="D2592" s="120" t="s">
        <v>3563</v>
      </c>
      <c r="E2592" s="98">
        <v>0</v>
      </c>
      <c r="F2592" s="120">
        <v>0</v>
      </c>
      <c r="G2592" s="121">
        <v>0</v>
      </c>
      <c r="H2592" s="123">
        <v>0</v>
      </c>
      <c r="I2592" s="122">
        <v>0</v>
      </c>
      <c r="J2592" s="124">
        <f t="shared" si="40"/>
        <v>0</v>
      </c>
    </row>
    <row r="2593" spans="1:10" ht="15" customHeight="1" x14ac:dyDescent="0.2">
      <c r="A2593" s="120" t="s">
        <v>7451</v>
      </c>
      <c r="B2593" s="120" t="s">
        <v>7445</v>
      </c>
      <c r="C2593" s="98" t="s">
        <v>3540</v>
      </c>
      <c r="D2593" s="120" t="s">
        <v>3563</v>
      </c>
      <c r="E2593" s="98">
        <v>0</v>
      </c>
      <c r="F2593" s="120">
        <v>0</v>
      </c>
      <c r="G2593" s="121">
        <v>0</v>
      </c>
      <c r="H2593" s="123">
        <v>0</v>
      </c>
      <c r="I2593" s="122">
        <v>0</v>
      </c>
      <c r="J2593" s="124">
        <f t="shared" si="40"/>
        <v>0</v>
      </c>
    </row>
    <row r="2594" spans="1:10" ht="15" customHeight="1" x14ac:dyDescent="0.2">
      <c r="A2594" s="120" t="s">
        <v>7452</v>
      </c>
      <c r="B2594" s="120" t="s">
        <v>7445</v>
      </c>
      <c r="C2594" s="98" t="s">
        <v>3540</v>
      </c>
      <c r="D2594" s="120" t="s">
        <v>3563</v>
      </c>
      <c r="E2594" s="98">
        <v>0</v>
      </c>
      <c r="F2594" s="120">
        <v>0</v>
      </c>
      <c r="G2594" s="121">
        <v>0</v>
      </c>
      <c r="H2594" s="123">
        <v>0</v>
      </c>
      <c r="I2594" s="122">
        <v>0</v>
      </c>
      <c r="J2594" s="124">
        <f t="shared" si="40"/>
        <v>0</v>
      </c>
    </row>
    <row r="2595" spans="1:10" ht="15" customHeight="1" x14ac:dyDescent="0.2">
      <c r="A2595" s="120" t="s">
        <v>7453</v>
      </c>
      <c r="B2595" s="120" t="s">
        <v>7445</v>
      </c>
      <c r="C2595" s="98" t="s">
        <v>3533</v>
      </c>
      <c r="D2595" s="120" t="s">
        <v>3563</v>
      </c>
      <c r="E2595" s="98">
        <v>0</v>
      </c>
      <c r="F2595" s="120">
        <v>0</v>
      </c>
      <c r="G2595" s="121">
        <v>0</v>
      </c>
      <c r="H2595" s="123">
        <v>0</v>
      </c>
      <c r="I2595" s="122">
        <v>0</v>
      </c>
      <c r="J2595" s="124">
        <f t="shared" si="40"/>
        <v>0</v>
      </c>
    </row>
    <row r="2596" spans="1:10" ht="15" customHeight="1" x14ac:dyDescent="0.2">
      <c r="A2596" s="120" t="s">
        <v>7454</v>
      </c>
      <c r="B2596" s="120" t="s">
        <v>7445</v>
      </c>
      <c r="C2596" s="98" t="s">
        <v>3540</v>
      </c>
      <c r="D2596" s="120" t="s">
        <v>3534</v>
      </c>
      <c r="E2596" s="98">
        <v>0</v>
      </c>
      <c r="F2596" s="120">
        <v>0</v>
      </c>
      <c r="G2596" s="121">
        <v>0</v>
      </c>
      <c r="H2596" s="123">
        <v>0</v>
      </c>
      <c r="I2596" s="122">
        <v>0</v>
      </c>
      <c r="J2596" s="124">
        <f t="shared" si="40"/>
        <v>0</v>
      </c>
    </row>
    <row r="2597" spans="1:10" ht="15" customHeight="1" x14ac:dyDescent="0.2">
      <c r="A2597" s="120" t="s">
        <v>7455</v>
      </c>
      <c r="B2597" s="120" t="s">
        <v>7456</v>
      </c>
      <c r="C2597" s="98" t="s">
        <v>3533</v>
      </c>
      <c r="D2597" s="120" t="s">
        <v>3534</v>
      </c>
      <c r="E2597" s="98">
        <v>0</v>
      </c>
      <c r="F2597" s="120">
        <v>0</v>
      </c>
      <c r="G2597" s="121">
        <v>0</v>
      </c>
      <c r="H2597" s="123">
        <v>0</v>
      </c>
      <c r="I2597" s="122">
        <v>0</v>
      </c>
      <c r="J2597" s="124">
        <f t="shared" si="40"/>
        <v>0</v>
      </c>
    </row>
    <row r="2598" spans="1:10" ht="15" customHeight="1" x14ac:dyDescent="0.2">
      <c r="A2598" s="120" t="s">
        <v>7457</v>
      </c>
      <c r="B2598" s="120" t="s">
        <v>7456</v>
      </c>
      <c r="C2598" s="98" t="s">
        <v>3533</v>
      </c>
      <c r="D2598" s="120" t="s">
        <v>3534</v>
      </c>
      <c r="E2598" s="98">
        <v>0</v>
      </c>
      <c r="F2598" s="120">
        <v>0</v>
      </c>
      <c r="G2598" s="121">
        <v>271</v>
      </c>
      <c r="H2598" s="123">
        <v>0</v>
      </c>
      <c r="I2598" s="122">
        <v>0</v>
      </c>
      <c r="J2598" s="124">
        <f t="shared" si="40"/>
        <v>0</v>
      </c>
    </row>
    <row r="2599" spans="1:10" ht="15" customHeight="1" x14ac:dyDescent="0.2">
      <c r="A2599" s="120" t="s">
        <v>7458</v>
      </c>
      <c r="B2599" s="120" t="s">
        <v>3532</v>
      </c>
      <c r="C2599" s="98" t="s">
        <v>3533</v>
      </c>
      <c r="D2599" s="120" t="s">
        <v>3534</v>
      </c>
      <c r="E2599" s="98">
        <v>0</v>
      </c>
      <c r="F2599" s="120">
        <v>0</v>
      </c>
      <c r="G2599" s="121">
        <v>0</v>
      </c>
      <c r="H2599" s="123">
        <v>0</v>
      </c>
      <c r="I2599" s="122">
        <v>0</v>
      </c>
      <c r="J2599" s="124">
        <f t="shared" si="40"/>
        <v>0</v>
      </c>
    </row>
    <row r="2600" spans="1:10" ht="15" customHeight="1" x14ac:dyDescent="0.2">
      <c r="A2600" s="120" t="s">
        <v>7459</v>
      </c>
      <c r="B2600" s="120" t="s">
        <v>7456</v>
      </c>
      <c r="C2600" s="98" t="s">
        <v>3533</v>
      </c>
      <c r="D2600" s="120" t="s">
        <v>3534</v>
      </c>
      <c r="E2600" s="98">
        <v>0</v>
      </c>
      <c r="F2600" s="120">
        <v>0</v>
      </c>
      <c r="G2600" s="121">
        <v>0</v>
      </c>
      <c r="H2600" s="123">
        <v>0</v>
      </c>
      <c r="I2600" s="122">
        <v>0</v>
      </c>
      <c r="J2600" s="124">
        <f t="shared" si="40"/>
        <v>0</v>
      </c>
    </row>
    <row r="2601" spans="1:10" ht="15" customHeight="1" x14ac:dyDescent="0.2">
      <c r="A2601" s="120" t="s">
        <v>7460</v>
      </c>
      <c r="B2601" s="120" t="s">
        <v>7456</v>
      </c>
      <c r="C2601" s="98" t="s">
        <v>3533</v>
      </c>
      <c r="D2601" s="120" t="s">
        <v>3534</v>
      </c>
      <c r="E2601" s="98">
        <v>0</v>
      </c>
      <c r="F2601" s="120">
        <v>0</v>
      </c>
      <c r="G2601" s="121">
        <v>0</v>
      </c>
      <c r="H2601" s="123">
        <v>0</v>
      </c>
      <c r="I2601" s="122">
        <v>0</v>
      </c>
      <c r="J2601" s="124">
        <f t="shared" si="40"/>
        <v>0</v>
      </c>
    </row>
    <row r="2602" spans="1:10" ht="15" customHeight="1" x14ac:dyDescent="0.2">
      <c r="A2602" s="120" t="s">
        <v>7461</v>
      </c>
      <c r="B2602" s="120" t="s">
        <v>7456</v>
      </c>
      <c r="C2602" s="98" t="s">
        <v>3533</v>
      </c>
      <c r="D2602" s="120" t="s">
        <v>3534</v>
      </c>
      <c r="E2602" s="98">
        <v>0</v>
      </c>
      <c r="F2602" s="120">
        <v>0</v>
      </c>
      <c r="G2602" s="121">
        <v>0</v>
      </c>
      <c r="H2602" s="123">
        <v>0</v>
      </c>
      <c r="I2602" s="122">
        <v>0</v>
      </c>
      <c r="J2602" s="124">
        <f t="shared" si="40"/>
        <v>0</v>
      </c>
    </row>
    <row r="2603" spans="1:10" ht="15" customHeight="1" x14ac:dyDescent="0.2">
      <c r="A2603" s="120" t="s">
        <v>7462</v>
      </c>
      <c r="B2603" s="120" t="s">
        <v>3532</v>
      </c>
      <c r="C2603" s="98" t="s">
        <v>3533</v>
      </c>
      <c r="D2603" s="120" t="s">
        <v>3534</v>
      </c>
      <c r="E2603" s="98">
        <v>0</v>
      </c>
      <c r="F2603" s="120">
        <v>0</v>
      </c>
      <c r="G2603" s="121">
        <v>959</v>
      </c>
      <c r="H2603" s="123">
        <v>0</v>
      </c>
      <c r="I2603" s="122">
        <v>0</v>
      </c>
      <c r="J2603" s="124">
        <f t="shared" si="40"/>
        <v>0</v>
      </c>
    </row>
    <row r="2604" spans="1:10" ht="15" customHeight="1" x14ac:dyDescent="0.2">
      <c r="A2604" s="120" t="s">
        <v>7463</v>
      </c>
      <c r="B2604" s="120" t="s">
        <v>3532</v>
      </c>
      <c r="C2604" s="98" t="s">
        <v>3533</v>
      </c>
      <c r="D2604" s="120" t="s">
        <v>3534</v>
      </c>
      <c r="E2604" s="98">
        <v>0</v>
      </c>
      <c r="F2604" s="120">
        <v>0</v>
      </c>
      <c r="G2604" s="121">
        <v>548</v>
      </c>
      <c r="H2604" s="123">
        <v>0</v>
      </c>
      <c r="I2604" s="122">
        <v>0</v>
      </c>
      <c r="J2604" s="124">
        <f t="shared" si="40"/>
        <v>0</v>
      </c>
    </row>
    <row r="2605" spans="1:10" ht="15" customHeight="1" x14ac:dyDescent="0.2">
      <c r="A2605" s="120" t="s">
        <v>7464</v>
      </c>
      <c r="B2605" s="120" t="s">
        <v>7465</v>
      </c>
      <c r="C2605" s="98" t="s">
        <v>3533</v>
      </c>
      <c r="D2605" s="120" t="s">
        <v>3534</v>
      </c>
      <c r="E2605" s="98">
        <v>0</v>
      </c>
      <c r="F2605" s="120">
        <v>0</v>
      </c>
      <c r="G2605" s="121">
        <v>674</v>
      </c>
      <c r="H2605" s="123">
        <v>0</v>
      </c>
      <c r="I2605" s="122">
        <v>0</v>
      </c>
      <c r="J2605" s="124">
        <f t="shared" si="40"/>
        <v>0</v>
      </c>
    </row>
    <row r="2606" spans="1:10" ht="15" customHeight="1" x14ac:dyDescent="0.2">
      <c r="A2606" s="120" t="s">
        <v>7466</v>
      </c>
      <c r="B2606" s="120" t="s">
        <v>3532</v>
      </c>
      <c r="C2606" s="98" t="s">
        <v>3533</v>
      </c>
      <c r="D2606" s="120" t="s">
        <v>3534</v>
      </c>
      <c r="E2606" s="98">
        <v>0</v>
      </c>
      <c r="F2606" s="120">
        <v>0</v>
      </c>
      <c r="G2606" s="121">
        <v>0</v>
      </c>
      <c r="H2606" s="123">
        <v>0</v>
      </c>
      <c r="I2606" s="122">
        <v>0</v>
      </c>
      <c r="J2606" s="124">
        <f t="shared" si="40"/>
        <v>0</v>
      </c>
    </row>
    <row r="2607" spans="1:10" ht="15" customHeight="1" x14ac:dyDescent="0.2">
      <c r="A2607" s="120" t="s">
        <v>7467</v>
      </c>
      <c r="B2607" s="120" t="s">
        <v>3532</v>
      </c>
      <c r="C2607" s="98" t="s">
        <v>3533</v>
      </c>
      <c r="D2607" s="120" t="s">
        <v>3534</v>
      </c>
      <c r="E2607" s="98">
        <v>0</v>
      </c>
      <c r="F2607" s="120">
        <v>0</v>
      </c>
      <c r="G2607" s="121">
        <v>0</v>
      </c>
      <c r="H2607" s="123">
        <v>0</v>
      </c>
      <c r="I2607" s="122">
        <v>0</v>
      </c>
      <c r="J2607" s="124">
        <f t="shared" si="40"/>
        <v>0</v>
      </c>
    </row>
    <row r="2608" spans="1:10" ht="15" customHeight="1" x14ac:dyDescent="0.2">
      <c r="A2608" s="120" t="s">
        <v>7468</v>
      </c>
      <c r="B2608" s="120" t="s">
        <v>3532</v>
      </c>
      <c r="C2608" s="98" t="s">
        <v>3533</v>
      </c>
      <c r="D2608" s="120" t="s">
        <v>3534</v>
      </c>
      <c r="E2608" s="98">
        <v>0</v>
      </c>
      <c r="F2608" s="120">
        <v>0</v>
      </c>
      <c r="G2608" s="121">
        <v>0</v>
      </c>
      <c r="H2608" s="123">
        <v>0</v>
      </c>
      <c r="I2608" s="122">
        <v>0</v>
      </c>
      <c r="J2608" s="124">
        <f t="shared" si="40"/>
        <v>0</v>
      </c>
    </row>
    <row r="2609" spans="1:10" ht="15" customHeight="1" x14ac:dyDescent="0.2">
      <c r="A2609" s="120" t="s">
        <v>7469</v>
      </c>
      <c r="B2609" s="120" t="s">
        <v>3532</v>
      </c>
      <c r="C2609" s="98" t="s">
        <v>3533</v>
      </c>
      <c r="D2609" s="120" t="s">
        <v>3534</v>
      </c>
      <c r="E2609" s="98">
        <v>0</v>
      </c>
      <c r="F2609" s="120">
        <v>0</v>
      </c>
      <c r="G2609" s="121">
        <v>0</v>
      </c>
      <c r="H2609" s="123">
        <v>0</v>
      </c>
      <c r="I2609" s="122">
        <v>0</v>
      </c>
      <c r="J2609" s="124">
        <f t="shared" si="40"/>
        <v>0</v>
      </c>
    </row>
    <row r="2610" spans="1:10" ht="15" customHeight="1" x14ac:dyDescent="0.2">
      <c r="A2610" s="120" t="s">
        <v>7470</v>
      </c>
      <c r="B2610" s="120" t="s">
        <v>3532</v>
      </c>
      <c r="C2610" s="98" t="s">
        <v>3533</v>
      </c>
      <c r="D2610" s="120" t="s">
        <v>3534</v>
      </c>
      <c r="E2610" s="98">
        <v>0</v>
      </c>
      <c r="F2610" s="120">
        <v>0</v>
      </c>
      <c r="G2610" s="121">
        <v>0</v>
      </c>
      <c r="H2610" s="123">
        <v>0</v>
      </c>
      <c r="I2610" s="122">
        <v>0</v>
      </c>
      <c r="J2610" s="124">
        <f t="shared" si="40"/>
        <v>0</v>
      </c>
    </row>
    <row r="2611" spans="1:10" ht="15" customHeight="1" x14ac:dyDescent="0.2">
      <c r="A2611" s="120" t="s">
        <v>7471</v>
      </c>
      <c r="B2611" s="120" t="s">
        <v>3532</v>
      </c>
      <c r="C2611" s="98" t="s">
        <v>3533</v>
      </c>
      <c r="D2611" s="120" t="s">
        <v>3534</v>
      </c>
      <c r="E2611" s="98">
        <v>0</v>
      </c>
      <c r="F2611" s="120">
        <v>0</v>
      </c>
      <c r="G2611" s="121">
        <v>0</v>
      </c>
      <c r="H2611" s="123">
        <v>0</v>
      </c>
      <c r="I2611" s="122">
        <v>0</v>
      </c>
      <c r="J2611" s="124">
        <f t="shared" si="40"/>
        <v>0</v>
      </c>
    </row>
    <row r="2612" spans="1:10" ht="15" customHeight="1" x14ac:dyDescent="0.2">
      <c r="A2612" s="120" t="s">
        <v>7472</v>
      </c>
      <c r="B2612" s="120" t="s">
        <v>3532</v>
      </c>
      <c r="C2612" s="98" t="s">
        <v>3533</v>
      </c>
      <c r="D2612" s="120" t="s">
        <v>3534</v>
      </c>
      <c r="E2612" s="98">
        <v>0</v>
      </c>
      <c r="F2612" s="120">
        <v>0</v>
      </c>
      <c r="G2612" s="121">
        <v>0</v>
      </c>
      <c r="H2612" s="123">
        <v>0</v>
      </c>
      <c r="I2612" s="122">
        <v>0</v>
      </c>
      <c r="J2612" s="124">
        <f t="shared" si="40"/>
        <v>0</v>
      </c>
    </row>
    <row r="2613" spans="1:10" ht="15" customHeight="1" x14ac:dyDescent="0.2">
      <c r="A2613" s="120" t="s">
        <v>7473</v>
      </c>
      <c r="B2613" s="120" t="s">
        <v>3532</v>
      </c>
      <c r="C2613" s="98" t="s">
        <v>3533</v>
      </c>
      <c r="D2613" s="120" t="s">
        <v>3534</v>
      </c>
      <c r="E2613" s="98">
        <v>0</v>
      </c>
      <c r="F2613" s="120">
        <v>0</v>
      </c>
      <c r="G2613" s="121">
        <v>0</v>
      </c>
      <c r="H2613" s="123">
        <v>0</v>
      </c>
      <c r="I2613" s="122">
        <v>0</v>
      </c>
      <c r="J2613" s="124">
        <f t="shared" si="40"/>
        <v>0</v>
      </c>
    </row>
    <row r="2614" spans="1:10" ht="15" customHeight="1" x14ac:dyDescent="0.2">
      <c r="A2614" s="120" t="s">
        <v>7474</v>
      </c>
      <c r="B2614" s="120" t="s">
        <v>3532</v>
      </c>
      <c r="C2614" s="98" t="s">
        <v>3533</v>
      </c>
      <c r="D2614" s="120" t="s">
        <v>3534</v>
      </c>
      <c r="E2614" s="98">
        <v>0</v>
      </c>
      <c r="F2614" s="120">
        <v>0</v>
      </c>
      <c r="G2614" s="121">
        <v>0</v>
      </c>
      <c r="H2614" s="123">
        <v>0</v>
      </c>
      <c r="I2614" s="122">
        <v>0</v>
      </c>
      <c r="J2614" s="124">
        <f t="shared" si="40"/>
        <v>0</v>
      </c>
    </row>
    <row r="2615" spans="1:10" ht="15" customHeight="1" x14ac:dyDescent="0.2">
      <c r="A2615" s="120" t="s">
        <v>7475</v>
      </c>
      <c r="B2615" s="120" t="s">
        <v>3532</v>
      </c>
      <c r="C2615" s="98" t="s">
        <v>3533</v>
      </c>
      <c r="D2615" s="120" t="s">
        <v>3534</v>
      </c>
      <c r="E2615" s="98">
        <v>0</v>
      </c>
      <c r="F2615" s="120">
        <v>0</v>
      </c>
      <c r="G2615" s="121">
        <v>0</v>
      </c>
      <c r="H2615" s="123">
        <v>0</v>
      </c>
      <c r="I2615" s="122">
        <v>0</v>
      </c>
      <c r="J2615" s="124">
        <f t="shared" si="40"/>
        <v>0</v>
      </c>
    </row>
    <row r="2616" spans="1:10" ht="15" customHeight="1" x14ac:dyDescent="0.2">
      <c r="A2616" s="120" t="s">
        <v>7476</v>
      </c>
      <c r="B2616" s="120" t="s">
        <v>3532</v>
      </c>
      <c r="C2616" s="98" t="s">
        <v>3533</v>
      </c>
      <c r="D2616" s="120" t="s">
        <v>3534</v>
      </c>
      <c r="E2616" s="98">
        <v>0</v>
      </c>
      <c r="F2616" s="120">
        <v>0</v>
      </c>
      <c r="G2616" s="121">
        <v>0</v>
      </c>
      <c r="H2616" s="123">
        <v>0</v>
      </c>
      <c r="I2616" s="122">
        <v>0</v>
      </c>
      <c r="J2616" s="124">
        <f t="shared" si="40"/>
        <v>0</v>
      </c>
    </row>
    <row r="2617" spans="1:10" ht="15" customHeight="1" x14ac:dyDescent="0.2">
      <c r="A2617" s="120" t="s">
        <v>7477</v>
      </c>
      <c r="B2617" s="120" t="s">
        <v>3532</v>
      </c>
      <c r="C2617" s="98" t="s">
        <v>3533</v>
      </c>
      <c r="D2617" s="120" t="s">
        <v>3534</v>
      </c>
      <c r="E2617" s="98">
        <v>0</v>
      </c>
      <c r="F2617" s="120">
        <v>0</v>
      </c>
      <c r="G2617" s="121">
        <v>0</v>
      </c>
      <c r="H2617" s="123">
        <v>0</v>
      </c>
      <c r="I2617" s="122">
        <v>0</v>
      </c>
      <c r="J2617" s="124">
        <f t="shared" si="40"/>
        <v>0</v>
      </c>
    </row>
    <row r="2618" spans="1:10" ht="15" customHeight="1" x14ac:dyDescent="0.2">
      <c r="A2618" s="120" t="s">
        <v>7478</v>
      </c>
      <c r="B2618" s="120" t="s">
        <v>3532</v>
      </c>
      <c r="C2618" s="98" t="s">
        <v>3533</v>
      </c>
      <c r="D2618" s="120" t="s">
        <v>3534</v>
      </c>
      <c r="E2618" s="98">
        <v>0</v>
      </c>
      <c r="F2618" s="120">
        <v>0</v>
      </c>
      <c r="G2618" s="121">
        <v>0</v>
      </c>
      <c r="H2618" s="123">
        <v>0</v>
      </c>
      <c r="I2618" s="122">
        <v>0</v>
      </c>
      <c r="J2618" s="124">
        <f t="shared" si="40"/>
        <v>0</v>
      </c>
    </row>
    <row r="2619" spans="1:10" ht="15" customHeight="1" x14ac:dyDescent="0.2">
      <c r="A2619" s="120" t="s">
        <v>7479</v>
      </c>
      <c r="B2619" s="120" t="s">
        <v>3532</v>
      </c>
      <c r="C2619" s="98" t="s">
        <v>3533</v>
      </c>
      <c r="D2619" s="120" t="s">
        <v>3534</v>
      </c>
      <c r="E2619" s="98">
        <v>0</v>
      </c>
      <c r="F2619" s="120">
        <v>0</v>
      </c>
      <c r="G2619" s="121">
        <v>0</v>
      </c>
      <c r="H2619" s="123">
        <v>0</v>
      </c>
      <c r="I2619" s="122">
        <v>0</v>
      </c>
      <c r="J2619" s="124">
        <f t="shared" si="40"/>
        <v>0</v>
      </c>
    </row>
    <row r="2620" spans="1:10" ht="15" customHeight="1" x14ac:dyDescent="0.2">
      <c r="A2620" s="120" t="s">
        <v>7480</v>
      </c>
      <c r="B2620" s="120" t="s">
        <v>3532</v>
      </c>
      <c r="C2620" s="98" t="s">
        <v>3533</v>
      </c>
      <c r="D2620" s="120" t="s">
        <v>3534</v>
      </c>
      <c r="E2620" s="98">
        <v>0</v>
      </c>
      <c r="F2620" s="120">
        <v>0</v>
      </c>
      <c r="G2620" s="121">
        <v>230</v>
      </c>
      <c r="H2620" s="123">
        <v>0</v>
      </c>
      <c r="I2620" s="122">
        <v>0</v>
      </c>
      <c r="J2620" s="124">
        <f t="shared" si="40"/>
        <v>0</v>
      </c>
    </row>
    <row r="2621" spans="1:10" ht="15" customHeight="1" x14ac:dyDescent="0.2">
      <c r="A2621" s="120" t="s">
        <v>7481</v>
      </c>
      <c r="B2621" s="120" t="s">
        <v>7377</v>
      </c>
      <c r="C2621" s="98" t="s">
        <v>3533</v>
      </c>
      <c r="D2621" s="120" t="s">
        <v>3534</v>
      </c>
      <c r="E2621" s="98">
        <v>0.35582822085889598</v>
      </c>
      <c r="F2621" s="120">
        <v>0</v>
      </c>
      <c r="G2621" s="121">
        <v>0</v>
      </c>
      <c r="H2621" s="123">
        <v>0.35582799999999998</v>
      </c>
      <c r="I2621" s="122">
        <v>0</v>
      </c>
      <c r="J2621" s="124">
        <f t="shared" si="40"/>
        <v>0.35582822085889598</v>
      </c>
    </row>
    <row r="2622" spans="1:10" ht="15" customHeight="1" x14ac:dyDescent="0.2">
      <c r="A2622" s="120" t="s">
        <v>7482</v>
      </c>
      <c r="B2622" s="120" t="s">
        <v>3532</v>
      </c>
      <c r="C2622" s="98" t="s">
        <v>3533</v>
      </c>
      <c r="D2622" s="120" t="s">
        <v>3534</v>
      </c>
      <c r="E2622" s="98">
        <v>0</v>
      </c>
      <c r="F2622" s="120">
        <v>0</v>
      </c>
      <c r="G2622" s="121">
        <v>0</v>
      </c>
      <c r="H2622" s="123">
        <v>0</v>
      </c>
      <c r="I2622" s="122">
        <v>0</v>
      </c>
      <c r="J2622" s="124">
        <f t="shared" si="40"/>
        <v>0</v>
      </c>
    </row>
    <row r="2623" spans="1:10" ht="15" customHeight="1" x14ac:dyDescent="0.2">
      <c r="A2623" s="120" t="s">
        <v>7483</v>
      </c>
      <c r="B2623" s="120" t="s">
        <v>4584</v>
      </c>
      <c r="C2623" s="98" t="s">
        <v>3533</v>
      </c>
      <c r="D2623" s="120" t="s">
        <v>3534</v>
      </c>
      <c r="E2623" s="98">
        <v>0</v>
      </c>
      <c r="F2623" s="120">
        <v>0</v>
      </c>
      <c r="G2623" s="121">
        <v>290</v>
      </c>
      <c r="H2623" s="123">
        <v>0</v>
      </c>
      <c r="I2623" s="122">
        <v>0</v>
      </c>
      <c r="J2623" s="124">
        <f t="shared" si="40"/>
        <v>0</v>
      </c>
    </row>
    <row r="2624" spans="1:10" ht="15" customHeight="1" x14ac:dyDescent="0.2">
      <c r="A2624" s="120" t="s">
        <v>7484</v>
      </c>
      <c r="B2624" s="120" t="s">
        <v>3532</v>
      </c>
      <c r="C2624" s="98" t="s">
        <v>3533</v>
      </c>
      <c r="D2624" s="120" t="s">
        <v>3534</v>
      </c>
      <c r="E2624" s="98">
        <v>0</v>
      </c>
      <c r="F2624" s="120">
        <v>0</v>
      </c>
      <c r="G2624" s="121">
        <v>1</v>
      </c>
      <c r="H2624" s="123">
        <v>0</v>
      </c>
      <c r="I2624" s="122">
        <v>0</v>
      </c>
      <c r="J2624" s="124">
        <f t="shared" si="40"/>
        <v>0</v>
      </c>
    </row>
    <row r="2625" spans="1:11" ht="15" customHeight="1" x14ac:dyDescent="0.2">
      <c r="A2625" s="120" t="s">
        <v>7485</v>
      </c>
      <c r="B2625" s="120" t="s">
        <v>4621</v>
      </c>
      <c r="C2625" s="98" t="s">
        <v>3533</v>
      </c>
      <c r="D2625" s="120" t="s">
        <v>3534</v>
      </c>
      <c r="E2625" s="98">
        <v>0.35520000000000002</v>
      </c>
      <c r="F2625" s="120">
        <v>0</v>
      </c>
      <c r="G2625" s="121">
        <v>11</v>
      </c>
      <c r="H2625" s="123">
        <v>0.35520000000000002</v>
      </c>
      <c r="I2625" s="122">
        <v>3.9072</v>
      </c>
      <c r="J2625" s="124">
        <f t="shared" si="40"/>
        <v>0.35520000000000002</v>
      </c>
      <c r="K2625" s="98" t="s">
        <v>7486</v>
      </c>
    </row>
    <row r="2626" spans="1:11" ht="15" customHeight="1" x14ac:dyDescent="0.2">
      <c r="A2626" s="120" t="s">
        <v>7487</v>
      </c>
      <c r="B2626" s="120" t="s">
        <v>3532</v>
      </c>
      <c r="C2626" s="98" t="s">
        <v>3533</v>
      </c>
      <c r="D2626" s="120" t="s">
        <v>3534</v>
      </c>
      <c r="E2626" s="98">
        <v>0.24068000000000001</v>
      </c>
      <c r="F2626" s="120">
        <v>0</v>
      </c>
      <c r="G2626" s="121">
        <v>5610</v>
      </c>
      <c r="H2626" s="123">
        <v>0.24068000000000001</v>
      </c>
      <c r="I2626" s="122">
        <v>1350.2148</v>
      </c>
      <c r="J2626" s="124">
        <f t="shared" ref="J2626:J2689" si="41">IF(D2626="gm", E2626*1000,+E2626)</f>
        <v>0.24068000000000001</v>
      </c>
    </row>
    <row r="2627" spans="1:11" ht="15" customHeight="1" x14ac:dyDescent="0.2">
      <c r="A2627" s="120" t="s">
        <v>7488</v>
      </c>
      <c r="B2627" s="120" t="s">
        <v>3532</v>
      </c>
      <c r="C2627" s="98" t="s">
        <v>3533</v>
      </c>
      <c r="D2627" s="120" t="s">
        <v>3534</v>
      </c>
      <c r="E2627" s="98">
        <v>0.24068000000000001</v>
      </c>
      <c r="F2627" s="120">
        <v>0</v>
      </c>
      <c r="G2627" s="121">
        <v>10800</v>
      </c>
      <c r="H2627" s="123">
        <v>0.24068000000000001</v>
      </c>
      <c r="I2627" s="122">
        <v>2599.3440000000001</v>
      </c>
      <c r="J2627" s="124">
        <f t="shared" si="41"/>
        <v>0.24068000000000001</v>
      </c>
    </row>
    <row r="2628" spans="1:11" ht="15" customHeight="1" x14ac:dyDescent="0.2">
      <c r="A2628" s="120" t="s">
        <v>7489</v>
      </c>
      <c r="B2628" s="120" t="s">
        <v>4621</v>
      </c>
      <c r="C2628" s="98" t="s">
        <v>3533</v>
      </c>
      <c r="D2628" s="120" t="s">
        <v>3534</v>
      </c>
      <c r="E2628" s="98">
        <v>0.24068000000000001</v>
      </c>
      <c r="F2628" s="120">
        <v>0</v>
      </c>
      <c r="G2628" s="121">
        <v>24949</v>
      </c>
      <c r="H2628" s="123">
        <v>0.24068000000000001</v>
      </c>
      <c r="I2628" s="122">
        <v>6004.7253200000005</v>
      </c>
      <c r="J2628" s="124">
        <f t="shared" si="41"/>
        <v>0.24068000000000001</v>
      </c>
    </row>
    <row r="2629" spans="1:11" ht="15" customHeight="1" x14ac:dyDescent="0.2">
      <c r="A2629" s="120" t="s">
        <v>4667</v>
      </c>
      <c r="B2629" s="120" t="s">
        <v>3532</v>
      </c>
      <c r="C2629" s="98" t="s">
        <v>3533</v>
      </c>
      <c r="D2629" s="120" t="s">
        <v>3534</v>
      </c>
      <c r="E2629" s="98">
        <v>0.55263157894736803</v>
      </c>
      <c r="F2629" s="120">
        <v>0</v>
      </c>
      <c r="G2629" s="121">
        <v>433</v>
      </c>
      <c r="H2629" s="123">
        <v>0.55263200000000001</v>
      </c>
      <c r="I2629" s="122">
        <v>239.28965600000001</v>
      </c>
      <c r="J2629" s="124">
        <f t="shared" si="41"/>
        <v>0.55263157894736803</v>
      </c>
    </row>
    <row r="2630" spans="1:11" ht="15" customHeight="1" x14ac:dyDescent="0.2">
      <c r="A2630" s="120" t="s">
        <v>7490</v>
      </c>
      <c r="B2630" s="120" t="s">
        <v>7491</v>
      </c>
      <c r="C2630" s="98" t="s">
        <v>3533</v>
      </c>
      <c r="D2630" s="120" t="s">
        <v>3534</v>
      </c>
      <c r="E2630" s="98">
        <v>0</v>
      </c>
      <c r="F2630" s="120">
        <v>0</v>
      </c>
      <c r="G2630" s="121">
        <v>572</v>
      </c>
      <c r="H2630" s="123">
        <v>0</v>
      </c>
      <c r="I2630" s="122">
        <v>0</v>
      </c>
      <c r="J2630" s="124">
        <f t="shared" si="41"/>
        <v>0</v>
      </c>
    </row>
    <row r="2631" spans="1:11" ht="15" customHeight="1" x14ac:dyDescent="0.2">
      <c r="A2631" s="120" t="s">
        <v>7492</v>
      </c>
      <c r="B2631" s="120" t="s">
        <v>7491</v>
      </c>
      <c r="C2631" s="98" t="s">
        <v>3532</v>
      </c>
      <c r="D2631" s="120" t="s">
        <v>3534</v>
      </c>
      <c r="E2631" s="98">
        <v>0</v>
      </c>
      <c r="F2631" s="120">
        <v>0</v>
      </c>
      <c r="G2631" s="121">
        <v>5330</v>
      </c>
      <c r="H2631" s="123">
        <v>0</v>
      </c>
      <c r="I2631" s="122">
        <v>0</v>
      </c>
      <c r="J2631" s="124">
        <f t="shared" si="41"/>
        <v>0</v>
      </c>
    </row>
    <row r="2632" spans="1:11" ht="15" customHeight="1" x14ac:dyDescent="0.2">
      <c r="A2632" s="120" t="s">
        <v>7493</v>
      </c>
      <c r="B2632" s="120" t="s">
        <v>3900</v>
      </c>
      <c r="C2632" s="98" t="s">
        <v>3901</v>
      </c>
      <c r="D2632" s="120" t="s">
        <v>3534</v>
      </c>
      <c r="E2632" s="98">
        <v>0.30969999999999998</v>
      </c>
      <c r="F2632" s="120">
        <v>0</v>
      </c>
      <c r="G2632" s="121">
        <v>0</v>
      </c>
      <c r="H2632" s="123">
        <v>0.30969999999999998</v>
      </c>
      <c r="I2632" s="122">
        <v>0</v>
      </c>
      <c r="J2632" s="124">
        <f t="shared" si="41"/>
        <v>0.30969999999999998</v>
      </c>
    </row>
    <row r="2633" spans="1:11" ht="15" customHeight="1" x14ac:dyDescent="0.2">
      <c r="A2633" s="120" t="s">
        <v>7494</v>
      </c>
      <c r="B2633" s="120" t="s">
        <v>3900</v>
      </c>
      <c r="C2633" s="98" t="s">
        <v>3533</v>
      </c>
      <c r="D2633" s="120" t="s">
        <v>3534</v>
      </c>
      <c r="E2633" s="98">
        <v>0.54874999999999996</v>
      </c>
      <c r="F2633" s="120">
        <v>0</v>
      </c>
      <c r="G2633" s="121">
        <v>7128</v>
      </c>
      <c r="H2633" s="123">
        <v>0.54874999999999996</v>
      </c>
      <c r="I2633" s="122">
        <v>3911.49</v>
      </c>
      <c r="J2633" s="124">
        <f t="shared" si="41"/>
        <v>0.54874999999999996</v>
      </c>
      <c r="K2633" s="98" t="s">
        <v>7495</v>
      </c>
    </row>
    <row r="2634" spans="1:11" ht="15" customHeight="1" x14ac:dyDescent="0.2">
      <c r="A2634" s="120" t="s">
        <v>7496</v>
      </c>
      <c r="B2634" s="120" t="s">
        <v>3532</v>
      </c>
      <c r="C2634" s="98" t="s">
        <v>3532</v>
      </c>
      <c r="D2634" s="120" t="s">
        <v>3534</v>
      </c>
      <c r="E2634" s="98">
        <v>0.46</v>
      </c>
      <c r="F2634" s="120">
        <v>0</v>
      </c>
      <c r="G2634" s="121">
        <v>2175</v>
      </c>
      <c r="H2634" s="123">
        <v>0.46</v>
      </c>
      <c r="I2634" s="122">
        <v>1000.5</v>
      </c>
      <c r="J2634" s="124">
        <f t="shared" si="41"/>
        <v>0.46</v>
      </c>
    </row>
    <row r="2635" spans="1:11" ht="15" customHeight="1" x14ac:dyDescent="0.2">
      <c r="A2635" s="120" t="s">
        <v>7497</v>
      </c>
      <c r="B2635" s="120" t="s">
        <v>3998</v>
      </c>
      <c r="C2635" s="98" t="s">
        <v>3533</v>
      </c>
      <c r="D2635" s="120" t="s">
        <v>3534</v>
      </c>
      <c r="E2635" s="98">
        <v>0</v>
      </c>
      <c r="F2635" s="120">
        <v>0</v>
      </c>
      <c r="G2635" s="121">
        <v>0</v>
      </c>
      <c r="H2635" s="123">
        <v>0</v>
      </c>
      <c r="I2635" s="122">
        <v>0</v>
      </c>
      <c r="J2635" s="124">
        <f t="shared" si="41"/>
        <v>0</v>
      </c>
    </row>
    <row r="2636" spans="1:11" ht="15" customHeight="1" x14ac:dyDescent="0.2">
      <c r="A2636" s="120" t="s">
        <v>7498</v>
      </c>
      <c r="B2636" s="120" t="s">
        <v>3532</v>
      </c>
      <c r="C2636" s="98" t="s">
        <v>3533</v>
      </c>
      <c r="D2636" s="120" t="s">
        <v>3534</v>
      </c>
      <c r="E2636" s="98">
        <v>0.32245699999999999</v>
      </c>
      <c r="F2636" s="120">
        <v>0</v>
      </c>
      <c r="G2636" s="121">
        <v>0</v>
      </c>
      <c r="H2636" s="123">
        <v>0.32245699999999999</v>
      </c>
      <c r="I2636" s="122">
        <v>0</v>
      </c>
      <c r="J2636" s="124">
        <f t="shared" si="41"/>
        <v>0.32245699999999999</v>
      </c>
    </row>
    <row r="2637" spans="1:11" ht="15" customHeight="1" x14ac:dyDescent="0.2">
      <c r="A2637" s="120" t="s">
        <v>7499</v>
      </c>
      <c r="B2637" s="120" t="s">
        <v>3532</v>
      </c>
      <c r="C2637" s="98" t="s">
        <v>3533</v>
      </c>
      <c r="D2637" s="120" t="s">
        <v>3534</v>
      </c>
      <c r="E2637" s="98">
        <v>0.46</v>
      </c>
      <c r="F2637" s="120">
        <v>0</v>
      </c>
      <c r="G2637" s="121">
        <v>0</v>
      </c>
      <c r="H2637" s="123">
        <v>0.46</v>
      </c>
      <c r="I2637" s="122">
        <v>0</v>
      </c>
      <c r="J2637" s="124">
        <f t="shared" si="41"/>
        <v>0.46</v>
      </c>
    </row>
    <row r="2638" spans="1:11" ht="15" customHeight="1" x14ac:dyDescent="0.2">
      <c r="A2638" s="120" t="s">
        <v>7500</v>
      </c>
      <c r="B2638" s="120" t="s">
        <v>3532</v>
      </c>
      <c r="C2638" s="98" t="s">
        <v>3532</v>
      </c>
      <c r="D2638" s="120" t="s">
        <v>3534</v>
      </c>
      <c r="E2638" s="98">
        <v>0.625</v>
      </c>
      <c r="F2638" s="120">
        <v>0</v>
      </c>
      <c r="G2638" s="121">
        <v>190</v>
      </c>
      <c r="H2638" s="123">
        <v>0.625</v>
      </c>
      <c r="I2638" s="122">
        <v>118.75</v>
      </c>
      <c r="J2638" s="124">
        <f t="shared" si="41"/>
        <v>0.625</v>
      </c>
    </row>
    <row r="2639" spans="1:11" ht="15" customHeight="1" x14ac:dyDescent="0.2">
      <c r="A2639" s="120" t="s">
        <v>7501</v>
      </c>
      <c r="B2639" s="120" t="s">
        <v>3532</v>
      </c>
      <c r="C2639" s="98" t="s">
        <v>3533</v>
      </c>
      <c r="D2639" s="120" t="s">
        <v>3534</v>
      </c>
      <c r="E2639" s="98">
        <v>0.38017000000000001</v>
      </c>
      <c r="F2639" s="120">
        <v>0</v>
      </c>
      <c r="G2639" s="121">
        <v>0</v>
      </c>
      <c r="H2639" s="123">
        <v>0.38017000000000001</v>
      </c>
      <c r="I2639" s="122">
        <v>0</v>
      </c>
      <c r="J2639" s="124">
        <f t="shared" si="41"/>
        <v>0.38017000000000001</v>
      </c>
    </row>
    <row r="2640" spans="1:11" ht="15" customHeight="1" x14ac:dyDescent="0.2">
      <c r="A2640" s="120" t="s">
        <v>7502</v>
      </c>
      <c r="B2640" s="120" t="s">
        <v>3532</v>
      </c>
      <c r="C2640" s="98" t="s">
        <v>3533</v>
      </c>
      <c r="D2640" s="120" t="s">
        <v>3534</v>
      </c>
      <c r="E2640" s="98">
        <v>0.54658399999999996</v>
      </c>
      <c r="F2640" s="120">
        <v>0</v>
      </c>
      <c r="G2640" s="121">
        <v>1569</v>
      </c>
      <c r="H2640" s="123">
        <v>0.54658399999999996</v>
      </c>
      <c r="I2640" s="122">
        <v>857.59029599999997</v>
      </c>
      <c r="J2640" s="124">
        <f t="shared" si="41"/>
        <v>0.54658399999999996</v>
      </c>
    </row>
    <row r="2641" spans="1:11" ht="15" customHeight="1" x14ac:dyDescent="0.2">
      <c r="A2641" s="120" t="s">
        <v>7503</v>
      </c>
      <c r="B2641" s="120" t="s">
        <v>3532</v>
      </c>
      <c r="C2641" s="98" t="s">
        <v>3533</v>
      </c>
      <c r="D2641" s="120" t="s">
        <v>3534</v>
      </c>
      <c r="E2641" s="98">
        <v>0.63441860465116295</v>
      </c>
      <c r="F2641" s="120">
        <v>0</v>
      </c>
      <c r="G2641" s="121">
        <v>622</v>
      </c>
      <c r="H2641" s="123">
        <v>0.63441899999999996</v>
      </c>
      <c r="I2641" s="122">
        <v>394.60861799999998</v>
      </c>
      <c r="J2641" s="124">
        <f t="shared" si="41"/>
        <v>0.63441860465116295</v>
      </c>
    </row>
    <row r="2642" spans="1:11" ht="15" customHeight="1" x14ac:dyDescent="0.2">
      <c r="A2642" s="120" t="s">
        <v>7504</v>
      </c>
      <c r="B2642" s="120" t="s">
        <v>3998</v>
      </c>
      <c r="C2642" s="98" t="s">
        <v>3533</v>
      </c>
      <c r="D2642" s="120" t="s">
        <v>3534</v>
      </c>
      <c r="E2642" s="98">
        <v>0.121</v>
      </c>
      <c r="F2642" s="120">
        <v>0</v>
      </c>
      <c r="G2642" s="121">
        <v>18038</v>
      </c>
      <c r="H2642" s="123">
        <v>0.121</v>
      </c>
      <c r="I2642" s="122">
        <v>2182.598</v>
      </c>
      <c r="J2642" s="124">
        <f t="shared" si="41"/>
        <v>0.121</v>
      </c>
      <c r="K2642" s="98" t="s">
        <v>7505</v>
      </c>
    </row>
    <row r="2643" spans="1:11" ht="15" customHeight="1" x14ac:dyDescent="0.2">
      <c r="A2643" s="120" t="s">
        <v>7506</v>
      </c>
      <c r="B2643" s="120" t="s">
        <v>3998</v>
      </c>
      <c r="C2643" s="98" t="s">
        <v>3533</v>
      </c>
      <c r="D2643" s="120" t="s">
        <v>3534</v>
      </c>
      <c r="E2643" s="98">
        <v>0.65</v>
      </c>
      <c r="F2643" s="120">
        <v>0</v>
      </c>
      <c r="G2643" s="121">
        <v>3984</v>
      </c>
      <c r="H2643" s="123">
        <v>0.65</v>
      </c>
      <c r="I2643" s="122">
        <v>2589.6</v>
      </c>
      <c r="J2643" s="124">
        <f t="shared" si="41"/>
        <v>0.65</v>
      </c>
    </row>
    <row r="2644" spans="1:11" ht="15" customHeight="1" x14ac:dyDescent="0.2">
      <c r="A2644" s="120" t="s">
        <v>7506</v>
      </c>
      <c r="B2644" s="120" t="s">
        <v>3532</v>
      </c>
      <c r="C2644" s="98" t="s">
        <v>3532</v>
      </c>
      <c r="D2644" s="120" t="s">
        <v>3534</v>
      </c>
      <c r="E2644" s="98">
        <v>0.65</v>
      </c>
      <c r="F2644" s="120">
        <v>0</v>
      </c>
      <c r="G2644" s="121">
        <v>0</v>
      </c>
      <c r="H2644" s="123">
        <v>0.65</v>
      </c>
      <c r="I2644" s="122">
        <v>0</v>
      </c>
      <c r="J2644" s="124">
        <f t="shared" si="41"/>
        <v>0.65</v>
      </c>
    </row>
    <row r="2645" spans="1:11" ht="15" customHeight="1" x14ac:dyDescent="0.2">
      <c r="A2645" s="120" t="s">
        <v>7507</v>
      </c>
      <c r="B2645" s="120" t="s">
        <v>7491</v>
      </c>
      <c r="C2645" s="98" t="s">
        <v>3540</v>
      </c>
      <c r="D2645" s="120" t="s">
        <v>3534</v>
      </c>
      <c r="E2645" s="98">
        <v>0</v>
      </c>
      <c r="F2645" s="120">
        <v>0</v>
      </c>
      <c r="G2645" s="121">
        <v>0</v>
      </c>
      <c r="H2645" s="123">
        <v>0</v>
      </c>
      <c r="I2645" s="122">
        <v>0</v>
      </c>
      <c r="J2645" s="124">
        <f t="shared" si="41"/>
        <v>0</v>
      </c>
    </row>
    <row r="2646" spans="1:11" ht="15" customHeight="1" x14ac:dyDescent="0.2">
      <c r="A2646" s="120" t="s">
        <v>7508</v>
      </c>
      <c r="B2646" s="120" t="s">
        <v>7491</v>
      </c>
      <c r="C2646" s="98" t="s">
        <v>3540</v>
      </c>
      <c r="D2646" s="120" t="s">
        <v>3534</v>
      </c>
      <c r="E2646" s="98">
        <v>0</v>
      </c>
      <c r="F2646" s="120">
        <v>0</v>
      </c>
      <c r="G2646" s="121">
        <v>435</v>
      </c>
      <c r="H2646" s="123">
        <v>0</v>
      </c>
      <c r="I2646" s="122">
        <v>0</v>
      </c>
      <c r="J2646" s="124">
        <f t="shared" si="41"/>
        <v>0</v>
      </c>
    </row>
    <row r="2647" spans="1:11" ht="15" customHeight="1" x14ac:dyDescent="0.2">
      <c r="A2647" s="120" t="s">
        <v>7509</v>
      </c>
      <c r="B2647" s="120" t="s">
        <v>7491</v>
      </c>
      <c r="C2647" s="98" t="s">
        <v>3540</v>
      </c>
      <c r="D2647" s="120" t="s">
        <v>3534</v>
      </c>
      <c r="E2647" s="98">
        <v>0</v>
      </c>
      <c r="F2647" s="120">
        <v>0</v>
      </c>
      <c r="G2647" s="121">
        <v>0</v>
      </c>
      <c r="H2647" s="123">
        <v>0</v>
      </c>
      <c r="I2647" s="122">
        <v>0</v>
      </c>
      <c r="J2647" s="124">
        <f t="shared" si="41"/>
        <v>0</v>
      </c>
    </row>
    <row r="2648" spans="1:11" ht="15" customHeight="1" x14ac:dyDescent="0.2">
      <c r="A2648" s="120" t="s">
        <v>7510</v>
      </c>
      <c r="B2648" s="120" t="s">
        <v>7491</v>
      </c>
      <c r="C2648" s="98" t="s">
        <v>3533</v>
      </c>
      <c r="D2648" s="120" t="s">
        <v>3534</v>
      </c>
      <c r="E2648" s="98">
        <v>0</v>
      </c>
      <c r="F2648" s="120">
        <v>0</v>
      </c>
      <c r="G2648" s="121">
        <v>0</v>
      </c>
      <c r="H2648" s="123">
        <v>0</v>
      </c>
      <c r="I2648" s="122">
        <v>0</v>
      </c>
      <c r="J2648" s="124">
        <f t="shared" si="41"/>
        <v>0</v>
      </c>
    </row>
    <row r="2649" spans="1:11" ht="15" customHeight="1" x14ac:dyDescent="0.2">
      <c r="A2649" s="120" t="s">
        <v>7511</v>
      </c>
      <c r="B2649" s="120" t="s">
        <v>7491</v>
      </c>
      <c r="C2649" s="98" t="s">
        <v>3533</v>
      </c>
      <c r="D2649" s="120" t="s">
        <v>3534</v>
      </c>
      <c r="E2649" s="98">
        <v>0</v>
      </c>
      <c r="F2649" s="120">
        <v>0</v>
      </c>
      <c r="G2649" s="121">
        <v>0</v>
      </c>
      <c r="H2649" s="123">
        <v>0</v>
      </c>
      <c r="I2649" s="122">
        <v>0</v>
      </c>
      <c r="J2649" s="124">
        <f t="shared" si="41"/>
        <v>0</v>
      </c>
    </row>
    <row r="2650" spans="1:11" ht="15" customHeight="1" x14ac:dyDescent="0.2">
      <c r="A2650" s="120" t="s">
        <v>7512</v>
      </c>
      <c r="B2650" s="120" t="s">
        <v>3532</v>
      </c>
      <c r="C2650" s="98" t="s">
        <v>3532</v>
      </c>
      <c r="D2650" s="120" t="s">
        <v>3534</v>
      </c>
      <c r="E2650" s="98">
        <v>0</v>
      </c>
      <c r="F2650" s="120">
        <v>0</v>
      </c>
      <c r="G2650" s="121">
        <v>0</v>
      </c>
      <c r="H2650" s="123">
        <v>0</v>
      </c>
      <c r="I2650" s="122">
        <v>0</v>
      </c>
      <c r="J2650" s="124">
        <f t="shared" si="41"/>
        <v>0</v>
      </c>
    </row>
    <row r="2651" spans="1:11" ht="15" customHeight="1" x14ac:dyDescent="0.2">
      <c r="A2651" s="120" t="s">
        <v>7513</v>
      </c>
      <c r="B2651" s="120" t="s">
        <v>3532</v>
      </c>
      <c r="C2651" s="98" t="s">
        <v>3533</v>
      </c>
      <c r="D2651" s="120" t="s">
        <v>3534</v>
      </c>
      <c r="E2651" s="98">
        <v>0</v>
      </c>
      <c r="F2651" s="120">
        <v>0</v>
      </c>
      <c r="G2651" s="121">
        <v>0</v>
      </c>
      <c r="H2651" s="123">
        <v>0</v>
      </c>
      <c r="I2651" s="122">
        <v>0</v>
      </c>
      <c r="J2651" s="124">
        <f t="shared" si="41"/>
        <v>0</v>
      </c>
    </row>
    <row r="2652" spans="1:11" ht="15" customHeight="1" x14ac:dyDescent="0.2">
      <c r="A2652" s="120" t="s">
        <v>7514</v>
      </c>
      <c r="B2652" s="120" t="s">
        <v>7491</v>
      </c>
      <c r="C2652" s="98" t="s">
        <v>3540</v>
      </c>
      <c r="D2652" s="120" t="s">
        <v>3534</v>
      </c>
      <c r="E2652" s="98">
        <v>0</v>
      </c>
      <c r="F2652" s="120">
        <v>0</v>
      </c>
      <c r="G2652" s="121">
        <v>0</v>
      </c>
      <c r="H2652" s="123">
        <v>0</v>
      </c>
      <c r="I2652" s="122">
        <v>0</v>
      </c>
      <c r="J2652" s="124">
        <f t="shared" si="41"/>
        <v>0</v>
      </c>
    </row>
    <row r="2653" spans="1:11" ht="15" customHeight="1" x14ac:dyDescent="0.2">
      <c r="A2653" s="120" t="s">
        <v>7515</v>
      </c>
      <c r="B2653" s="120" t="s">
        <v>7491</v>
      </c>
      <c r="C2653" s="98" t="s">
        <v>3540</v>
      </c>
      <c r="D2653" s="120" t="s">
        <v>3534</v>
      </c>
      <c r="E2653" s="98">
        <v>0</v>
      </c>
      <c r="F2653" s="120">
        <v>0</v>
      </c>
      <c r="G2653" s="121">
        <v>0</v>
      </c>
      <c r="H2653" s="123">
        <v>0</v>
      </c>
      <c r="I2653" s="122">
        <v>0</v>
      </c>
      <c r="J2653" s="124">
        <f t="shared" si="41"/>
        <v>0</v>
      </c>
    </row>
    <row r="2654" spans="1:11" ht="15" customHeight="1" x14ac:dyDescent="0.2">
      <c r="A2654" s="120" t="s">
        <v>7516</v>
      </c>
      <c r="B2654" s="120" t="s">
        <v>3532</v>
      </c>
      <c r="C2654" s="98" t="s">
        <v>3532</v>
      </c>
      <c r="D2654" s="120" t="s">
        <v>3534</v>
      </c>
      <c r="E2654" s="98">
        <v>0</v>
      </c>
      <c r="F2654" s="120">
        <v>0</v>
      </c>
      <c r="G2654" s="121">
        <v>100</v>
      </c>
      <c r="H2654" s="123">
        <v>0</v>
      </c>
      <c r="I2654" s="122">
        <v>0</v>
      </c>
      <c r="J2654" s="124">
        <f t="shared" si="41"/>
        <v>0</v>
      </c>
    </row>
    <row r="2655" spans="1:11" ht="15" customHeight="1" x14ac:dyDescent="0.2">
      <c r="A2655" s="120" t="s">
        <v>7517</v>
      </c>
      <c r="B2655" s="120" t="s">
        <v>3532</v>
      </c>
      <c r="C2655" s="98" t="s">
        <v>3532</v>
      </c>
      <c r="D2655" s="120" t="s">
        <v>3534</v>
      </c>
      <c r="E2655" s="98">
        <v>0</v>
      </c>
      <c r="F2655" s="120">
        <v>0</v>
      </c>
      <c r="G2655" s="121">
        <v>0</v>
      </c>
      <c r="H2655" s="123">
        <v>0</v>
      </c>
      <c r="I2655" s="122">
        <v>0</v>
      </c>
      <c r="J2655" s="124">
        <f t="shared" si="41"/>
        <v>0</v>
      </c>
    </row>
    <row r="2656" spans="1:11" ht="15" customHeight="1" x14ac:dyDescent="0.2">
      <c r="A2656" s="120" t="s">
        <v>7518</v>
      </c>
      <c r="B2656" s="120" t="s">
        <v>4584</v>
      </c>
      <c r="C2656" s="98" t="s">
        <v>3533</v>
      </c>
      <c r="D2656" s="120" t="s">
        <v>3534</v>
      </c>
      <c r="E2656" s="98">
        <v>0</v>
      </c>
      <c r="F2656" s="120">
        <v>0</v>
      </c>
      <c r="G2656" s="121">
        <v>0</v>
      </c>
      <c r="H2656" s="123">
        <v>0</v>
      </c>
      <c r="I2656" s="122">
        <v>0</v>
      </c>
      <c r="J2656" s="124">
        <f t="shared" si="41"/>
        <v>0</v>
      </c>
    </row>
    <row r="2657" spans="1:11" ht="15" customHeight="1" x14ac:dyDescent="0.2">
      <c r="A2657" s="120" t="s">
        <v>7519</v>
      </c>
      <c r="B2657" s="120" t="s">
        <v>3532</v>
      </c>
      <c r="C2657" s="98" t="s">
        <v>3532</v>
      </c>
      <c r="D2657" s="120" t="s">
        <v>3534</v>
      </c>
      <c r="E2657" s="98">
        <v>0</v>
      </c>
      <c r="F2657" s="120">
        <v>0</v>
      </c>
      <c r="G2657" s="121">
        <v>0</v>
      </c>
      <c r="H2657" s="123">
        <v>0</v>
      </c>
      <c r="I2657" s="122">
        <v>0</v>
      </c>
      <c r="J2657" s="124">
        <f t="shared" si="41"/>
        <v>0</v>
      </c>
    </row>
    <row r="2658" spans="1:11" ht="15" customHeight="1" x14ac:dyDescent="0.2">
      <c r="A2658" s="120" t="s">
        <v>7520</v>
      </c>
      <c r="B2658" s="120" t="s">
        <v>4584</v>
      </c>
      <c r="C2658" s="98" t="s">
        <v>3533</v>
      </c>
      <c r="D2658" s="120" t="s">
        <v>3534</v>
      </c>
      <c r="E2658" s="98">
        <v>0</v>
      </c>
      <c r="F2658" s="120">
        <v>0</v>
      </c>
      <c r="G2658" s="121">
        <v>197</v>
      </c>
      <c r="H2658" s="123">
        <v>0</v>
      </c>
      <c r="I2658" s="122">
        <v>0</v>
      </c>
      <c r="J2658" s="124">
        <f t="shared" si="41"/>
        <v>0</v>
      </c>
    </row>
    <row r="2659" spans="1:11" ht="15" customHeight="1" x14ac:dyDescent="0.2">
      <c r="A2659" s="120" t="s">
        <v>7521</v>
      </c>
      <c r="B2659" s="120" t="s">
        <v>7491</v>
      </c>
      <c r="C2659" s="98" t="s">
        <v>3540</v>
      </c>
      <c r="D2659" s="120" t="s">
        <v>3534</v>
      </c>
      <c r="E2659" s="98">
        <v>0</v>
      </c>
      <c r="F2659" s="120">
        <v>0</v>
      </c>
      <c r="G2659" s="121">
        <v>0</v>
      </c>
      <c r="H2659" s="123">
        <v>0</v>
      </c>
      <c r="I2659" s="122">
        <v>0</v>
      </c>
      <c r="J2659" s="124">
        <f t="shared" si="41"/>
        <v>0</v>
      </c>
    </row>
    <row r="2660" spans="1:11" ht="15" customHeight="1" x14ac:dyDescent="0.2">
      <c r="A2660" s="120" t="s">
        <v>7522</v>
      </c>
      <c r="B2660" s="120" t="s">
        <v>4584</v>
      </c>
      <c r="C2660" s="98" t="s">
        <v>3533</v>
      </c>
      <c r="D2660" s="120" t="s">
        <v>3534</v>
      </c>
      <c r="E2660" s="98">
        <v>0</v>
      </c>
      <c r="F2660" s="120">
        <v>0</v>
      </c>
      <c r="G2660" s="121">
        <v>25</v>
      </c>
      <c r="H2660" s="123">
        <v>0</v>
      </c>
      <c r="I2660" s="122">
        <v>0</v>
      </c>
      <c r="J2660" s="124">
        <f t="shared" si="41"/>
        <v>0</v>
      </c>
    </row>
    <row r="2661" spans="1:11" ht="15" customHeight="1" x14ac:dyDescent="0.2">
      <c r="A2661" s="120" t="s">
        <v>7523</v>
      </c>
      <c r="B2661" s="120" t="s">
        <v>4584</v>
      </c>
      <c r="C2661" s="98" t="s">
        <v>3540</v>
      </c>
      <c r="D2661" s="120" t="s">
        <v>3534</v>
      </c>
      <c r="E2661" s="98">
        <v>0.31546999999999997</v>
      </c>
      <c r="F2661" s="120">
        <v>0</v>
      </c>
      <c r="G2661" s="121">
        <v>0</v>
      </c>
      <c r="H2661" s="123">
        <v>0.31546999999999997</v>
      </c>
      <c r="I2661" s="122">
        <v>0</v>
      </c>
      <c r="J2661" s="124">
        <f t="shared" si="41"/>
        <v>0.31546999999999997</v>
      </c>
    </row>
    <row r="2662" spans="1:11" ht="15" customHeight="1" x14ac:dyDescent="0.2">
      <c r="A2662" s="120" t="s">
        <v>7524</v>
      </c>
      <c r="B2662" s="120" t="s">
        <v>4584</v>
      </c>
      <c r="C2662" s="98" t="s">
        <v>3540</v>
      </c>
      <c r="D2662" s="120" t="s">
        <v>3534</v>
      </c>
      <c r="E2662" s="98">
        <v>0</v>
      </c>
      <c r="F2662" s="120">
        <v>0</v>
      </c>
      <c r="G2662" s="121">
        <v>7077</v>
      </c>
      <c r="H2662" s="123">
        <v>0</v>
      </c>
      <c r="I2662" s="122">
        <v>0</v>
      </c>
      <c r="J2662" s="124">
        <f t="shared" si="41"/>
        <v>0</v>
      </c>
    </row>
    <row r="2663" spans="1:11" ht="15" customHeight="1" x14ac:dyDescent="0.2">
      <c r="A2663" s="120" t="s">
        <v>7525</v>
      </c>
      <c r="B2663" s="120" t="s">
        <v>3609</v>
      </c>
      <c r="C2663" s="98" t="s">
        <v>3533</v>
      </c>
      <c r="D2663" s="120" t="s">
        <v>3534</v>
      </c>
      <c r="E2663" s="98">
        <v>0</v>
      </c>
      <c r="F2663" s="120">
        <v>0</v>
      </c>
      <c r="G2663" s="121">
        <v>0</v>
      </c>
      <c r="H2663" s="123">
        <v>0</v>
      </c>
      <c r="I2663" s="122">
        <v>0</v>
      </c>
      <c r="J2663" s="124">
        <f t="shared" si="41"/>
        <v>0</v>
      </c>
      <c r="K2663" s="98" t="s">
        <v>7526</v>
      </c>
    </row>
    <row r="2664" spans="1:11" ht="15" customHeight="1" x14ac:dyDescent="0.2">
      <c r="A2664" s="120" t="s">
        <v>7527</v>
      </c>
      <c r="B2664" s="120" t="s">
        <v>3609</v>
      </c>
      <c r="C2664" s="98" t="s">
        <v>4066</v>
      </c>
      <c r="D2664" s="120" t="s">
        <v>3534</v>
      </c>
      <c r="E2664" s="98">
        <v>0</v>
      </c>
      <c r="F2664" s="120">
        <v>0</v>
      </c>
      <c r="G2664" s="121">
        <v>0</v>
      </c>
      <c r="H2664" s="123">
        <v>0</v>
      </c>
      <c r="I2664" s="122">
        <v>0</v>
      </c>
      <c r="J2664" s="124">
        <f t="shared" si="41"/>
        <v>0</v>
      </c>
    </row>
    <row r="2665" spans="1:11" ht="15" customHeight="1" x14ac:dyDescent="0.2">
      <c r="A2665" s="120" t="s">
        <v>7528</v>
      </c>
      <c r="B2665" s="120" t="s">
        <v>4584</v>
      </c>
      <c r="C2665" s="98" t="s">
        <v>3533</v>
      </c>
      <c r="D2665" s="120" t="s">
        <v>3534</v>
      </c>
      <c r="E2665" s="98">
        <v>0</v>
      </c>
      <c r="F2665" s="120">
        <v>0</v>
      </c>
      <c r="G2665" s="121">
        <v>167</v>
      </c>
      <c r="H2665" s="123">
        <v>0</v>
      </c>
      <c r="I2665" s="122">
        <v>0</v>
      </c>
      <c r="J2665" s="124">
        <f t="shared" si="41"/>
        <v>0</v>
      </c>
    </row>
    <row r="2666" spans="1:11" ht="15" customHeight="1" x14ac:dyDescent="0.2">
      <c r="A2666" s="120" t="s">
        <v>7529</v>
      </c>
      <c r="B2666" s="120" t="s">
        <v>4584</v>
      </c>
      <c r="C2666" s="98" t="s">
        <v>3533</v>
      </c>
      <c r="D2666" s="120" t="s">
        <v>3534</v>
      </c>
      <c r="E2666" s="98">
        <v>0</v>
      </c>
      <c r="F2666" s="120">
        <v>0</v>
      </c>
      <c r="G2666" s="121">
        <v>0</v>
      </c>
      <c r="H2666" s="123">
        <v>0</v>
      </c>
      <c r="I2666" s="122">
        <v>0</v>
      </c>
      <c r="J2666" s="124">
        <f t="shared" si="41"/>
        <v>0</v>
      </c>
    </row>
    <row r="2667" spans="1:11" ht="15" customHeight="1" x14ac:dyDescent="0.2">
      <c r="A2667" s="120" t="s">
        <v>7530</v>
      </c>
      <c r="B2667" s="120" t="s">
        <v>4584</v>
      </c>
      <c r="C2667" s="98" t="s">
        <v>3540</v>
      </c>
      <c r="D2667" s="120" t="s">
        <v>3534</v>
      </c>
      <c r="E2667" s="98">
        <v>0</v>
      </c>
      <c r="F2667" s="120">
        <v>0</v>
      </c>
      <c r="G2667" s="121">
        <v>0</v>
      </c>
      <c r="H2667" s="123">
        <v>0</v>
      </c>
      <c r="I2667" s="122">
        <v>0</v>
      </c>
      <c r="J2667" s="124">
        <f t="shared" si="41"/>
        <v>0</v>
      </c>
    </row>
    <row r="2668" spans="1:11" ht="15" customHeight="1" x14ac:dyDescent="0.2">
      <c r="A2668" s="120" t="s">
        <v>7531</v>
      </c>
      <c r="B2668" s="120" t="s">
        <v>4584</v>
      </c>
      <c r="C2668" s="98" t="s">
        <v>3540</v>
      </c>
      <c r="D2668" s="120" t="s">
        <v>3534</v>
      </c>
      <c r="E2668" s="98">
        <v>0</v>
      </c>
      <c r="F2668" s="120">
        <v>0</v>
      </c>
      <c r="G2668" s="121">
        <v>0</v>
      </c>
      <c r="H2668" s="123">
        <v>0</v>
      </c>
      <c r="I2668" s="122">
        <v>0</v>
      </c>
      <c r="J2668" s="124">
        <f t="shared" si="41"/>
        <v>0</v>
      </c>
    </row>
    <row r="2669" spans="1:11" ht="15" customHeight="1" x14ac:dyDescent="0.2">
      <c r="A2669" s="120" t="s">
        <v>7532</v>
      </c>
      <c r="B2669" s="120" t="s">
        <v>4584</v>
      </c>
      <c r="C2669" s="98" t="s">
        <v>3540</v>
      </c>
      <c r="D2669" s="120" t="s">
        <v>3534</v>
      </c>
      <c r="E2669" s="98">
        <v>0</v>
      </c>
      <c r="F2669" s="120">
        <v>0</v>
      </c>
      <c r="G2669" s="121">
        <v>0</v>
      </c>
      <c r="H2669" s="123">
        <v>0</v>
      </c>
      <c r="I2669" s="122">
        <v>0</v>
      </c>
      <c r="J2669" s="124">
        <f t="shared" si="41"/>
        <v>0</v>
      </c>
    </row>
    <row r="2670" spans="1:11" ht="15" customHeight="1" x14ac:dyDescent="0.2">
      <c r="A2670" s="120" t="s">
        <v>7533</v>
      </c>
      <c r="B2670" s="120" t="s">
        <v>4584</v>
      </c>
      <c r="C2670" s="98" t="s">
        <v>3540</v>
      </c>
      <c r="D2670" s="120" t="s">
        <v>3534</v>
      </c>
      <c r="E2670" s="98">
        <v>0</v>
      </c>
      <c r="F2670" s="120">
        <v>0</v>
      </c>
      <c r="G2670" s="121">
        <v>0</v>
      </c>
      <c r="H2670" s="123">
        <v>0</v>
      </c>
      <c r="I2670" s="122">
        <v>0</v>
      </c>
      <c r="J2670" s="124">
        <f t="shared" si="41"/>
        <v>0</v>
      </c>
    </row>
    <row r="2671" spans="1:11" ht="15" customHeight="1" x14ac:dyDescent="0.2">
      <c r="A2671" s="120" t="s">
        <v>7534</v>
      </c>
      <c r="B2671" s="120" t="s">
        <v>4584</v>
      </c>
      <c r="C2671" s="98" t="s">
        <v>3533</v>
      </c>
      <c r="D2671" s="120" t="s">
        <v>3534</v>
      </c>
      <c r="E2671" s="98">
        <v>0</v>
      </c>
      <c r="F2671" s="120">
        <v>0</v>
      </c>
      <c r="G2671" s="121">
        <v>452</v>
      </c>
      <c r="H2671" s="123">
        <v>0</v>
      </c>
      <c r="I2671" s="122">
        <v>0</v>
      </c>
      <c r="J2671" s="124">
        <f t="shared" si="41"/>
        <v>0</v>
      </c>
    </row>
    <row r="2672" spans="1:11" ht="15" customHeight="1" x14ac:dyDescent="0.2">
      <c r="A2672" s="120" t="s">
        <v>7535</v>
      </c>
      <c r="B2672" s="120" t="s">
        <v>4584</v>
      </c>
      <c r="C2672" s="98" t="s">
        <v>3566</v>
      </c>
      <c r="D2672" s="120" t="s">
        <v>3534</v>
      </c>
      <c r="E2672" s="98">
        <v>0.30045899999999998</v>
      </c>
      <c r="F2672" s="120">
        <v>0</v>
      </c>
      <c r="G2672" s="121">
        <v>85</v>
      </c>
      <c r="H2672" s="123">
        <v>0.30045899999999998</v>
      </c>
      <c r="I2672" s="122">
        <v>25.539014999999999</v>
      </c>
      <c r="J2672" s="124">
        <f t="shared" si="41"/>
        <v>0.30045899999999998</v>
      </c>
    </row>
    <row r="2673" spans="1:11" ht="15" customHeight="1" x14ac:dyDescent="0.2">
      <c r="A2673" s="120" t="s">
        <v>7536</v>
      </c>
      <c r="B2673" s="120" t="s">
        <v>7537</v>
      </c>
      <c r="C2673" s="98" t="s">
        <v>3540</v>
      </c>
      <c r="D2673" s="120" t="s">
        <v>3534</v>
      </c>
      <c r="E2673" s="98">
        <v>0</v>
      </c>
      <c r="F2673" s="120">
        <v>0</v>
      </c>
      <c r="G2673" s="121">
        <v>4219</v>
      </c>
      <c r="H2673" s="123">
        <v>0</v>
      </c>
      <c r="I2673" s="122">
        <v>0</v>
      </c>
      <c r="J2673" s="124">
        <f t="shared" si="41"/>
        <v>0</v>
      </c>
    </row>
    <row r="2674" spans="1:11" ht="15" customHeight="1" x14ac:dyDescent="0.2">
      <c r="A2674" s="120" t="s">
        <v>7538</v>
      </c>
      <c r="B2674" s="120" t="s">
        <v>4584</v>
      </c>
      <c r="C2674" s="98" t="s">
        <v>3540</v>
      </c>
      <c r="D2674" s="120" t="s">
        <v>3534</v>
      </c>
      <c r="E2674" s="98">
        <v>0</v>
      </c>
      <c r="F2674" s="120">
        <v>0</v>
      </c>
      <c r="G2674" s="121">
        <v>279</v>
      </c>
      <c r="H2674" s="123">
        <v>0</v>
      </c>
      <c r="I2674" s="122">
        <v>0</v>
      </c>
      <c r="J2674" s="124">
        <f t="shared" si="41"/>
        <v>0</v>
      </c>
    </row>
    <row r="2675" spans="1:11" ht="15" customHeight="1" x14ac:dyDescent="0.2">
      <c r="A2675" s="120" t="s">
        <v>7539</v>
      </c>
      <c r="B2675" s="120" t="s">
        <v>3532</v>
      </c>
      <c r="C2675" s="98" t="s">
        <v>3532</v>
      </c>
      <c r="D2675" s="120" t="s">
        <v>3534</v>
      </c>
      <c r="E2675" s="98">
        <v>0</v>
      </c>
      <c r="F2675" s="120">
        <v>0</v>
      </c>
      <c r="G2675" s="121">
        <v>0</v>
      </c>
      <c r="H2675" s="123">
        <v>0</v>
      </c>
      <c r="I2675" s="122">
        <v>0</v>
      </c>
      <c r="J2675" s="124">
        <f t="shared" si="41"/>
        <v>0</v>
      </c>
    </row>
    <row r="2676" spans="1:11" ht="15" customHeight="1" x14ac:dyDescent="0.2">
      <c r="A2676" s="120" t="s">
        <v>7540</v>
      </c>
      <c r="B2676" s="120" t="s">
        <v>4584</v>
      </c>
      <c r="C2676" s="98" t="s">
        <v>3540</v>
      </c>
      <c r="D2676" s="120" t="s">
        <v>3534</v>
      </c>
      <c r="E2676" s="98">
        <v>0</v>
      </c>
      <c r="F2676" s="120">
        <v>0</v>
      </c>
      <c r="G2676" s="121">
        <v>0</v>
      </c>
      <c r="H2676" s="123">
        <v>0</v>
      </c>
      <c r="I2676" s="122">
        <v>0</v>
      </c>
      <c r="J2676" s="124">
        <f t="shared" si="41"/>
        <v>0</v>
      </c>
    </row>
    <row r="2677" spans="1:11" ht="15" customHeight="1" x14ac:dyDescent="0.2">
      <c r="A2677" s="120" t="s">
        <v>7541</v>
      </c>
      <c r="B2677" s="120" t="s">
        <v>4584</v>
      </c>
      <c r="C2677" s="98" t="s">
        <v>3533</v>
      </c>
      <c r="D2677" s="120" t="s">
        <v>3534</v>
      </c>
      <c r="E2677" s="98">
        <v>0</v>
      </c>
      <c r="F2677" s="120">
        <v>0</v>
      </c>
      <c r="G2677" s="121">
        <v>0</v>
      </c>
      <c r="H2677" s="123">
        <v>0</v>
      </c>
      <c r="I2677" s="122">
        <v>0</v>
      </c>
      <c r="J2677" s="124">
        <f t="shared" si="41"/>
        <v>0</v>
      </c>
    </row>
    <row r="2678" spans="1:11" ht="15" customHeight="1" x14ac:dyDescent="0.2">
      <c r="A2678" s="120" t="s">
        <v>7542</v>
      </c>
      <c r="B2678" s="120" t="s">
        <v>3532</v>
      </c>
      <c r="C2678" s="98" t="s">
        <v>3533</v>
      </c>
      <c r="D2678" s="120" t="s">
        <v>3534</v>
      </c>
      <c r="E2678" s="98">
        <v>0</v>
      </c>
      <c r="F2678" s="120">
        <v>0</v>
      </c>
      <c r="G2678" s="121">
        <v>0</v>
      </c>
      <c r="H2678" s="123">
        <v>0</v>
      </c>
      <c r="I2678" s="122">
        <v>0</v>
      </c>
      <c r="J2678" s="124">
        <f t="shared" si="41"/>
        <v>0</v>
      </c>
    </row>
    <row r="2679" spans="1:11" ht="15" customHeight="1" x14ac:dyDescent="0.2">
      <c r="A2679" s="120" t="s">
        <v>7543</v>
      </c>
      <c r="B2679" s="120" t="s">
        <v>4584</v>
      </c>
      <c r="C2679" s="98" t="s">
        <v>3533</v>
      </c>
      <c r="D2679" s="120" t="s">
        <v>3534</v>
      </c>
      <c r="E2679" s="98">
        <v>0</v>
      </c>
      <c r="F2679" s="120">
        <v>0</v>
      </c>
      <c r="G2679" s="121">
        <v>0</v>
      </c>
      <c r="H2679" s="123">
        <v>0</v>
      </c>
      <c r="I2679" s="122">
        <v>0</v>
      </c>
      <c r="J2679" s="124">
        <f t="shared" si="41"/>
        <v>0</v>
      </c>
    </row>
    <row r="2680" spans="1:11" ht="15" customHeight="1" x14ac:dyDescent="0.2">
      <c r="A2680" s="120" t="s">
        <v>7544</v>
      </c>
      <c r="B2680" s="120" t="s">
        <v>3532</v>
      </c>
      <c r="C2680" s="98" t="s">
        <v>3533</v>
      </c>
      <c r="D2680" s="120" t="s">
        <v>3534</v>
      </c>
      <c r="E2680" s="98">
        <v>0.20593454545454498</v>
      </c>
      <c r="F2680" s="120">
        <v>0</v>
      </c>
      <c r="G2680" s="121">
        <v>527</v>
      </c>
      <c r="H2680" s="123">
        <v>0.20593500000000001</v>
      </c>
      <c r="I2680" s="122">
        <v>108.52774500000001</v>
      </c>
      <c r="J2680" s="124">
        <f t="shared" si="41"/>
        <v>0.20593454545454498</v>
      </c>
    </row>
    <row r="2681" spans="1:11" ht="15" customHeight="1" x14ac:dyDescent="0.2">
      <c r="A2681" s="120" t="s">
        <v>7545</v>
      </c>
      <c r="B2681" s="120" t="s">
        <v>3532</v>
      </c>
      <c r="C2681" s="98" t="s">
        <v>3540</v>
      </c>
      <c r="D2681" s="120" t="s">
        <v>3534</v>
      </c>
      <c r="E2681" s="98">
        <v>0</v>
      </c>
      <c r="F2681" s="120">
        <v>0</v>
      </c>
      <c r="G2681" s="121">
        <v>0</v>
      </c>
      <c r="H2681" s="123">
        <v>0</v>
      </c>
      <c r="I2681" s="122">
        <v>0</v>
      </c>
      <c r="J2681" s="124">
        <f t="shared" si="41"/>
        <v>0</v>
      </c>
    </row>
    <row r="2682" spans="1:11" ht="15" customHeight="1" x14ac:dyDescent="0.2">
      <c r="A2682" s="120" t="s">
        <v>7546</v>
      </c>
      <c r="B2682" s="120" t="s">
        <v>4584</v>
      </c>
      <c r="C2682" s="98" t="s">
        <v>3533</v>
      </c>
      <c r="D2682" s="120" t="s">
        <v>3534</v>
      </c>
      <c r="E2682" s="98">
        <v>0</v>
      </c>
      <c r="F2682" s="120">
        <v>0</v>
      </c>
      <c r="G2682" s="121">
        <v>940</v>
      </c>
      <c r="H2682" s="123">
        <v>0</v>
      </c>
      <c r="I2682" s="122">
        <v>0</v>
      </c>
      <c r="J2682" s="124">
        <f t="shared" si="41"/>
        <v>0</v>
      </c>
      <c r="K2682" s="98" t="s">
        <v>7547</v>
      </c>
    </row>
    <row r="2683" spans="1:11" ht="15" customHeight="1" x14ac:dyDescent="0.2">
      <c r="A2683" s="120" t="s">
        <v>7548</v>
      </c>
      <c r="B2683" s="120" t="s">
        <v>4584</v>
      </c>
      <c r="C2683" s="98" t="s">
        <v>3540</v>
      </c>
      <c r="D2683" s="120" t="s">
        <v>3534</v>
      </c>
      <c r="E2683" s="98">
        <v>7.3844000000000007E-2</v>
      </c>
      <c r="F2683" s="120">
        <v>0</v>
      </c>
      <c r="G2683" s="121">
        <v>0</v>
      </c>
      <c r="H2683" s="123">
        <v>7.3844000000000007E-2</v>
      </c>
      <c r="I2683" s="122">
        <v>0</v>
      </c>
      <c r="J2683" s="124">
        <f t="shared" si="41"/>
        <v>7.3844000000000007E-2</v>
      </c>
    </row>
    <row r="2684" spans="1:11" ht="15" customHeight="1" x14ac:dyDescent="0.2">
      <c r="A2684" s="120" t="s">
        <v>7549</v>
      </c>
      <c r="B2684" s="120" t="s">
        <v>4584</v>
      </c>
      <c r="C2684" s="98" t="s">
        <v>3533</v>
      </c>
      <c r="D2684" s="120" t="s">
        <v>3534</v>
      </c>
      <c r="E2684" s="98">
        <v>0</v>
      </c>
      <c r="F2684" s="120">
        <v>0</v>
      </c>
      <c r="G2684" s="121">
        <v>0</v>
      </c>
      <c r="H2684" s="123">
        <v>0</v>
      </c>
      <c r="I2684" s="122">
        <v>0</v>
      </c>
      <c r="J2684" s="124">
        <f t="shared" si="41"/>
        <v>0</v>
      </c>
    </row>
    <row r="2685" spans="1:11" ht="15" customHeight="1" x14ac:dyDescent="0.2">
      <c r="A2685" s="120" t="s">
        <v>7550</v>
      </c>
      <c r="B2685" s="120" t="s">
        <v>3532</v>
      </c>
      <c r="C2685" s="98" t="s">
        <v>3532</v>
      </c>
      <c r="D2685" s="120" t="s">
        <v>3534</v>
      </c>
      <c r="E2685" s="98">
        <v>0</v>
      </c>
      <c r="F2685" s="120">
        <v>0</v>
      </c>
      <c r="G2685" s="121">
        <v>0</v>
      </c>
      <c r="H2685" s="123">
        <v>0</v>
      </c>
      <c r="I2685" s="122">
        <v>0</v>
      </c>
      <c r="J2685" s="124">
        <f t="shared" si="41"/>
        <v>0</v>
      </c>
    </row>
    <row r="2686" spans="1:11" ht="15" customHeight="1" x14ac:dyDescent="0.2">
      <c r="A2686" s="120" t="s">
        <v>7551</v>
      </c>
      <c r="B2686" s="120" t="s">
        <v>3532</v>
      </c>
      <c r="C2686" s="98" t="s">
        <v>3533</v>
      </c>
      <c r="D2686" s="120" t="s">
        <v>3534</v>
      </c>
      <c r="E2686" s="98">
        <v>0.29310588235294099</v>
      </c>
      <c r="F2686" s="120">
        <v>0</v>
      </c>
      <c r="G2686" s="121">
        <v>246</v>
      </c>
      <c r="H2686" s="123">
        <v>0.29310599999999998</v>
      </c>
      <c r="I2686" s="122">
        <v>72.104075999999992</v>
      </c>
      <c r="J2686" s="124">
        <f t="shared" si="41"/>
        <v>0.29310588235294099</v>
      </c>
    </row>
    <row r="2687" spans="1:11" ht="15" customHeight="1" x14ac:dyDescent="0.2">
      <c r="A2687" s="120" t="s">
        <v>7552</v>
      </c>
      <c r="B2687" s="120" t="s">
        <v>4584</v>
      </c>
      <c r="C2687" s="98" t="s">
        <v>3540</v>
      </c>
      <c r="D2687" s="120" t="s">
        <v>3534</v>
      </c>
      <c r="E2687" s="98">
        <v>0.25198599999999999</v>
      </c>
      <c r="F2687" s="120">
        <v>0</v>
      </c>
      <c r="G2687" s="121">
        <v>0</v>
      </c>
      <c r="H2687" s="123">
        <v>0.25198599999999999</v>
      </c>
      <c r="I2687" s="122">
        <v>0</v>
      </c>
      <c r="J2687" s="124">
        <f t="shared" si="41"/>
        <v>0.25198599999999999</v>
      </c>
    </row>
    <row r="2688" spans="1:11" ht="15" customHeight="1" x14ac:dyDescent="0.2">
      <c r="A2688" s="120" t="s">
        <v>7553</v>
      </c>
      <c r="B2688" s="120" t="s">
        <v>4584</v>
      </c>
      <c r="C2688" s="98" t="s">
        <v>3533</v>
      </c>
      <c r="D2688" s="120" t="s">
        <v>3534</v>
      </c>
      <c r="E2688" s="98">
        <v>0</v>
      </c>
      <c r="F2688" s="120">
        <v>0</v>
      </c>
      <c r="G2688" s="121">
        <v>230</v>
      </c>
      <c r="H2688" s="123">
        <v>0</v>
      </c>
      <c r="I2688" s="122">
        <v>0</v>
      </c>
      <c r="J2688" s="124">
        <f t="shared" si="41"/>
        <v>0</v>
      </c>
    </row>
    <row r="2689" spans="1:11" ht="15" customHeight="1" x14ac:dyDescent="0.2">
      <c r="A2689" s="120" t="s">
        <v>7554</v>
      </c>
      <c r="B2689" s="120" t="s">
        <v>3532</v>
      </c>
      <c r="C2689" s="98" t="s">
        <v>3533</v>
      </c>
      <c r="D2689" s="120" t="s">
        <v>3534</v>
      </c>
      <c r="E2689" s="98">
        <v>7.3721999999999996E-2</v>
      </c>
      <c r="F2689" s="120">
        <v>0</v>
      </c>
      <c r="G2689" s="121">
        <v>0</v>
      </c>
      <c r="H2689" s="123">
        <v>7.3721999999999996E-2</v>
      </c>
      <c r="I2689" s="122">
        <v>0</v>
      </c>
      <c r="J2689" s="124">
        <f t="shared" si="41"/>
        <v>7.3721999999999996E-2</v>
      </c>
    </row>
    <row r="2690" spans="1:11" ht="15" customHeight="1" x14ac:dyDescent="0.2">
      <c r="A2690" s="120" t="s">
        <v>7555</v>
      </c>
      <c r="B2690" s="120" t="s">
        <v>3532</v>
      </c>
      <c r="C2690" s="98" t="s">
        <v>3532</v>
      </c>
      <c r="D2690" s="120" t="s">
        <v>3534</v>
      </c>
      <c r="E2690" s="98">
        <v>0</v>
      </c>
      <c r="F2690" s="120">
        <v>0</v>
      </c>
      <c r="G2690" s="121">
        <v>0</v>
      </c>
      <c r="H2690" s="123">
        <v>0</v>
      </c>
      <c r="I2690" s="122">
        <v>0</v>
      </c>
      <c r="J2690" s="124">
        <f t="shared" ref="J2690:J2753" si="42">IF(D2690="gm", E2690*1000,+E2690)</f>
        <v>0</v>
      </c>
    </row>
    <row r="2691" spans="1:11" ht="15" customHeight="1" x14ac:dyDescent="0.2">
      <c r="A2691" s="120" t="s">
        <v>7556</v>
      </c>
      <c r="B2691" s="120" t="s">
        <v>4584</v>
      </c>
      <c r="C2691" s="98" t="s">
        <v>3533</v>
      </c>
      <c r="D2691" s="120" t="s">
        <v>3534</v>
      </c>
      <c r="E2691" s="98">
        <v>0</v>
      </c>
      <c r="F2691" s="120">
        <v>0</v>
      </c>
      <c r="G2691" s="121">
        <v>0</v>
      </c>
      <c r="H2691" s="123">
        <v>0</v>
      </c>
      <c r="I2691" s="122">
        <v>0</v>
      </c>
      <c r="J2691" s="124">
        <f t="shared" si="42"/>
        <v>0</v>
      </c>
      <c r="K2691" s="98" t="s">
        <v>7557</v>
      </c>
    </row>
    <row r="2692" spans="1:11" ht="15" customHeight="1" x14ac:dyDescent="0.2">
      <c r="A2692" s="120" t="s">
        <v>7556</v>
      </c>
      <c r="B2692" s="120" t="s">
        <v>4584</v>
      </c>
      <c r="C2692" s="98" t="s">
        <v>3533</v>
      </c>
      <c r="D2692" s="120" t="s">
        <v>3534</v>
      </c>
      <c r="E2692" s="98">
        <v>0</v>
      </c>
      <c r="F2692" s="120">
        <v>0</v>
      </c>
      <c r="G2692" s="121">
        <v>0</v>
      </c>
      <c r="H2692" s="123">
        <v>0</v>
      </c>
      <c r="I2692" s="122">
        <v>0</v>
      </c>
      <c r="J2692" s="124">
        <f t="shared" si="42"/>
        <v>0</v>
      </c>
    </row>
    <row r="2693" spans="1:11" ht="15" customHeight="1" x14ac:dyDescent="0.2">
      <c r="A2693" s="120" t="s">
        <v>7558</v>
      </c>
      <c r="B2693" s="120" t="s">
        <v>4584</v>
      </c>
      <c r="C2693" s="98" t="s">
        <v>3533</v>
      </c>
      <c r="D2693" s="120" t="s">
        <v>3534</v>
      </c>
      <c r="E2693" s="98">
        <v>0</v>
      </c>
      <c r="F2693" s="120">
        <v>0</v>
      </c>
      <c r="G2693" s="121">
        <v>0</v>
      </c>
      <c r="H2693" s="123">
        <v>0</v>
      </c>
      <c r="I2693" s="122">
        <v>0</v>
      </c>
      <c r="J2693" s="124">
        <f t="shared" si="42"/>
        <v>0</v>
      </c>
    </row>
    <row r="2694" spans="1:11" ht="15" customHeight="1" x14ac:dyDescent="0.2">
      <c r="A2694" s="120" t="s">
        <v>7559</v>
      </c>
      <c r="B2694" s="120" t="s">
        <v>3532</v>
      </c>
      <c r="C2694" s="98" t="s">
        <v>3532</v>
      </c>
      <c r="D2694" s="120" t="s">
        <v>3534</v>
      </c>
      <c r="E2694" s="98">
        <v>0</v>
      </c>
      <c r="F2694" s="120">
        <v>0</v>
      </c>
      <c r="G2694" s="121">
        <v>335</v>
      </c>
      <c r="H2694" s="123">
        <v>0</v>
      </c>
      <c r="I2694" s="122">
        <v>0</v>
      </c>
      <c r="J2694" s="124">
        <f t="shared" si="42"/>
        <v>0</v>
      </c>
    </row>
    <row r="2695" spans="1:11" ht="15" customHeight="1" x14ac:dyDescent="0.2">
      <c r="A2695" s="120" t="s">
        <v>7560</v>
      </c>
      <c r="B2695" s="120" t="s">
        <v>3532</v>
      </c>
      <c r="C2695" s="98" t="s">
        <v>3532</v>
      </c>
      <c r="D2695" s="120" t="s">
        <v>3534</v>
      </c>
      <c r="E2695" s="98">
        <v>0</v>
      </c>
      <c r="F2695" s="120">
        <v>0</v>
      </c>
      <c r="G2695" s="121">
        <v>0</v>
      </c>
      <c r="H2695" s="123">
        <v>0</v>
      </c>
      <c r="I2695" s="122">
        <v>0</v>
      </c>
      <c r="J2695" s="124">
        <f t="shared" si="42"/>
        <v>0</v>
      </c>
    </row>
    <row r="2696" spans="1:11" ht="15" customHeight="1" x14ac:dyDescent="0.2">
      <c r="A2696" s="120" t="s">
        <v>7561</v>
      </c>
      <c r="B2696" s="120" t="s">
        <v>3532</v>
      </c>
      <c r="C2696" s="98" t="s">
        <v>3532</v>
      </c>
      <c r="D2696" s="120" t="s">
        <v>3534</v>
      </c>
      <c r="E2696" s="98">
        <v>0</v>
      </c>
      <c r="F2696" s="120">
        <v>0</v>
      </c>
      <c r="G2696" s="121">
        <v>1002</v>
      </c>
      <c r="H2696" s="123">
        <v>0</v>
      </c>
      <c r="I2696" s="122">
        <v>0</v>
      </c>
      <c r="J2696" s="124">
        <f t="shared" si="42"/>
        <v>0</v>
      </c>
    </row>
    <row r="2697" spans="1:11" ht="15" customHeight="1" x14ac:dyDescent="0.2">
      <c r="A2697" s="120" t="s">
        <v>7562</v>
      </c>
      <c r="B2697" s="120" t="s">
        <v>3532</v>
      </c>
      <c r="C2697" s="98" t="s">
        <v>3533</v>
      </c>
      <c r="D2697" s="120" t="s">
        <v>3534</v>
      </c>
      <c r="E2697" s="98">
        <v>0</v>
      </c>
      <c r="F2697" s="120">
        <v>0</v>
      </c>
      <c r="G2697" s="121">
        <v>1405</v>
      </c>
      <c r="H2697" s="123">
        <v>0</v>
      </c>
      <c r="I2697" s="122">
        <v>0</v>
      </c>
      <c r="J2697" s="124">
        <f t="shared" si="42"/>
        <v>0</v>
      </c>
    </row>
    <row r="2698" spans="1:11" ht="15" customHeight="1" x14ac:dyDescent="0.2">
      <c r="A2698" s="120" t="s">
        <v>7563</v>
      </c>
      <c r="B2698" s="120" t="s">
        <v>3532</v>
      </c>
      <c r="C2698" s="98" t="s">
        <v>3533</v>
      </c>
      <c r="D2698" s="120" t="s">
        <v>3534</v>
      </c>
      <c r="E2698" s="98">
        <v>0</v>
      </c>
      <c r="F2698" s="120">
        <v>0</v>
      </c>
      <c r="G2698" s="121">
        <v>0</v>
      </c>
      <c r="H2698" s="123">
        <v>0</v>
      </c>
      <c r="I2698" s="122">
        <v>0</v>
      </c>
      <c r="J2698" s="124">
        <f t="shared" si="42"/>
        <v>0</v>
      </c>
    </row>
    <row r="2699" spans="1:11" ht="15" customHeight="1" x14ac:dyDescent="0.2">
      <c r="A2699" s="120" t="s">
        <v>7564</v>
      </c>
      <c r="B2699" s="120" t="s">
        <v>3532</v>
      </c>
      <c r="C2699" s="98" t="s">
        <v>3533</v>
      </c>
      <c r="D2699" s="120" t="s">
        <v>3534</v>
      </c>
      <c r="E2699" s="98">
        <v>0</v>
      </c>
      <c r="F2699" s="120">
        <v>0</v>
      </c>
      <c r="G2699" s="121">
        <v>573</v>
      </c>
      <c r="H2699" s="123">
        <v>0</v>
      </c>
      <c r="I2699" s="122">
        <v>0</v>
      </c>
      <c r="J2699" s="124">
        <f t="shared" si="42"/>
        <v>0</v>
      </c>
    </row>
    <row r="2700" spans="1:11" ht="15" customHeight="1" x14ac:dyDescent="0.2">
      <c r="A2700" s="120" t="s">
        <v>7565</v>
      </c>
      <c r="B2700" s="120" t="s">
        <v>3609</v>
      </c>
      <c r="C2700" s="98" t="s">
        <v>3533</v>
      </c>
      <c r="D2700" s="120" t="s">
        <v>3534</v>
      </c>
      <c r="E2700" s="98">
        <v>0</v>
      </c>
      <c r="F2700" s="120">
        <v>0</v>
      </c>
      <c r="G2700" s="121">
        <v>0</v>
      </c>
      <c r="H2700" s="123">
        <v>0</v>
      </c>
      <c r="I2700" s="122">
        <v>0</v>
      </c>
      <c r="J2700" s="124">
        <f t="shared" si="42"/>
        <v>0</v>
      </c>
    </row>
    <row r="2701" spans="1:11" ht="15" customHeight="1" x14ac:dyDescent="0.2">
      <c r="A2701" s="120" t="s">
        <v>7566</v>
      </c>
      <c r="B2701" s="120" t="s">
        <v>3532</v>
      </c>
      <c r="C2701" s="98" t="s">
        <v>3533</v>
      </c>
      <c r="D2701" s="120" t="s">
        <v>3534</v>
      </c>
      <c r="E2701" s="98">
        <v>7.6900113145144902E-2</v>
      </c>
      <c r="F2701" s="120">
        <v>0</v>
      </c>
      <c r="G2701" s="121">
        <v>8172</v>
      </c>
      <c r="H2701" s="123">
        <v>7.6899999999999996E-2</v>
      </c>
      <c r="I2701" s="122">
        <v>628.42679999999996</v>
      </c>
      <c r="J2701" s="124">
        <f t="shared" si="42"/>
        <v>7.6900113145144902E-2</v>
      </c>
    </row>
    <row r="2702" spans="1:11" ht="15" customHeight="1" x14ac:dyDescent="0.2">
      <c r="A2702" s="120" t="s">
        <v>7567</v>
      </c>
      <c r="B2702" s="120" t="s">
        <v>4584</v>
      </c>
      <c r="C2702" s="98" t="s">
        <v>3533</v>
      </c>
      <c r="D2702" s="120" t="s">
        <v>3534</v>
      </c>
      <c r="E2702" s="98">
        <v>0</v>
      </c>
      <c r="F2702" s="120">
        <v>0</v>
      </c>
      <c r="G2702" s="121">
        <v>292</v>
      </c>
      <c r="H2702" s="123">
        <v>0</v>
      </c>
      <c r="I2702" s="122">
        <v>0</v>
      </c>
      <c r="J2702" s="124">
        <f t="shared" si="42"/>
        <v>0</v>
      </c>
    </row>
    <row r="2703" spans="1:11" ht="15" customHeight="1" x14ac:dyDescent="0.2">
      <c r="A2703" s="120" t="s">
        <v>7568</v>
      </c>
      <c r="B2703" s="120" t="s">
        <v>4584</v>
      </c>
      <c r="C2703" s="98" t="s">
        <v>3533</v>
      </c>
      <c r="D2703" s="120" t="s">
        <v>3534</v>
      </c>
      <c r="E2703" s="98">
        <v>0</v>
      </c>
      <c r="F2703" s="120">
        <v>0</v>
      </c>
      <c r="G2703" s="121">
        <v>308</v>
      </c>
      <c r="H2703" s="123">
        <v>0</v>
      </c>
      <c r="I2703" s="122">
        <v>0</v>
      </c>
      <c r="J2703" s="124">
        <f t="shared" si="42"/>
        <v>0</v>
      </c>
    </row>
    <row r="2704" spans="1:11" ht="15" customHeight="1" x14ac:dyDescent="0.2">
      <c r="A2704" s="120" t="s">
        <v>7569</v>
      </c>
      <c r="B2704" s="120" t="s">
        <v>3532</v>
      </c>
      <c r="C2704" s="98" t="s">
        <v>3532</v>
      </c>
      <c r="D2704" s="120" t="s">
        <v>3534</v>
      </c>
      <c r="E2704" s="98">
        <v>0.103251318101933</v>
      </c>
      <c r="F2704" s="120">
        <v>0</v>
      </c>
      <c r="G2704" s="121">
        <v>239</v>
      </c>
      <c r="H2704" s="123">
        <v>0.103251</v>
      </c>
      <c r="I2704" s="122">
        <v>24.676988999999999</v>
      </c>
      <c r="J2704" s="124">
        <f t="shared" si="42"/>
        <v>0.103251318101933</v>
      </c>
    </row>
    <row r="2705" spans="1:10" ht="15" customHeight="1" x14ac:dyDescent="0.2">
      <c r="A2705" s="120" t="s">
        <v>7570</v>
      </c>
      <c r="B2705" s="120" t="s">
        <v>3532</v>
      </c>
      <c r="C2705" s="98" t="s">
        <v>3532</v>
      </c>
      <c r="D2705" s="120" t="s">
        <v>3534</v>
      </c>
      <c r="E2705" s="98">
        <v>0</v>
      </c>
      <c r="F2705" s="120">
        <v>0</v>
      </c>
      <c r="G2705" s="121">
        <v>641</v>
      </c>
      <c r="H2705" s="123">
        <v>0</v>
      </c>
      <c r="I2705" s="122">
        <v>0</v>
      </c>
      <c r="J2705" s="124">
        <f t="shared" si="42"/>
        <v>0</v>
      </c>
    </row>
    <row r="2706" spans="1:10" ht="15" customHeight="1" x14ac:dyDescent="0.2">
      <c r="A2706" s="120" t="s">
        <v>7571</v>
      </c>
      <c r="B2706" s="120" t="s">
        <v>4584</v>
      </c>
      <c r="C2706" s="98" t="s">
        <v>3533</v>
      </c>
      <c r="D2706" s="120" t="s">
        <v>3534</v>
      </c>
      <c r="E2706" s="98">
        <v>0.63300000000000001</v>
      </c>
      <c r="F2706" s="120">
        <v>0</v>
      </c>
      <c r="G2706" s="121">
        <v>0</v>
      </c>
      <c r="H2706" s="123">
        <v>0.63300000000000001</v>
      </c>
      <c r="I2706" s="122">
        <v>0</v>
      </c>
      <c r="J2706" s="124">
        <f t="shared" si="42"/>
        <v>0.63300000000000001</v>
      </c>
    </row>
    <row r="2707" spans="1:10" ht="15" customHeight="1" x14ac:dyDescent="0.2">
      <c r="A2707" s="120" t="s">
        <v>7572</v>
      </c>
      <c r="B2707" s="120" t="s">
        <v>3532</v>
      </c>
      <c r="C2707" s="98" t="s">
        <v>3532</v>
      </c>
      <c r="D2707" s="120" t="s">
        <v>3534</v>
      </c>
      <c r="E2707" s="98">
        <v>0.294833333333333</v>
      </c>
      <c r="F2707" s="120">
        <v>0</v>
      </c>
      <c r="G2707" s="121">
        <v>304</v>
      </c>
      <c r="H2707" s="123">
        <v>0.29483300000000001</v>
      </c>
      <c r="I2707" s="122">
        <v>89.629232000000002</v>
      </c>
      <c r="J2707" s="124">
        <f t="shared" si="42"/>
        <v>0.294833333333333</v>
      </c>
    </row>
    <row r="2708" spans="1:10" ht="15" customHeight="1" x14ac:dyDescent="0.2">
      <c r="A2708" s="120" t="s">
        <v>7573</v>
      </c>
      <c r="B2708" s="120" t="s">
        <v>4621</v>
      </c>
      <c r="C2708" s="98" t="s">
        <v>3533</v>
      </c>
      <c r="D2708" s="120" t="s">
        <v>3534</v>
      </c>
      <c r="E2708" s="98">
        <v>0</v>
      </c>
      <c r="F2708" s="120">
        <v>0</v>
      </c>
      <c r="G2708" s="121">
        <v>0</v>
      </c>
      <c r="H2708" s="123">
        <v>0</v>
      </c>
      <c r="I2708" s="122">
        <v>0</v>
      </c>
      <c r="J2708" s="124">
        <f t="shared" si="42"/>
        <v>0</v>
      </c>
    </row>
    <row r="2709" spans="1:10" ht="15" customHeight="1" x14ac:dyDescent="0.2">
      <c r="A2709" s="120" t="s">
        <v>7574</v>
      </c>
      <c r="B2709" s="120" t="s">
        <v>7575</v>
      </c>
      <c r="C2709" s="98" t="s">
        <v>3533</v>
      </c>
      <c r="D2709" s="120" t="s">
        <v>3534</v>
      </c>
      <c r="E2709" s="98">
        <v>3.9300000000000002E-2</v>
      </c>
      <c r="F2709" s="120">
        <v>0</v>
      </c>
      <c r="G2709" s="121">
        <v>36147</v>
      </c>
      <c r="H2709" s="123">
        <v>3.9300000000000002E-2</v>
      </c>
      <c r="I2709" s="122">
        <v>1420.5771</v>
      </c>
      <c r="J2709" s="124">
        <f t="shared" si="42"/>
        <v>3.9300000000000002E-2</v>
      </c>
    </row>
    <row r="2710" spans="1:10" ht="15" customHeight="1" x14ac:dyDescent="0.2">
      <c r="A2710" s="120" t="s">
        <v>7576</v>
      </c>
      <c r="B2710" s="120" t="s">
        <v>4621</v>
      </c>
      <c r="C2710" s="98" t="s">
        <v>3533</v>
      </c>
      <c r="D2710" s="120" t="s">
        <v>3534</v>
      </c>
      <c r="E2710" s="98">
        <v>0</v>
      </c>
      <c r="F2710" s="120">
        <v>0</v>
      </c>
      <c r="G2710" s="121">
        <v>1028</v>
      </c>
      <c r="H2710" s="123">
        <v>0</v>
      </c>
      <c r="I2710" s="122">
        <v>0</v>
      </c>
      <c r="J2710" s="124">
        <f t="shared" si="42"/>
        <v>0</v>
      </c>
    </row>
    <row r="2711" spans="1:10" ht="15" customHeight="1" x14ac:dyDescent="0.2">
      <c r="A2711" s="120" t="s">
        <v>7577</v>
      </c>
      <c r="B2711" s="120" t="s">
        <v>4584</v>
      </c>
      <c r="C2711" s="98" t="s">
        <v>3533</v>
      </c>
      <c r="D2711" s="120" t="s">
        <v>3534</v>
      </c>
      <c r="E2711" s="98">
        <v>0</v>
      </c>
      <c r="F2711" s="120">
        <v>0</v>
      </c>
      <c r="G2711" s="121">
        <v>205</v>
      </c>
      <c r="H2711" s="123">
        <v>0</v>
      </c>
      <c r="I2711" s="122">
        <v>0</v>
      </c>
      <c r="J2711" s="124">
        <f t="shared" si="42"/>
        <v>0</v>
      </c>
    </row>
    <row r="2712" spans="1:10" ht="15" customHeight="1" x14ac:dyDescent="0.2">
      <c r="A2712" s="120" t="s">
        <v>7578</v>
      </c>
      <c r="B2712" s="120" t="s">
        <v>3532</v>
      </c>
      <c r="C2712" s="98" t="s">
        <v>3532</v>
      </c>
      <c r="D2712" s="120" t="s">
        <v>3534</v>
      </c>
      <c r="E2712" s="98">
        <v>0</v>
      </c>
      <c r="F2712" s="120">
        <v>0</v>
      </c>
      <c r="G2712" s="121">
        <v>12086</v>
      </c>
      <c r="H2712" s="123">
        <v>0</v>
      </c>
      <c r="I2712" s="122">
        <v>0</v>
      </c>
      <c r="J2712" s="124">
        <f t="shared" si="42"/>
        <v>0</v>
      </c>
    </row>
    <row r="2713" spans="1:10" ht="15" customHeight="1" x14ac:dyDescent="0.2">
      <c r="A2713" s="120" t="s">
        <v>7579</v>
      </c>
      <c r="B2713" s="120" t="s">
        <v>4621</v>
      </c>
      <c r="C2713" s="98" t="s">
        <v>3533</v>
      </c>
      <c r="D2713" s="120" t="s">
        <v>3534</v>
      </c>
      <c r="E2713" s="98">
        <v>0</v>
      </c>
      <c r="F2713" s="120">
        <v>0</v>
      </c>
      <c r="G2713" s="121">
        <v>10050</v>
      </c>
      <c r="H2713" s="123">
        <v>0</v>
      </c>
      <c r="I2713" s="122">
        <v>0</v>
      </c>
      <c r="J2713" s="124">
        <f t="shared" si="42"/>
        <v>0</v>
      </c>
    </row>
    <row r="2714" spans="1:10" ht="15" customHeight="1" x14ac:dyDescent="0.2">
      <c r="A2714" s="120" t="s">
        <v>7580</v>
      </c>
      <c r="B2714" s="120" t="s">
        <v>4584</v>
      </c>
      <c r="C2714" s="98" t="s">
        <v>3533</v>
      </c>
      <c r="D2714" s="120" t="s">
        <v>3534</v>
      </c>
      <c r="E2714" s="98">
        <v>0</v>
      </c>
      <c r="F2714" s="120">
        <v>0</v>
      </c>
      <c r="G2714" s="121">
        <v>501</v>
      </c>
      <c r="H2714" s="123">
        <v>0</v>
      </c>
      <c r="I2714" s="122">
        <v>0</v>
      </c>
      <c r="J2714" s="124">
        <f t="shared" si="42"/>
        <v>0</v>
      </c>
    </row>
    <row r="2715" spans="1:10" ht="15" customHeight="1" x14ac:dyDescent="0.2">
      <c r="A2715" s="120" t="s">
        <v>7581</v>
      </c>
      <c r="B2715" s="120" t="s">
        <v>3532</v>
      </c>
      <c r="C2715" s="98" t="s">
        <v>3533</v>
      </c>
      <c r="D2715" s="120" t="s">
        <v>3534</v>
      </c>
      <c r="E2715" s="98">
        <v>0</v>
      </c>
      <c r="F2715" s="120">
        <v>0</v>
      </c>
      <c r="G2715" s="121">
        <v>0</v>
      </c>
      <c r="H2715" s="123">
        <v>0</v>
      </c>
      <c r="I2715" s="122">
        <v>0</v>
      </c>
      <c r="J2715" s="124">
        <f t="shared" si="42"/>
        <v>0</v>
      </c>
    </row>
    <row r="2716" spans="1:10" ht="15" customHeight="1" x14ac:dyDescent="0.2">
      <c r="A2716" s="120" t="s">
        <v>7582</v>
      </c>
      <c r="B2716" s="120" t="s">
        <v>4584</v>
      </c>
      <c r="C2716" s="98" t="s">
        <v>3533</v>
      </c>
      <c r="D2716" s="120" t="s">
        <v>3534</v>
      </c>
      <c r="E2716" s="98">
        <v>0</v>
      </c>
      <c r="F2716" s="120">
        <v>0</v>
      </c>
      <c r="G2716" s="121">
        <v>190</v>
      </c>
      <c r="H2716" s="123">
        <v>0</v>
      </c>
      <c r="I2716" s="122">
        <v>0</v>
      </c>
      <c r="J2716" s="124">
        <f t="shared" si="42"/>
        <v>0</v>
      </c>
    </row>
    <row r="2717" spans="1:10" ht="15" customHeight="1" x14ac:dyDescent="0.2">
      <c r="A2717" s="120" t="s">
        <v>7583</v>
      </c>
      <c r="B2717" s="120" t="s">
        <v>4584</v>
      </c>
      <c r="C2717" s="98" t="s">
        <v>3533</v>
      </c>
      <c r="D2717" s="120" t="s">
        <v>3534</v>
      </c>
      <c r="E2717" s="98">
        <v>0</v>
      </c>
      <c r="F2717" s="120">
        <v>0</v>
      </c>
      <c r="G2717" s="121">
        <v>803</v>
      </c>
      <c r="H2717" s="123">
        <v>0</v>
      </c>
      <c r="I2717" s="122">
        <v>0</v>
      </c>
      <c r="J2717" s="124">
        <f t="shared" si="42"/>
        <v>0</v>
      </c>
    </row>
    <row r="2718" spans="1:10" ht="15" customHeight="1" x14ac:dyDescent="0.2">
      <c r="A2718" s="120" t="s">
        <v>7584</v>
      </c>
      <c r="B2718" s="120" t="s">
        <v>3532</v>
      </c>
      <c r="C2718" s="98" t="s">
        <v>3533</v>
      </c>
      <c r="D2718" s="120" t="s">
        <v>3534</v>
      </c>
      <c r="E2718" s="98">
        <v>0.17730000000000001</v>
      </c>
      <c r="F2718" s="120">
        <v>0</v>
      </c>
      <c r="G2718" s="121">
        <v>481</v>
      </c>
      <c r="H2718" s="123">
        <v>0.17730000000000001</v>
      </c>
      <c r="I2718" s="122">
        <v>85.281300000000002</v>
      </c>
      <c r="J2718" s="124">
        <f t="shared" si="42"/>
        <v>0.17730000000000001</v>
      </c>
    </row>
    <row r="2719" spans="1:10" ht="15" customHeight="1" x14ac:dyDescent="0.2">
      <c r="A2719" s="120" t="s">
        <v>7585</v>
      </c>
      <c r="B2719" s="120" t="s">
        <v>3532</v>
      </c>
      <c r="C2719" s="98" t="s">
        <v>3533</v>
      </c>
      <c r="D2719" s="120" t="s">
        <v>3534</v>
      </c>
      <c r="E2719" s="98">
        <v>0.17743928571428602</v>
      </c>
      <c r="F2719" s="120">
        <v>0</v>
      </c>
      <c r="G2719" s="121">
        <v>2863</v>
      </c>
      <c r="H2719" s="123">
        <v>0.17743900000000001</v>
      </c>
      <c r="I2719" s="122">
        <v>508.00785700000006</v>
      </c>
      <c r="J2719" s="124">
        <f t="shared" si="42"/>
        <v>0.17743928571428602</v>
      </c>
    </row>
    <row r="2720" spans="1:10" ht="15" customHeight="1" x14ac:dyDescent="0.2">
      <c r="A2720" s="120" t="s">
        <v>7586</v>
      </c>
      <c r="B2720" s="120" t="s">
        <v>3615</v>
      </c>
      <c r="C2720" s="98" t="s">
        <v>3533</v>
      </c>
      <c r="D2720" s="120" t="s">
        <v>3534</v>
      </c>
      <c r="E2720" s="98">
        <v>0.23</v>
      </c>
      <c r="F2720" s="120">
        <v>0</v>
      </c>
      <c r="G2720" s="121">
        <v>0</v>
      </c>
      <c r="H2720" s="123">
        <v>0.23</v>
      </c>
      <c r="I2720" s="122">
        <v>0</v>
      </c>
      <c r="J2720" s="124">
        <f t="shared" si="42"/>
        <v>0.23</v>
      </c>
    </row>
    <row r="2721" spans="1:11" ht="15" customHeight="1" x14ac:dyDescent="0.2">
      <c r="A2721" s="120" t="s">
        <v>7587</v>
      </c>
      <c r="B2721" s="120" t="s">
        <v>3532</v>
      </c>
      <c r="C2721" s="98" t="s">
        <v>3540</v>
      </c>
      <c r="D2721" s="120" t="s">
        <v>3534</v>
      </c>
      <c r="E2721" s="98">
        <v>0.28000000000000003</v>
      </c>
      <c r="F2721" s="120">
        <v>0</v>
      </c>
      <c r="G2721" s="121">
        <v>0</v>
      </c>
      <c r="H2721" s="123">
        <v>0.28000000000000003</v>
      </c>
      <c r="I2721" s="122">
        <v>0</v>
      </c>
      <c r="J2721" s="124">
        <f t="shared" si="42"/>
        <v>0.28000000000000003</v>
      </c>
    </row>
    <row r="2722" spans="1:11" ht="15" customHeight="1" x14ac:dyDescent="0.2">
      <c r="A2722" s="120" t="s">
        <v>7588</v>
      </c>
      <c r="B2722" s="120" t="s">
        <v>3609</v>
      </c>
      <c r="C2722" s="98" t="s">
        <v>3533</v>
      </c>
      <c r="D2722" s="120" t="s">
        <v>3534</v>
      </c>
      <c r="E2722" s="98">
        <v>0</v>
      </c>
      <c r="F2722" s="120">
        <v>0</v>
      </c>
      <c r="G2722" s="121">
        <v>0</v>
      </c>
      <c r="H2722" s="123">
        <v>0</v>
      </c>
      <c r="I2722" s="122">
        <v>0</v>
      </c>
      <c r="J2722" s="124">
        <f t="shared" si="42"/>
        <v>0</v>
      </c>
      <c r="K2722" s="98" t="s">
        <v>7589</v>
      </c>
    </row>
    <row r="2723" spans="1:11" ht="15" customHeight="1" x14ac:dyDescent="0.2">
      <c r="A2723" s="120" t="s">
        <v>7590</v>
      </c>
      <c r="B2723" s="120" t="s">
        <v>7491</v>
      </c>
      <c r="C2723" s="98" t="s">
        <v>3533</v>
      </c>
      <c r="D2723" s="120" t="s">
        <v>3534</v>
      </c>
      <c r="E2723" s="98">
        <v>0</v>
      </c>
      <c r="F2723" s="120">
        <v>0</v>
      </c>
      <c r="G2723" s="121">
        <v>0</v>
      </c>
      <c r="H2723" s="123">
        <v>0</v>
      </c>
      <c r="I2723" s="122">
        <v>0</v>
      </c>
      <c r="J2723" s="124">
        <f t="shared" si="42"/>
        <v>0</v>
      </c>
    </row>
    <row r="2724" spans="1:11" ht="15" customHeight="1" x14ac:dyDescent="0.2">
      <c r="A2724" s="120" t="s">
        <v>7591</v>
      </c>
      <c r="B2724" s="120" t="s">
        <v>3609</v>
      </c>
      <c r="C2724" s="98" t="s">
        <v>3540</v>
      </c>
      <c r="D2724" s="120" t="s">
        <v>3534</v>
      </c>
      <c r="E2724" s="98">
        <v>0</v>
      </c>
      <c r="F2724" s="120">
        <v>0</v>
      </c>
      <c r="G2724" s="121">
        <v>0</v>
      </c>
      <c r="H2724" s="123">
        <v>0</v>
      </c>
      <c r="I2724" s="122">
        <v>0</v>
      </c>
      <c r="J2724" s="124">
        <f t="shared" si="42"/>
        <v>0</v>
      </c>
    </row>
    <row r="2725" spans="1:11" ht="15" customHeight="1" x14ac:dyDescent="0.2">
      <c r="A2725" s="120" t="s">
        <v>7592</v>
      </c>
      <c r="B2725" s="120" t="s">
        <v>7491</v>
      </c>
      <c r="C2725" s="98" t="s">
        <v>3540</v>
      </c>
      <c r="D2725" s="120" t="s">
        <v>3563</v>
      </c>
      <c r="E2725" s="98">
        <v>0</v>
      </c>
      <c r="F2725" s="120">
        <v>0</v>
      </c>
      <c r="G2725" s="121">
        <v>0</v>
      </c>
      <c r="H2725" s="123">
        <v>0</v>
      </c>
      <c r="I2725" s="122">
        <v>0</v>
      </c>
      <c r="J2725" s="124">
        <f t="shared" si="42"/>
        <v>0</v>
      </c>
    </row>
    <row r="2726" spans="1:11" ht="15" customHeight="1" x14ac:dyDescent="0.2">
      <c r="A2726" s="120" t="s">
        <v>7593</v>
      </c>
      <c r="B2726" s="120" t="s">
        <v>7491</v>
      </c>
      <c r="C2726" s="98" t="s">
        <v>3540</v>
      </c>
      <c r="D2726" s="120" t="s">
        <v>3563</v>
      </c>
      <c r="E2726" s="98">
        <v>0</v>
      </c>
      <c r="F2726" s="120">
        <v>0</v>
      </c>
      <c r="G2726" s="121">
        <v>0</v>
      </c>
      <c r="H2726" s="123">
        <v>0</v>
      </c>
      <c r="I2726" s="122">
        <v>0</v>
      </c>
      <c r="J2726" s="124">
        <f t="shared" si="42"/>
        <v>0</v>
      </c>
    </row>
    <row r="2727" spans="1:11" ht="15" customHeight="1" x14ac:dyDescent="0.2">
      <c r="A2727" s="120" t="s">
        <v>7594</v>
      </c>
      <c r="B2727" s="120" t="s">
        <v>3532</v>
      </c>
      <c r="C2727" s="98" t="s">
        <v>3532</v>
      </c>
      <c r="D2727" s="120" t="s">
        <v>3563</v>
      </c>
      <c r="E2727" s="98">
        <v>0</v>
      </c>
      <c r="F2727" s="120">
        <v>0</v>
      </c>
      <c r="G2727" s="121">
        <v>0</v>
      </c>
      <c r="H2727" s="123">
        <v>0</v>
      </c>
      <c r="I2727" s="122">
        <v>0</v>
      </c>
      <c r="J2727" s="124">
        <f t="shared" si="42"/>
        <v>0</v>
      </c>
    </row>
    <row r="2728" spans="1:11" ht="15" customHeight="1" x14ac:dyDescent="0.2">
      <c r="A2728" s="120" t="s">
        <v>7595</v>
      </c>
      <c r="B2728" s="120" t="s">
        <v>7131</v>
      </c>
      <c r="C2728" s="98" t="s">
        <v>3540</v>
      </c>
      <c r="D2728" s="120" t="s">
        <v>3534</v>
      </c>
      <c r="E2728" s="98">
        <v>3.5000000000000003E-2</v>
      </c>
      <c r="F2728" s="120">
        <v>0</v>
      </c>
      <c r="G2728" s="121">
        <v>0</v>
      </c>
      <c r="H2728" s="123">
        <v>3.5000000000000003E-2</v>
      </c>
      <c r="I2728" s="122">
        <v>0</v>
      </c>
      <c r="J2728" s="124">
        <f t="shared" si="42"/>
        <v>3.5000000000000003E-2</v>
      </c>
    </row>
    <row r="2729" spans="1:11" ht="15" customHeight="1" x14ac:dyDescent="0.2">
      <c r="A2729" s="120" t="s">
        <v>7596</v>
      </c>
      <c r="B2729" s="120" t="s">
        <v>7136</v>
      </c>
      <c r="C2729" s="98" t="s">
        <v>4066</v>
      </c>
      <c r="D2729" s="120" t="s">
        <v>3534</v>
      </c>
      <c r="E2729" s="98">
        <v>3.5000000000000003E-2</v>
      </c>
      <c r="F2729" s="120">
        <v>0</v>
      </c>
      <c r="G2729" s="121">
        <v>0</v>
      </c>
      <c r="H2729" s="123">
        <v>3.5000000000000003E-2</v>
      </c>
      <c r="I2729" s="122">
        <v>0</v>
      </c>
      <c r="J2729" s="124">
        <f t="shared" si="42"/>
        <v>3.5000000000000003E-2</v>
      </c>
    </row>
    <row r="2730" spans="1:11" ht="15" customHeight="1" x14ac:dyDescent="0.2">
      <c r="A2730" s="120" t="s">
        <v>7597</v>
      </c>
      <c r="B2730" s="120" t="s">
        <v>7598</v>
      </c>
      <c r="C2730" s="98" t="s">
        <v>3532</v>
      </c>
      <c r="D2730" s="120" t="s">
        <v>3534</v>
      </c>
      <c r="E2730" s="98">
        <v>0.3</v>
      </c>
      <c r="F2730" s="120">
        <v>0</v>
      </c>
      <c r="G2730" s="121">
        <v>0</v>
      </c>
      <c r="H2730" s="123">
        <v>0.3</v>
      </c>
      <c r="I2730" s="122">
        <v>0</v>
      </c>
      <c r="J2730" s="124">
        <f t="shared" si="42"/>
        <v>0.3</v>
      </c>
    </row>
    <row r="2731" spans="1:11" ht="15" customHeight="1" x14ac:dyDescent="0.2">
      <c r="A2731" s="120" t="s">
        <v>7599</v>
      </c>
      <c r="B2731" s="120" t="s">
        <v>3532</v>
      </c>
      <c r="C2731" s="98" t="s">
        <v>3532</v>
      </c>
      <c r="D2731" s="120" t="s">
        <v>3534</v>
      </c>
      <c r="E2731" s="98">
        <v>0</v>
      </c>
      <c r="F2731" s="120">
        <v>0</v>
      </c>
      <c r="G2731" s="121">
        <v>425</v>
      </c>
      <c r="H2731" s="123">
        <v>0</v>
      </c>
      <c r="I2731" s="122">
        <v>0</v>
      </c>
      <c r="J2731" s="124">
        <f t="shared" si="42"/>
        <v>0</v>
      </c>
    </row>
    <row r="2732" spans="1:11" ht="15" customHeight="1" x14ac:dyDescent="0.2">
      <c r="A2732" s="120" t="s">
        <v>7600</v>
      </c>
      <c r="B2732" s="120" t="s">
        <v>3532</v>
      </c>
      <c r="C2732" s="98" t="s">
        <v>3533</v>
      </c>
      <c r="D2732" s="120" t="s">
        <v>3534</v>
      </c>
      <c r="E2732" s="98">
        <v>0</v>
      </c>
      <c r="F2732" s="120">
        <v>0</v>
      </c>
      <c r="G2732" s="121">
        <v>784</v>
      </c>
      <c r="H2732" s="123">
        <v>0</v>
      </c>
      <c r="I2732" s="122">
        <v>0</v>
      </c>
      <c r="J2732" s="124">
        <f t="shared" si="42"/>
        <v>0</v>
      </c>
    </row>
    <row r="2733" spans="1:11" ht="15" customHeight="1" x14ac:dyDescent="0.2">
      <c r="A2733" s="120" t="s">
        <v>7601</v>
      </c>
      <c r="B2733" s="120" t="s">
        <v>3532</v>
      </c>
      <c r="C2733" s="98" t="s">
        <v>3540</v>
      </c>
      <c r="D2733" s="120" t="s">
        <v>3534</v>
      </c>
      <c r="E2733" s="98">
        <v>0</v>
      </c>
      <c r="F2733" s="120">
        <v>0</v>
      </c>
      <c r="G2733" s="121">
        <v>0</v>
      </c>
      <c r="H2733" s="123">
        <v>0</v>
      </c>
      <c r="I2733" s="122">
        <v>0</v>
      </c>
      <c r="J2733" s="124">
        <f t="shared" si="42"/>
        <v>0</v>
      </c>
    </row>
    <row r="2734" spans="1:11" ht="15" customHeight="1" x14ac:dyDescent="0.2">
      <c r="A2734" s="120" t="s">
        <v>7602</v>
      </c>
      <c r="B2734" s="120" t="s">
        <v>7603</v>
      </c>
      <c r="C2734" s="98" t="s">
        <v>3533</v>
      </c>
      <c r="D2734" s="120" t="s">
        <v>3534</v>
      </c>
      <c r="E2734" s="98">
        <v>0</v>
      </c>
      <c r="F2734" s="120">
        <v>0</v>
      </c>
      <c r="G2734" s="121">
        <v>574</v>
      </c>
      <c r="H2734" s="123">
        <v>0</v>
      </c>
      <c r="I2734" s="122">
        <v>0</v>
      </c>
      <c r="J2734" s="124">
        <f t="shared" si="42"/>
        <v>0</v>
      </c>
    </row>
    <row r="2735" spans="1:11" ht="15" customHeight="1" x14ac:dyDescent="0.2">
      <c r="A2735" s="120" t="s">
        <v>7604</v>
      </c>
      <c r="B2735" s="120" t="s">
        <v>7603</v>
      </c>
      <c r="C2735" s="98" t="s">
        <v>3533</v>
      </c>
      <c r="D2735" s="120" t="s">
        <v>3534</v>
      </c>
      <c r="E2735" s="98">
        <v>0</v>
      </c>
      <c r="F2735" s="120">
        <v>0</v>
      </c>
      <c r="G2735" s="121">
        <v>0</v>
      </c>
      <c r="H2735" s="123">
        <v>0</v>
      </c>
      <c r="I2735" s="122">
        <v>0</v>
      </c>
      <c r="J2735" s="124">
        <f t="shared" si="42"/>
        <v>0</v>
      </c>
    </row>
    <row r="2736" spans="1:11" ht="15" customHeight="1" x14ac:dyDescent="0.2">
      <c r="A2736" s="120" t="s">
        <v>7605</v>
      </c>
      <c r="B2736" s="120" t="s">
        <v>3532</v>
      </c>
      <c r="C2736" s="98" t="s">
        <v>3533</v>
      </c>
      <c r="D2736" s="120" t="s">
        <v>3534</v>
      </c>
      <c r="E2736" s="98">
        <v>0</v>
      </c>
      <c r="F2736" s="120">
        <v>0</v>
      </c>
      <c r="G2736" s="121">
        <v>1290</v>
      </c>
      <c r="H2736" s="123">
        <v>0</v>
      </c>
      <c r="I2736" s="122">
        <v>0</v>
      </c>
      <c r="J2736" s="124">
        <f t="shared" si="42"/>
        <v>0</v>
      </c>
    </row>
    <row r="2737" spans="1:10" ht="15" customHeight="1" x14ac:dyDescent="0.2">
      <c r="A2737" s="120" t="s">
        <v>7606</v>
      </c>
      <c r="B2737" s="120" t="s">
        <v>3532</v>
      </c>
      <c r="C2737" s="98" t="s">
        <v>3533</v>
      </c>
      <c r="D2737" s="120" t="s">
        <v>3534</v>
      </c>
      <c r="E2737" s="98">
        <v>0</v>
      </c>
      <c r="F2737" s="120">
        <v>0</v>
      </c>
      <c r="G2737" s="121">
        <v>1428</v>
      </c>
      <c r="H2737" s="123">
        <v>0</v>
      </c>
      <c r="I2737" s="122">
        <v>0</v>
      </c>
      <c r="J2737" s="124">
        <f t="shared" si="42"/>
        <v>0</v>
      </c>
    </row>
    <row r="2738" spans="1:10" ht="15" customHeight="1" x14ac:dyDescent="0.2">
      <c r="A2738" s="120" t="s">
        <v>7607</v>
      </c>
      <c r="B2738" s="120" t="s">
        <v>3532</v>
      </c>
      <c r="C2738" s="98" t="s">
        <v>3533</v>
      </c>
      <c r="D2738" s="120" t="s">
        <v>3534</v>
      </c>
      <c r="E2738" s="98">
        <v>0</v>
      </c>
      <c r="F2738" s="120">
        <v>0</v>
      </c>
      <c r="G2738" s="121">
        <v>35</v>
      </c>
      <c r="H2738" s="123">
        <v>0</v>
      </c>
      <c r="I2738" s="122">
        <v>0</v>
      </c>
      <c r="J2738" s="124">
        <f t="shared" si="42"/>
        <v>0</v>
      </c>
    </row>
    <row r="2739" spans="1:10" ht="15" customHeight="1" x14ac:dyDescent="0.2">
      <c r="A2739" s="120" t="s">
        <v>7607</v>
      </c>
      <c r="B2739" s="120" t="s">
        <v>3532</v>
      </c>
      <c r="C2739" s="98" t="s">
        <v>3532</v>
      </c>
      <c r="D2739" s="120" t="s">
        <v>3534</v>
      </c>
      <c r="E2739" s="98">
        <v>0</v>
      </c>
      <c r="F2739" s="120">
        <v>0</v>
      </c>
      <c r="G2739" s="121">
        <v>0</v>
      </c>
      <c r="H2739" s="123">
        <v>0</v>
      </c>
      <c r="I2739" s="122">
        <v>0</v>
      </c>
      <c r="J2739" s="124">
        <f t="shared" si="42"/>
        <v>0</v>
      </c>
    </row>
    <row r="2740" spans="1:10" ht="15" customHeight="1" x14ac:dyDescent="0.2">
      <c r="A2740" s="120" t="s">
        <v>7608</v>
      </c>
      <c r="B2740" s="120" t="s">
        <v>4584</v>
      </c>
      <c r="C2740" s="98" t="s">
        <v>3533</v>
      </c>
      <c r="D2740" s="120" t="s">
        <v>3534</v>
      </c>
      <c r="E2740" s="98">
        <v>0</v>
      </c>
      <c r="F2740" s="120">
        <v>0</v>
      </c>
      <c r="G2740" s="121">
        <v>0</v>
      </c>
      <c r="H2740" s="123">
        <v>0</v>
      </c>
      <c r="I2740" s="122">
        <v>0</v>
      </c>
      <c r="J2740" s="124">
        <f t="shared" si="42"/>
        <v>0</v>
      </c>
    </row>
    <row r="2741" spans="1:10" ht="15" customHeight="1" x14ac:dyDescent="0.2">
      <c r="A2741" s="120" t="s">
        <v>7604</v>
      </c>
      <c r="B2741" s="120" t="s">
        <v>3532</v>
      </c>
      <c r="C2741" s="98" t="s">
        <v>3533</v>
      </c>
      <c r="D2741" s="120" t="s">
        <v>3534</v>
      </c>
      <c r="E2741" s="98">
        <v>0</v>
      </c>
      <c r="F2741" s="120">
        <v>0</v>
      </c>
      <c r="G2741" s="121">
        <v>106</v>
      </c>
      <c r="H2741" s="123">
        <v>0</v>
      </c>
      <c r="I2741" s="122">
        <v>0</v>
      </c>
      <c r="J2741" s="124">
        <f t="shared" si="42"/>
        <v>0</v>
      </c>
    </row>
    <row r="2742" spans="1:10" ht="15" customHeight="1" x14ac:dyDescent="0.2">
      <c r="A2742" s="120" t="s">
        <v>7609</v>
      </c>
      <c r="B2742" s="120" t="s">
        <v>7603</v>
      </c>
      <c r="C2742" s="98" t="s">
        <v>3533</v>
      </c>
      <c r="D2742" s="120" t="s">
        <v>3534</v>
      </c>
      <c r="E2742" s="98">
        <v>0</v>
      </c>
      <c r="F2742" s="120">
        <v>0</v>
      </c>
      <c r="G2742" s="121">
        <v>141</v>
      </c>
      <c r="H2742" s="123">
        <v>0</v>
      </c>
      <c r="I2742" s="122">
        <v>0</v>
      </c>
      <c r="J2742" s="124">
        <f t="shared" si="42"/>
        <v>0</v>
      </c>
    </row>
    <row r="2743" spans="1:10" ht="15" customHeight="1" x14ac:dyDescent="0.2">
      <c r="A2743" s="120" t="s">
        <v>7610</v>
      </c>
      <c r="B2743" s="120" t="s">
        <v>7603</v>
      </c>
      <c r="C2743" s="98" t="s">
        <v>3533</v>
      </c>
      <c r="D2743" s="120" t="s">
        <v>3534</v>
      </c>
      <c r="E2743" s="98">
        <v>0</v>
      </c>
      <c r="F2743" s="120">
        <v>0</v>
      </c>
      <c r="G2743" s="121">
        <v>228</v>
      </c>
      <c r="H2743" s="123">
        <v>0</v>
      </c>
      <c r="I2743" s="122">
        <v>0</v>
      </c>
      <c r="J2743" s="124">
        <f t="shared" si="42"/>
        <v>0</v>
      </c>
    </row>
    <row r="2744" spans="1:10" ht="15" customHeight="1" x14ac:dyDescent="0.2">
      <c r="A2744" s="120" t="s">
        <v>7611</v>
      </c>
      <c r="B2744" s="120" t="s">
        <v>3532</v>
      </c>
      <c r="C2744" s="98" t="s">
        <v>3532</v>
      </c>
      <c r="D2744" s="120" t="s">
        <v>3534</v>
      </c>
      <c r="E2744" s="98">
        <v>0</v>
      </c>
      <c r="F2744" s="120">
        <v>0</v>
      </c>
      <c r="G2744" s="121">
        <v>0</v>
      </c>
      <c r="H2744" s="123">
        <v>0</v>
      </c>
      <c r="I2744" s="122">
        <v>0</v>
      </c>
      <c r="J2744" s="124">
        <f t="shared" si="42"/>
        <v>0</v>
      </c>
    </row>
    <row r="2745" spans="1:10" ht="15" customHeight="1" x14ac:dyDescent="0.2">
      <c r="A2745" s="120" t="s">
        <v>5103</v>
      </c>
      <c r="B2745" s="120" t="s">
        <v>3532</v>
      </c>
      <c r="C2745" s="98" t="s">
        <v>3533</v>
      </c>
      <c r="D2745" s="120" t="s">
        <v>3563</v>
      </c>
      <c r="E2745" s="98">
        <v>0</v>
      </c>
      <c r="F2745" s="120">
        <v>0</v>
      </c>
      <c r="G2745" s="121">
        <v>100890</v>
      </c>
      <c r="H2745" s="123">
        <v>0</v>
      </c>
      <c r="I2745" s="122">
        <v>0</v>
      </c>
      <c r="J2745" s="124">
        <f t="shared" si="42"/>
        <v>0</v>
      </c>
    </row>
    <row r="2746" spans="1:10" ht="15" customHeight="1" x14ac:dyDescent="0.2">
      <c r="A2746" s="120" t="s">
        <v>5777</v>
      </c>
      <c r="B2746" s="120" t="s">
        <v>3532</v>
      </c>
      <c r="C2746" s="98" t="s">
        <v>3533</v>
      </c>
      <c r="D2746" s="120" t="s">
        <v>3563</v>
      </c>
      <c r="E2746" s="98">
        <v>0</v>
      </c>
      <c r="F2746" s="120">
        <v>0</v>
      </c>
      <c r="G2746" s="121">
        <v>97075</v>
      </c>
      <c r="H2746" s="123">
        <v>0</v>
      </c>
      <c r="I2746" s="122">
        <v>0</v>
      </c>
      <c r="J2746" s="124">
        <f t="shared" si="42"/>
        <v>0</v>
      </c>
    </row>
    <row r="2747" spans="1:10" ht="15" customHeight="1" x14ac:dyDescent="0.2">
      <c r="A2747" s="120" t="s">
        <v>5104</v>
      </c>
      <c r="B2747" s="120" t="s">
        <v>3532</v>
      </c>
      <c r="C2747" s="98" t="s">
        <v>3533</v>
      </c>
      <c r="D2747" s="120" t="s">
        <v>3563</v>
      </c>
      <c r="E2747" s="98">
        <v>0</v>
      </c>
      <c r="F2747" s="120">
        <v>0</v>
      </c>
      <c r="G2747" s="121">
        <v>56200</v>
      </c>
      <c r="H2747" s="123">
        <v>0</v>
      </c>
      <c r="I2747" s="122">
        <v>0</v>
      </c>
      <c r="J2747" s="124">
        <f t="shared" si="42"/>
        <v>0</v>
      </c>
    </row>
    <row r="2748" spans="1:10" ht="15" customHeight="1" x14ac:dyDescent="0.2">
      <c r="A2748" s="120" t="s">
        <v>5105</v>
      </c>
      <c r="B2748" s="120" t="s">
        <v>3532</v>
      </c>
      <c r="C2748" s="98" t="s">
        <v>3533</v>
      </c>
      <c r="D2748" s="120" t="s">
        <v>3563</v>
      </c>
      <c r="E2748" s="98">
        <v>0</v>
      </c>
      <c r="F2748" s="120">
        <v>0</v>
      </c>
      <c r="G2748" s="121">
        <v>55915</v>
      </c>
      <c r="H2748" s="123">
        <v>0</v>
      </c>
      <c r="I2748" s="122">
        <v>0</v>
      </c>
      <c r="J2748" s="124">
        <f t="shared" si="42"/>
        <v>0</v>
      </c>
    </row>
    <row r="2749" spans="1:10" ht="15" customHeight="1" x14ac:dyDescent="0.2">
      <c r="A2749" s="120" t="s">
        <v>5574</v>
      </c>
      <c r="B2749" s="120" t="s">
        <v>3532</v>
      </c>
      <c r="C2749" s="98" t="s">
        <v>3533</v>
      </c>
      <c r="D2749" s="120" t="s">
        <v>3563</v>
      </c>
      <c r="E2749" s="98">
        <v>0</v>
      </c>
      <c r="F2749" s="120">
        <v>0</v>
      </c>
      <c r="G2749" s="121">
        <v>42160</v>
      </c>
      <c r="H2749" s="123">
        <v>0</v>
      </c>
      <c r="I2749" s="122">
        <v>0</v>
      </c>
      <c r="J2749" s="124">
        <f t="shared" si="42"/>
        <v>0</v>
      </c>
    </row>
    <row r="2750" spans="1:10" ht="15" customHeight="1" x14ac:dyDescent="0.2">
      <c r="A2750" s="120" t="s">
        <v>7612</v>
      </c>
      <c r="B2750" s="120" t="s">
        <v>3532</v>
      </c>
      <c r="C2750" s="98" t="s">
        <v>3533</v>
      </c>
      <c r="D2750" s="120" t="s">
        <v>3563</v>
      </c>
      <c r="E2750" s="98">
        <v>0</v>
      </c>
      <c r="F2750" s="120">
        <v>0</v>
      </c>
      <c r="G2750" s="121">
        <v>32480</v>
      </c>
      <c r="H2750" s="123">
        <v>0</v>
      </c>
      <c r="I2750" s="122">
        <v>0</v>
      </c>
      <c r="J2750" s="124">
        <f t="shared" si="42"/>
        <v>0</v>
      </c>
    </row>
    <row r="2751" spans="1:10" ht="15" customHeight="1" x14ac:dyDescent="0.2">
      <c r="A2751" s="120" t="s">
        <v>6563</v>
      </c>
      <c r="B2751" s="120" t="s">
        <v>3532</v>
      </c>
      <c r="C2751" s="98" t="s">
        <v>3533</v>
      </c>
      <c r="D2751" s="120" t="s">
        <v>3563</v>
      </c>
      <c r="E2751" s="98">
        <v>0</v>
      </c>
      <c r="F2751" s="120">
        <v>0</v>
      </c>
      <c r="G2751" s="121">
        <v>6000</v>
      </c>
      <c r="H2751" s="123">
        <v>0</v>
      </c>
      <c r="I2751" s="122">
        <v>0</v>
      </c>
      <c r="J2751" s="124">
        <f t="shared" si="42"/>
        <v>0</v>
      </c>
    </row>
    <row r="2752" spans="1:10" ht="15" customHeight="1" x14ac:dyDescent="0.2">
      <c r="A2752" s="120" t="s">
        <v>7613</v>
      </c>
      <c r="B2752" s="120" t="s">
        <v>3532</v>
      </c>
      <c r="C2752" s="98" t="s">
        <v>3533</v>
      </c>
      <c r="D2752" s="120" t="s">
        <v>3563</v>
      </c>
      <c r="E2752" s="98">
        <v>0</v>
      </c>
      <c r="F2752" s="120">
        <v>0</v>
      </c>
      <c r="G2752" s="121">
        <v>18665</v>
      </c>
      <c r="H2752" s="123">
        <v>0</v>
      </c>
      <c r="I2752" s="122">
        <v>0</v>
      </c>
      <c r="J2752" s="124">
        <f t="shared" si="42"/>
        <v>0</v>
      </c>
    </row>
    <row r="2753" spans="1:10" ht="15" customHeight="1" x14ac:dyDescent="0.2">
      <c r="A2753" s="120" t="s">
        <v>7614</v>
      </c>
      <c r="B2753" s="120" t="s">
        <v>3532</v>
      </c>
      <c r="C2753" s="98" t="s">
        <v>3533</v>
      </c>
      <c r="D2753" s="120" t="s">
        <v>3563</v>
      </c>
      <c r="E2753" s="98">
        <v>0</v>
      </c>
      <c r="F2753" s="120">
        <v>0</v>
      </c>
      <c r="G2753" s="121">
        <v>28235</v>
      </c>
      <c r="H2753" s="123">
        <v>0</v>
      </c>
      <c r="I2753" s="122">
        <v>0</v>
      </c>
      <c r="J2753" s="124">
        <f t="shared" si="42"/>
        <v>0</v>
      </c>
    </row>
    <row r="2754" spans="1:10" ht="15" customHeight="1" x14ac:dyDescent="0.2">
      <c r="A2754" s="120" t="s">
        <v>6406</v>
      </c>
      <c r="B2754" s="120" t="s">
        <v>3532</v>
      </c>
      <c r="C2754" s="98" t="s">
        <v>3532</v>
      </c>
      <c r="D2754" s="120" t="s">
        <v>3563</v>
      </c>
      <c r="E2754" s="98">
        <v>0</v>
      </c>
      <c r="F2754" s="120">
        <v>0</v>
      </c>
      <c r="G2754" s="121">
        <v>36755</v>
      </c>
      <c r="H2754" s="123">
        <v>0</v>
      </c>
      <c r="I2754" s="122">
        <v>0</v>
      </c>
      <c r="J2754" s="124">
        <f t="shared" ref="J2754:J2817" si="43">IF(D2754="gm", E2754*1000,+E2754)</f>
        <v>0</v>
      </c>
    </row>
    <row r="2755" spans="1:10" ht="15" customHeight="1" x14ac:dyDescent="0.2">
      <c r="A2755" s="120" t="s">
        <v>6145</v>
      </c>
      <c r="B2755" s="120" t="s">
        <v>3532</v>
      </c>
      <c r="C2755" s="98" t="s">
        <v>3533</v>
      </c>
      <c r="D2755" s="120" t="s">
        <v>3563</v>
      </c>
      <c r="E2755" s="98">
        <v>0</v>
      </c>
      <c r="F2755" s="120">
        <v>0</v>
      </c>
      <c r="G2755" s="121">
        <v>32485</v>
      </c>
      <c r="H2755" s="123">
        <v>0</v>
      </c>
      <c r="I2755" s="122">
        <v>0</v>
      </c>
      <c r="J2755" s="124">
        <f t="shared" si="43"/>
        <v>0</v>
      </c>
    </row>
    <row r="2756" spans="1:10" ht="15" customHeight="1" x14ac:dyDescent="0.2">
      <c r="A2756" s="120" t="s">
        <v>6452</v>
      </c>
      <c r="B2756" s="120" t="s">
        <v>3532</v>
      </c>
      <c r="C2756" s="98" t="s">
        <v>3533</v>
      </c>
      <c r="D2756" s="120" t="s">
        <v>3563</v>
      </c>
      <c r="E2756" s="98">
        <v>0</v>
      </c>
      <c r="F2756" s="120">
        <v>0</v>
      </c>
      <c r="G2756" s="121">
        <v>18000</v>
      </c>
      <c r="H2756" s="123">
        <v>0</v>
      </c>
      <c r="I2756" s="122">
        <v>0</v>
      </c>
      <c r="J2756" s="124">
        <f t="shared" si="43"/>
        <v>0</v>
      </c>
    </row>
    <row r="2757" spans="1:10" ht="15" customHeight="1" x14ac:dyDescent="0.2">
      <c r="A2757" s="120" t="s">
        <v>7615</v>
      </c>
      <c r="B2757" s="120" t="s">
        <v>3532</v>
      </c>
      <c r="C2757" s="98" t="s">
        <v>3533</v>
      </c>
      <c r="D2757" s="120" t="s">
        <v>3563</v>
      </c>
      <c r="E2757" s="98">
        <v>0</v>
      </c>
      <c r="F2757" s="120">
        <v>0</v>
      </c>
      <c r="G2757" s="121">
        <v>15590</v>
      </c>
      <c r="H2757" s="123">
        <v>0</v>
      </c>
      <c r="I2757" s="122">
        <v>0</v>
      </c>
      <c r="J2757" s="124">
        <f t="shared" si="43"/>
        <v>0</v>
      </c>
    </row>
    <row r="2758" spans="1:10" ht="15" customHeight="1" x14ac:dyDescent="0.2">
      <c r="A2758" s="120" t="s">
        <v>7616</v>
      </c>
      <c r="B2758" s="120" t="s">
        <v>3532</v>
      </c>
      <c r="C2758" s="98" t="s">
        <v>3533</v>
      </c>
      <c r="D2758" s="120" t="s">
        <v>3563</v>
      </c>
      <c r="E2758" s="98">
        <v>0</v>
      </c>
      <c r="F2758" s="120">
        <v>0</v>
      </c>
      <c r="G2758" s="121">
        <v>16335</v>
      </c>
      <c r="H2758" s="123">
        <v>0</v>
      </c>
      <c r="I2758" s="122">
        <v>0</v>
      </c>
      <c r="J2758" s="124">
        <f t="shared" si="43"/>
        <v>0</v>
      </c>
    </row>
    <row r="2759" spans="1:10" ht="15" customHeight="1" x14ac:dyDescent="0.2">
      <c r="A2759" s="120" t="s">
        <v>7617</v>
      </c>
      <c r="B2759" s="120" t="s">
        <v>7603</v>
      </c>
      <c r="C2759" s="98" t="s">
        <v>3533</v>
      </c>
      <c r="D2759" s="120" t="s">
        <v>3563</v>
      </c>
      <c r="E2759" s="98">
        <v>0</v>
      </c>
      <c r="F2759" s="120">
        <v>0</v>
      </c>
      <c r="G2759" s="121">
        <v>23090</v>
      </c>
      <c r="H2759" s="123">
        <v>0</v>
      </c>
      <c r="I2759" s="122">
        <v>0</v>
      </c>
      <c r="J2759" s="124">
        <f t="shared" si="43"/>
        <v>0</v>
      </c>
    </row>
    <row r="2760" spans="1:10" ht="15" customHeight="1" x14ac:dyDescent="0.2">
      <c r="A2760" s="120" t="s">
        <v>5106</v>
      </c>
      <c r="B2760" s="120" t="s">
        <v>3532</v>
      </c>
      <c r="C2760" s="98" t="s">
        <v>3533</v>
      </c>
      <c r="D2760" s="120" t="s">
        <v>3563</v>
      </c>
      <c r="E2760" s="98">
        <v>0</v>
      </c>
      <c r="F2760" s="120">
        <v>0</v>
      </c>
      <c r="G2760" s="121">
        <v>20959</v>
      </c>
      <c r="H2760" s="123">
        <v>0</v>
      </c>
      <c r="I2760" s="122">
        <v>0</v>
      </c>
      <c r="J2760" s="124">
        <f t="shared" si="43"/>
        <v>0</v>
      </c>
    </row>
    <row r="2761" spans="1:10" ht="15" customHeight="1" x14ac:dyDescent="0.2">
      <c r="A2761" s="120" t="s">
        <v>5514</v>
      </c>
      <c r="B2761" s="120" t="s">
        <v>3532</v>
      </c>
      <c r="C2761" s="98" t="s">
        <v>3533</v>
      </c>
      <c r="D2761" s="120" t="s">
        <v>3563</v>
      </c>
      <c r="E2761" s="98">
        <v>0</v>
      </c>
      <c r="F2761" s="120">
        <v>0</v>
      </c>
      <c r="G2761" s="121">
        <v>4256</v>
      </c>
      <c r="H2761" s="123">
        <v>0</v>
      </c>
      <c r="I2761" s="122">
        <v>0</v>
      </c>
      <c r="J2761" s="124">
        <f t="shared" si="43"/>
        <v>0</v>
      </c>
    </row>
    <row r="2762" spans="1:10" ht="15" customHeight="1" x14ac:dyDescent="0.2">
      <c r="A2762" s="120" t="s">
        <v>7618</v>
      </c>
      <c r="B2762" s="120" t="s">
        <v>7603</v>
      </c>
      <c r="C2762" s="98" t="s">
        <v>3533</v>
      </c>
      <c r="D2762" s="120" t="s">
        <v>3563</v>
      </c>
      <c r="E2762" s="98">
        <v>0</v>
      </c>
      <c r="F2762" s="120">
        <v>0</v>
      </c>
      <c r="G2762" s="121">
        <v>9040</v>
      </c>
      <c r="H2762" s="123">
        <v>0</v>
      </c>
      <c r="I2762" s="122">
        <v>0</v>
      </c>
      <c r="J2762" s="124">
        <f t="shared" si="43"/>
        <v>0</v>
      </c>
    </row>
    <row r="2763" spans="1:10" ht="15" customHeight="1" x14ac:dyDescent="0.2">
      <c r="A2763" s="120" t="s">
        <v>7619</v>
      </c>
      <c r="B2763" s="120" t="s">
        <v>3532</v>
      </c>
      <c r="C2763" s="98" t="s">
        <v>3533</v>
      </c>
      <c r="D2763" s="120" t="s">
        <v>3563</v>
      </c>
      <c r="E2763" s="98">
        <v>0</v>
      </c>
      <c r="F2763" s="120">
        <v>0</v>
      </c>
      <c r="G2763" s="121">
        <v>120</v>
      </c>
      <c r="H2763" s="123">
        <v>0</v>
      </c>
      <c r="I2763" s="122">
        <v>0</v>
      </c>
      <c r="J2763" s="124">
        <f t="shared" si="43"/>
        <v>0</v>
      </c>
    </row>
    <row r="2764" spans="1:10" ht="15" customHeight="1" x14ac:dyDescent="0.2">
      <c r="A2764" s="120" t="s">
        <v>7620</v>
      </c>
      <c r="B2764" s="120" t="s">
        <v>3532</v>
      </c>
      <c r="C2764" s="98" t="s">
        <v>3533</v>
      </c>
      <c r="D2764" s="120" t="s">
        <v>3563</v>
      </c>
      <c r="E2764" s="98">
        <v>0</v>
      </c>
      <c r="F2764" s="120">
        <v>0</v>
      </c>
      <c r="G2764" s="121">
        <v>28050</v>
      </c>
      <c r="H2764" s="123">
        <v>0</v>
      </c>
      <c r="I2764" s="122">
        <v>0</v>
      </c>
      <c r="J2764" s="124">
        <f t="shared" si="43"/>
        <v>0</v>
      </c>
    </row>
    <row r="2765" spans="1:10" ht="15" customHeight="1" x14ac:dyDescent="0.2">
      <c r="A2765" s="120" t="s">
        <v>5573</v>
      </c>
      <c r="B2765" s="120" t="s">
        <v>3532</v>
      </c>
      <c r="C2765" s="98" t="s">
        <v>3533</v>
      </c>
      <c r="D2765" s="120" t="s">
        <v>3563</v>
      </c>
      <c r="E2765" s="98">
        <v>0</v>
      </c>
      <c r="F2765" s="120">
        <v>0</v>
      </c>
      <c r="G2765" s="121">
        <v>13765</v>
      </c>
      <c r="H2765" s="123">
        <v>0</v>
      </c>
      <c r="I2765" s="122">
        <v>0</v>
      </c>
      <c r="J2765" s="124">
        <f t="shared" si="43"/>
        <v>0</v>
      </c>
    </row>
    <row r="2766" spans="1:10" ht="15" customHeight="1" x14ac:dyDescent="0.2">
      <c r="A2766" s="120" t="s">
        <v>6306</v>
      </c>
      <c r="B2766" s="120" t="s">
        <v>7603</v>
      </c>
      <c r="C2766" s="98" t="s">
        <v>3533</v>
      </c>
      <c r="D2766" s="120" t="s">
        <v>3563</v>
      </c>
      <c r="E2766" s="98">
        <v>0</v>
      </c>
      <c r="F2766" s="120">
        <v>0</v>
      </c>
      <c r="G2766" s="121">
        <v>1095</v>
      </c>
      <c r="H2766" s="123">
        <v>0</v>
      </c>
      <c r="I2766" s="122">
        <v>0</v>
      </c>
      <c r="J2766" s="124">
        <f t="shared" si="43"/>
        <v>0</v>
      </c>
    </row>
    <row r="2767" spans="1:10" ht="15" customHeight="1" x14ac:dyDescent="0.2">
      <c r="A2767" s="120" t="s">
        <v>7621</v>
      </c>
      <c r="B2767" s="120" t="s">
        <v>3532</v>
      </c>
      <c r="C2767" s="98" t="s">
        <v>3533</v>
      </c>
      <c r="D2767" s="120" t="s">
        <v>3563</v>
      </c>
      <c r="E2767" s="98">
        <v>0</v>
      </c>
      <c r="F2767" s="120">
        <v>0</v>
      </c>
      <c r="G2767" s="121">
        <v>28509</v>
      </c>
      <c r="H2767" s="123">
        <v>0</v>
      </c>
      <c r="I2767" s="122">
        <v>0</v>
      </c>
      <c r="J2767" s="124">
        <f t="shared" si="43"/>
        <v>0</v>
      </c>
    </row>
    <row r="2768" spans="1:10" ht="15" customHeight="1" x14ac:dyDescent="0.2">
      <c r="A2768" s="120" t="s">
        <v>7622</v>
      </c>
      <c r="B2768" s="120" t="s">
        <v>3532</v>
      </c>
      <c r="C2768" s="98" t="s">
        <v>3532</v>
      </c>
      <c r="D2768" s="120" t="s">
        <v>3563</v>
      </c>
      <c r="E2768" s="98">
        <v>0</v>
      </c>
      <c r="F2768" s="120">
        <v>0</v>
      </c>
      <c r="G2768" s="121">
        <v>0</v>
      </c>
      <c r="H2768" s="123">
        <v>0</v>
      </c>
      <c r="I2768" s="122">
        <v>0</v>
      </c>
      <c r="J2768" s="124">
        <f t="shared" si="43"/>
        <v>0</v>
      </c>
    </row>
    <row r="2769" spans="1:11" ht="15" customHeight="1" x14ac:dyDescent="0.2">
      <c r="A2769" s="120" t="s">
        <v>7623</v>
      </c>
      <c r="B2769" s="120" t="s">
        <v>3532</v>
      </c>
      <c r="C2769" s="98" t="s">
        <v>3533</v>
      </c>
      <c r="D2769" s="120" t="s">
        <v>3563</v>
      </c>
      <c r="E2769" s="98">
        <v>0</v>
      </c>
      <c r="F2769" s="120">
        <v>0</v>
      </c>
      <c r="G2769" s="121">
        <v>175</v>
      </c>
      <c r="H2769" s="123">
        <v>0</v>
      </c>
      <c r="I2769" s="122">
        <v>0</v>
      </c>
      <c r="J2769" s="124">
        <f t="shared" si="43"/>
        <v>0</v>
      </c>
    </row>
    <row r="2770" spans="1:11" ht="15" customHeight="1" x14ac:dyDescent="0.2">
      <c r="A2770" s="120" t="s">
        <v>7624</v>
      </c>
      <c r="B2770" s="120" t="s">
        <v>3532</v>
      </c>
      <c r="C2770" s="98" t="s">
        <v>3532</v>
      </c>
      <c r="D2770" s="120" t="s">
        <v>3563</v>
      </c>
      <c r="E2770" s="98">
        <v>0</v>
      </c>
      <c r="F2770" s="120">
        <v>0</v>
      </c>
      <c r="G2770" s="121">
        <v>0</v>
      </c>
      <c r="H2770" s="123">
        <v>0</v>
      </c>
      <c r="I2770" s="122">
        <v>0</v>
      </c>
      <c r="J2770" s="124">
        <f t="shared" si="43"/>
        <v>0</v>
      </c>
    </row>
    <row r="2771" spans="1:11" ht="15" customHeight="1" x14ac:dyDescent="0.2">
      <c r="A2771" s="120" t="s">
        <v>7625</v>
      </c>
      <c r="B2771" s="120" t="s">
        <v>3532</v>
      </c>
      <c r="C2771" s="98" t="s">
        <v>3532</v>
      </c>
      <c r="D2771" s="120" t="s">
        <v>3563</v>
      </c>
      <c r="E2771" s="98">
        <v>0</v>
      </c>
      <c r="F2771" s="120">
        <v>0</v>
      </c>
      <c r="G2771" s="121">
        <v>0</v>
      </c>
      <c r="H2771" s="123">
        <v>0</v>
      </c>
      <c r="I2771" s="122">
        <v>0</v>
      </c>
      <c r="J2771" s="124">
        <f t="shared" si="43"/>
        <v>0</v>
      </c>
    </row>
    <row r="2772" spans="1:11" ht="15" customHeight="1" x14ac:dyDescent="0.2">
      <c r="A2772" s="120" t="s">
        <v>7626</v>
      </c>
      <c r="B2772" s="120" t="s">
        <v>3532</v>
      </c>
      <c r="C2772" s="98" t="s">
        <v>3533</v>
      </c>
      <c r="D2772" s="120" t="s">
        <v>3563</v>
      </c>
      <c r="E2772" s="98">
        <v>0</v>
      </c>
      <c r="F2772" s="120">
        <v>0</v>
      </c>
      <c r="G2772" s="121">
        <v>66</v>
      </c>
      <c r="H2772" s="123">
        <v>0</v>
      </c>
      <c r="I2772" s="122">
        <v>0</v>
      </c>
      <c r="J2772" s="124">
        <f t="shared" si="43"/>
        <v>0</v>
      </c>
    </row>
    <row r="2773" spans="1:11" ht="15" customHeight="1" x14ac:dyDescent="0.2">
      <c r="A2773" s="120" t="s">
        <v>7627</v>
      </c>
      <c r="B2773" s="120" t="s">
        <v>3532</v>
      </c>
      <c r="C2773" s="98" t="s">
        <v>3533</v>
      </c>
      <c r="D2773" s="120" t="s">
        <v>3563</v>
      </c>
      <c r="E2773" s="98">
        <v>0</v>
      </c>
      <c r="F2773" s="120">
        <v>0</v>
      </c>
      <c r="G2773" s="121">
        <v>15915</v>
      </c>
      <c r="H2773" s="123">
        <v>0</v>
      </c>
      <c r="I2773" s="122">
        <v>0</v>
      </c>
      <c r="J2773" s="124">
        <f t="shared" si="43"/>
        <v>0</v>
      </c>
    </row>
    <row r="2774" spans="1:11" ht="15" customHeight="1" x14ac:dyDescent="0.2">
      <c r="A2774" s="120" t="s">
        <v>7628</v>
      </c>
      <c r="B2774" s="120" t="s">
        <v>3532</v>
      </c>
      <c r="C2774" s="98" t="s">
        <v>3532</v>
      </c>
      <c r="D2774" s="120" t="s">
        <v>3563</v>
      </c>
      <c r="E2774" s="98">
        <v>0</v>
      </c>
      <c r="F2774" s="120">
        <v>0</v>
      </c>
      <c r="G2774" s="121">
        <v>0</v>
      </c>
      <c r="H2774" s="123">
        <v>0</v>
      </c>
      <c r="I2774" s="122">
        <v>0</v>
      </c>
      <c r="J2774" s="124">
        <f t="shared" si="43"/>
        <v>0</v>
      </c>
    </row>
    <row r="2775" spans="1:11" ht="15" customHeight="1" x14ac:dyDescent="0.2">
      <c r="A2775" s="120" t="s">
        <v>7629</v>
      </c>
      <c r="B2775" s="120" t="s">
        <v>3532</v>
      </c>
      <c r="C2775" s="98" t="s">
        <v>3533</v>
      </c>
      <c r="D2775" s="120" t="s">
        <v>3563</v>
      </c>
      <c r="E2775" s="98">
        <v>0</v>
      </c>
      <c r="F2775" s="120">
        <v>0</v>
      </c>
      <c r="G2775" s="121">
        <v>0</v>
      </c>
      <c r="H2775" s="123">
        <v>0</v>
      </c>
      <c r="I2775" s="122">
        <v>0</v>
      </c>
      <c r="J2775" s="124">
        <f t="shared" si="43"/>
        <v>0</v>
      </c>
    </row>
    <row r="2776" spans="1:11" ht="15" customHeight="1" x14ac:dyDescent="0.2">
      <c r="A2776" s="120" t="s">
        <v>7630</v>
      </c>
      <c r="B2776" s="120" t="s">
        <v>3532</v>
      </c>
      <c r="C2776" s="98" t="s">
        <v>3533</v>
      </c>
      <c r="D2776" s="120" t="s">
        <v>3563</v>
      </c>
      <c r="E2776" s="98">
        <v>0</v>
      </c>
      <c r="F2776" s="120">
        <v>0</v>
      </c>
      <c r="G2776" s="121">
        <v>510</v>
      </c>
      <c r="H2776" s="123">
        <v>0</v>
      </c>
      <c r="I2776" s="122">
        <v>0</v>
      </c>
      <c r="J2776" s="124">
        <f t="shared" si="43"/>
        <v>0</v>
      </c>
    </row>
    <row r="2777" spans="1:11" ht="15" customHeight="1" x14ac:dyDescent="0.2">
      <c r="A2777" s="120" t="s">
        <v>7631</v>
      </c>
      <c r="B2777" s="120" t="s">
        <v>3532</v>
      </c>
      <c r="C2777" s="98" t="s">
        <v>3533</v>
      </c>
      <c r="D2777" s="120" t="s">
        <v>3563</v>
      </c>
      <c r="E2777" s="98">
        <v>0</v>
      </c>
      <c r="F2777" s="120">
        <v>0</v>
      </c>
      <c r="G2777" s="121">
        <v>0</v>
      </c>
      <c r="H2777" s="123">
        <v>0</v>
      </c>
      <c r="I2777" s="122">
        <v>0</v>
      </c>
      <c r="J2777" s="124">
        <f t="shared" si="43"/>
        <v>0</v>
      </c>
    </row>
    <row r="2778" spans="1:11" ht="15" customHeight="1" x14ac:dyDescent="0.2">
      <c r="A2778" s="120" t="s">
        <v>7632</v>
      </c>
      <c r="B2778" s="120" t="s">
        <v>3532</v>
      </c>
      <c r="C2778" s="98" t="s">
        <v>3532</v>
      </c>
      <c r="D2778" s="120" t="s">
        <v>3563</v>
      </c>
      <c r="E2778" s="98">
        <v>0</v>
      </c>
      <c r="F2778" s="120">
        <v>0</v>
      </c>
      <c r="G2778" s="121">
        <v>0</v>
      </c>
      <c r="H2778" s="123">
        <v>0</v>
      </c>
      <c r="I2778" s="122">
        <v>0</v>
      </c>
      <c r="J2778" s="124">
        <f t="shared" si="43"/>
        <v>0</v>
      </c>
    </row>
    <row r="2779" spans="1:11" ht="15" customHeight="1" x14ac:dyDescent="0.2">
      <c r="A2779" s="120" t="s">
        <v>7633</v>
      </c>
      <c r="B2779" s="120" t="s">
        <v>3532</v>
      </c>
      <c r="C2779" s="98" t="s">
        <v>3533</v>
      </c>
      <c r="D2779" s="120" t="s">
        <v>3563</v>
      </c>
      <c r="E2779" s="98">
        <v>0</v>
      </c>
      <c r="F2779" s="120">
        <v>0</v>
      </c>
      <c r="G2779" s="121">
        <v>31970</v>
      </c>
      <c r="H2779" s="123">
        <v>0</v>
      </c>
      <c r="I2779" s="122">
        <v>0</v>
      </c>
      <c r="J2779" s="124">
        <f t="shared" si="43"/>
        <v>0</v>
      </c>
    </row>
    <row r="2780" spans="1:11" ht="15" customHeight="1" x14ac:dyDescent="0.2">
      <c r="A2780" s="120" t="s">
        <v>7634</v>
      </c>
      <c r="B2780" s="120" t="s">
        <v>7603</v>
      </c>
      <c r="C2780" s="98" t="s">
        <v>3533</v>
      </c>
      <c r="D2780" s="120" t="s">
        <v>3563</v>
      </c>
      <c r="E2780" s="98">
        <v>0</v>
      </c>
      <c r="F2780" s="120">
        <v>0</v>
      </c>
      <c r="G2780" s="121">
        <v>0</v>
      </c>
      <c r="H2780" s="123">
        <v>0</v>
      </c>
      <c r="I2780" s="122">
        <v>0</v>
      </c>
      <c r="J2780" s="124">
        <f t="shared" si="43"/>
        <v>0</v>
      </c>
    </row>
    <row r="2781" spans="1:11" ht="15" customHeight="1" x14ac:dyDescent="0.2">
      <c r="A2781" s="120" t="s">
        <v>7635</v>
      </c>
      <c r="B2781" s="120" t="s">
        <v>7603</v>
      </c>
      <c r="C2781" s="98" t="s">
        <v>3533</v>
      </c>
      <c r="D2781" s="120" t="s">
        <v>3563</v>
      </c>
      <c r="E2781" s="98">
        <v>0</v>
      </c>
      <c r="F2781" s="120">
        <v>0</v>
      </c>
      <c r="G2781" s="121">
        <v>9720</v>
      </c>
      <c r="H2781" s="123">
        <v>0</v>
      </c>
      <c r="I2781" s="122">
        <v>0</v>
      </c>
      <c r="J2781" s="124">
        <f t="shared" si="43"/>
        <v>0</v>
      </c>
      <c r="K2781" s="98" t="s">
        <v>7636</v>
      </c>
    </row>
    <row r="2782" spans="1:11" ht="15" customHeight="1" x14ac:dyDescent="0.2">
      <c r="A2782" s="120" t="s">
        <v>7637</v>
      </c>
      <c r="B2782" s="120" t="s">
        <v>3532</v>
      </c>
      <c r="C2782" s="98" t="s">
        <v>3533</v>
      </c>
      <c r="D2782" s="120" t="s">
        <v>3563</v>
      </c>
      <c r="E2782" s="98">
        <v>0</v>
      </c>
      <c r="F2782" s="120">
        <v>0</v>
      </c>
      <c r="G2782" s="121">
        <v>5250</v>
      </c>
      <c r="H2782" s="123">
        <v>0</v>
      </c>
      <c r="I2782" s="122">
        <v>0</v>
      </c>
      <c r="J2782" s="124">
        <f t="shared" si="43"/>
        <v>0</v>
      </c>
    </row>
    <row r="2783" spans="1:11" ht="15" customHeight="1" x14ac:dyDescent="0.2">
      <c r="A2783" s="120" t="s">
        <v>7638</v>
      </c>
      <c r="B2783" s="120" t="s">
        <v>3532</v>
      </c>
      <c r="C2783" s="98" t="s">
        <v>3533</v>
      </c>
      <c r="D2783" s="120" t="s">
        <v>3563</v>
      </c>
      <c r="E2783" s="98">
        <v>0</v>
      </c>
      <c r="F2783" s="120">
        <v>0</v>
      </c>
      <c r="G2783" s="121">
        <v>3230</v>
      </c>
      <c r="H2783" s="123">
        <v>0</v>
      </c>
      <c r="I2783" s="122">
        <v>0</v>
      </c>
      <c r="J2783" s="124">
        <f t="shared" si="43"/>
        <v>0</v>
      </c>
    </row>
    <row r="2784" spans="1:11" ht="15" customHeight="1" x14ac:dyDescent="0.2">
      <c r="A2784" s="120" t="s">
        <v>7639</v>
      </c>
      <c r="B2784" s="120" t="s">
        <v>7603</v>
      </c>
      <c r="C2784" s="98" t="s">
        <v>3533</v>
      </c>
      <c r="D2784" s="120" t="s">
        <v>3563</v>
      </c>
      <c r="E2784" s="98">
        <v>0</v>
      </c>
      <c r="F2784" s="120">
        <v>0</v>
      </c>
      <c r="G2784" s="121">
        <v>2110</v>
      </c>
      <c r="H2784" s="123">
        <v>0</v>
      </c>
      <c r="I2784" s="122">
        <v>0</v>
      </c>
      <c r="J2784" s="124">
        <f t="shared" si="43"/>
        <v>0</v>
      </c>
    </row>
    <row r="2785" spans="1:11" ht="15" customHeight="1" x14ac:dyDescent="0.2">
      <c r="A2785" s="120" t="s">
        <v>7640</v>
      </c>
      <c r="B2785" s="120" t="s">
        <v>7603</v>
      </c>
      <c r="C2785" s="98" t="s">
        <v>3533</v>
      </c>
      <c r="D2785" s="120" t="s">
        <v>3563</v>
      </c>
      <c r="E2785" s="98">
        <v>0</v>
      </c>
      <c r="F2785" s="120">
        <v>0</v>
      </c>
      <c r="G2785" s="121">
        <v>1375</v>
      </c>
      <c r="H2785" s="123">
        <v>0</v>
      </c>
      <c r="I2785" s="122">
        <v>0</v>
      </c>
      <c r="J2785" s="124">
        <f t="shared" si="43"/>
        <v>0</v>
      </c>
    </row>
    <row r="2786" spans="1:11" ht="15" customHeight="1" x14ac:dyDescent="0.2">
      <c r="A2786" s="120" t="s">
        <v>7641</v>
      </c>
      <c r="B2786" s="120" t="s">
        <v>7603</v>
      </c>
      <c r="C2786" s="98" t="s">
        <v>3533</v>
      </c>
      <c r="D2786" s="120" t="s">
        <v>3563</v>
      </c>
      <c r="E2786" s="98">
        <v>0</v>
      </c>
      <c r="F2786" s="120">
        <v>0</v>
      </c>
      <c r="G2786" s="121">
        <v>52250</v>
      </c>
      <c r="H2786" s="123">
        <v>0</v>
      </c>
      <c r="I2786" s="122">
        <v>0</v>
      </c>
      <c r="J2786" s="124">
        <f t="shared" si="43"/>
        <v>0</v>
      </c>
    </row>
    <row r="2787" spans="1:11" ht="15" customHeight="1" x14ac:dyDescent="0.2">
      <c r="A2787" s="120" t="s">
        <v>7642</v>
      </c>
      <c r="B2787" s="120" t="s">
        <v>7603</v>
      </c>
      <c r="C2787" s="98" t="s">
        <v>3533</v>
      </c>
      <c r="D2787" s="120" t="s">
        <v>3563</v>
      </c>
      <c r="E2787" s="98">
        <v>0</v>
      </c>
      <c r="F2787" s="120">
        <v>0</v>
      </c>
      <c r="G2787" s="121">
        <v>0</v>
      </c>
      <c r="H2787" s="123">
        <v>0</v>
      </c>
      <c r="I2787" s="122">
        <v>0</v>
      </c>
      <c r="J2787" s="124">
        <f t="shared" si="43"/>
        <v>0</v>
      </c>
      <c r="K2787" s="98" t="s">
        <v>7643</v>
      </c>
    </row>
    <row r="2788" spans="1:11" ht="15" customHeight="1" x14ac:dyDescent="0.2">
      <c r="A2788" s="120" t="s">
        <v>5879</v>
      </c>
      <c r="B2788" s="120" t="s">
        <v>7603</v>
      </c>
      <c r="C2788" s="98" t="s">
        <v>3533</v>
      </c>
      <c r="D2788" s="120" t="s">
        <v>3563</v>
      </c>
      <c r="E2788" s="98">
        <v>0</v>
      </c>
      <c r="F2788" s="120">
        <v>0</v>
      </c>
      <c r="G2788" s="121">
        <v>74</v>
      </c>
      <c r="H2788" s="123">
        <v>0</v>
      </c>
      <c r="I2788" s="122">
        <v>0</v>
      </c>
      <c r="J2788" s="124">
        <f t="shared" si="43"/>
        <v>0</v>
      </c>
    </row>
    <row r="2789" spans="1:11" ht="15" customHeight="1" x14ac:dyDescent="0.2">
      <c r="A2789" s="120" t="s">
        <v>7644</v>
      </c>
      <c r="B2789" s="120" t="s">
        <v>3532</v>
      </c>
      <c r="C2789" s="98" t="s">
        <v>3533</v>
      </c>
      <c r="D2789" s="120" t="s">
        <v>3563</v>
      </c>
      <c r="E2789" s="98">
        <v>0</v>
      </c>
      <c r="F2789" s="120">
        <v>0</v>
      </c>
      <c r="G2789" s="121">
        <v>0</v>
      </c>
      <c r="H2789" s="123">
        <v>0</v>
      </c>
      <c r="I2789" s="122">
        <v>0</v>
      </c>
      <c r="J2789" s="124">
        <f t="shared" si="43"/>
        <v>0</v>
      </c>
    </row>
    <row r="2790" spans="1:11" ht="15" customHeight="1" x14ac:dyDescent="0.2">
      <c r="A2790" s="120" t="s">
        <v>7645</v>
      </c>
      <c r="B2790" s="120" t="s">
        <v>3532</v>
      </c>
      <c r="C2790" s="98" t="s">
        <v>3533</v>
      </c>
      <c r="D2790" s="120" t="s">
        <v>3563</v>
      </c>
      <c r="E2790" s="98">
        <v>0</v>
      </c>
      <c r="F2790" s="120">
        <v>0</v>
      </c>
      <c r="G2790" s="121">
        <v>0</v>
      </c>
      <c r="H2790" s="123">
        <v>0</v>
      </c>
      <c r="I2790" s="122">
        <v>0</v>
      </c>
      <c r="J2790" s="124">
        <f t="shared" si="43"/>
        <v>0</v>
      </c>
    </row>
    <row r="2791" spans="1:11" ht="15" customHeight="1" x14ac:dyDescent="0.2">
      <c r="A2791" s="120" t="s">
        <v>7646</v>
      </c>
      <c r="B2791" s="120" t="s">
        <v>3532</v>
      </c>
      <c r="C2791" s="98" t="s">
        <v>3533</v>
      </c>
      <c r="D2791" s="120" t="s">
        <v>3563</v>
      </c>
      <c r="E2791" s="98">
        <v>0</v>
      </c>
      <c r="F2791" s="120">
        <v>0</v>
      </c>
      <c r="G2791" s="121">
        <v>5340</v>
      </c>
      <c r="H2791" s="123">
        <v>0</v>
      </c>
      <c r="I2791" s="122">
        <v>0</v>
      </c>
      <c r="J2791" s="124">
        <f t="shared" si="43"/>
        <v>0</v>
      </c>
    </row>
    <row r="2792" spans="1:11" ht="15" customHeight="1" x14ac:dyDescent="0.2">
      <c r="A2792" s="120" t="s">
        <v>7647</v>
      </c>
      <c r="B2792" s="120" t="s">
        <v>3532</v>
      </c>
      <c r="C2792" s="98" t="s">
        <v>3533</v>
      </c>
      <c r="D2792" s="120" t="s">
        <v>3563</v>
      </c>
      <c r="E2792" s="98">
        <v>0</v>
      </c>
      <c r="F2792" s="120">
        <v>0</v>
      </c>
      <c r="G2792" s="121">
        <v>966</v>
      </c>
      <c r="H2792" s="123">
        <v>0</v>
      </c>
      <c r="I2792" s="122">
        <v>0</v>
      </c>
      <c r="J2792" s="124">
        <f t="shared" si="43"/>
        <v>0</v>
      </c>
    </row>
    <row r="2793" spans="1:11" ht="15" customHeight="1" x14ac:dyDescent="0.2">
      <c r="A2793" s="120" t="s">
        <v>7648</v>
      </c>
      <c r="B2793" s="120" t="s">
        <v>3532</v>
      </c>
      <c r="C2793" s="98" t="s">
        <v>3533</v>
      </c>
      <c r="D2793" s="120" t="s">
        <v>3563</v>
      </c>
      <c r="E2793" s="98">
        <v>0</v>
      </c>
      <c r="F2793" s="120">
        <v>0</v>
      </c>
      <c r="G2793" s="121">
        <v>985</v>
      </c>
      <c r="H2793" s="123">
        <v>0</v>
      </c>
      <c r="I2793" s="122">
        <v>0</v>
      </c>
      <c r="J2793" s="124">
        <f t="shared" si="43"/>
        <v>0</v>
      </c>
    </row>
    <row r="2794" spans="1:11" ht="15" customHeight="1" x14ac:dyDescent="0.2">
      <c r="A2794" s="120" t="s">
        <v>6497</v>
      </c>
      <c r="B2794" s="120" t="s">
        <v>5186</v>
      </c>
      <c r="C2794" s="98" t="s">
        <v>3532</v>
      </c>
      <c r="D2794" s="120" t="s">
        <v>3563</v>
      </c>
      <c r="E2794" s="98">
        <v>1.276E-3</v>
      </c>
      <c r="F2794" s="120">
        <v>0</v>
      </c>
      <c r="G2794" s="121">
        <v>1804150</v>
      </c>
      <c r="H2794" s="123">
        <v>1.276E-3</v>
      </c>
      <c r="I2794" s="122">
        <v>2302.0954000000002</v>
      </c>
      <c r="J2794" s="124">
        <f t="shared" si="43"/>
        <v>1.276</v>
      </c>
    </row>
    <row r="2795" spans="1:11" ht="15" customHeight="1" x14ac:dyDescent="0.2">
      <c r="A2795" s="120" t="s">
        <v>7649</v>
      </c>
      <c r="B2795" s="120" t="s">
        <v>3532</v>
      </c>
      <c r="C2795" s="98" t="s">
        <v>3533</v>
      </c>
      <c r="D2795" s="120" t="s">
        <v>3563</v>
      </c>
      <c r="E2795" s="98">
        <v>0</v>
      </c>
      <c r="F2795" s="120">
        <v>0</v>
      </c>
      <c r="G2795" s="121">
        <v>0</v>
      </c>
      <c r="H2795" s="123">
        <v>0</v>
      </c>
      <c r="I2795" s="122">
        <v>0</v>
      </c>
      <c r="J2795" s="124">
        <f t="shared" si="43"/>
        <v>0</v>
      </c>
    </row>
    <row r="2796" spans="1:11" ht="15" customHeight="1" x14ac:dyDescent="0.2">
      <c r="A2796" s="120" t="s">
        <v>7650</v>
      </c>
      <c r="B2796" s="120" t="s">
        <v>3532</v>
      </c>
      <c r="C2796" s="98" t="s">
        <v>3532</v>
      </c>
      <c r="D2796" s="120" t="s">
        <v>3563</v>
      </c>
      <c r="E2796" s="98">
        <v>0</v>
      </c>
      <c r="F2796" s="120">
        <v>0</v>
      </c>
      <c r="G2796" s="121">
        <v>0</v>
      </c>
      <c r="H2796" s="123">
        <v>0</v>
      </c>
      <c r="I2796" s="122">
        <v>0</v>
      </c>
      <c r="J2796" s="124">
        <f t="shared" si="43"/>
        <v>0</v>
      </c>
    </row>
    <row r="2797" spans="1:11" ht="15" customHeight="1" x14ac:dyDescent="0.2">
      <c r="A2797" s="120" t="s">
        <v>7651</v>
      </c>
      <c r="B2797" s="120" t="s">
        <v>3532</v>
      </c>
      <c r="C2797" s="98" t="s">
        <v>3533</v>
      </c>
      <c r="D2797" s="120" t="s">
        <v>3534</v>
      </c>
      <c r="E2797" s="98">
        <v>0</v>
      </c>
      <c r="F2797" s="120">
        <v>0</v>
      </c>
      <c r="G2797" s="121">
        <v>6426</v>
      </c>
      <c r="H2797" s="123">
        <v>0</v>
      </c>
      <c r="I2797" s="122">
        <v>0</v>
      </c>
      <c r="J2797" s="124">
        <f t="shared" si="43"/>
        <v>0</v>
      </c>
    </row>
    <row r="2798" spans="1:11" ht="15" customHeight="1" x14ac:dyDescent="0.2">
      <c r="A2798" s="120" t="s">
        <v>7652</v>
      </c>
      <c r="B2798" s="120" t="s">
        <v>3532</v>
      </c>
      <c r="C2798" s="98" t="s">
        <v>3533</v>
      </c>
      <c r="D2798" s="120" t="s">
        <v>3534</v>
      </c>
      <c r="E2798" s="98">
        <v>0</v>
      </c>
      <c r="F2798" s="120">
        <v>0</v>
      </c>
      <c r="G2798" s="121">
        <v>2917</v>
      </c>
      <c r="H2798" s="123">
        <v>0</v>
      </c>
      <c r="I2798" s="122">
        <v>0</v>
      </c>
      <c r="J2798" s="124">
        <f t="shared" si="43"/>
        <v>0</v>
      </c>
    </row>
    <row r="2799" spans="1:11" ht="15" customHeight="1" x14ac:dyDescent="0.2">
      <c r="A2799" s="120" t="s">
        <v>7653</v>
      </c>
      <c r="B2799" s="120" t="s">
        <v>3532</v>
      </c>
      <c r="C2799" s="98" t="s">
        <v>3533</v>
      </c>
      <c r="D2799" s="120" t="s">
        <v>3534</v>
      </c>
      <c r="E2799" s="98">
        <v>0</v>
      </c>
      <c r="F2799" s="120">
        <v>0</v>
      </c>
      <c r="G2799" s="121">
        <v>8161</v>
      </c>
      <c r="H2799" s="123">
        <v>0</v>
      </c>
      <c r="I2799" s="122">
        <v>0</v>
      </c>
      <c r="J2799" s="124">
        <f t="shared" si="43"/>
        <v>0</v>
      </c>
    </row>
    <row r="2800" spans="1:11" ht="15" customHeight="1" x14ac:dyDescent="0.2">
      <c r="A2800" s="120" t="s">
        <v>7654</v>
      </c>
      <c r="B2800" s="120" t="s">
        <v>3532</v>
      </c>
      <c r="C2800" s="98" t="s">
        <v>3532</v>
      </c>
      <c r="D2800" s="120" t="s">
        <v>3534</v>
      </c>
      <c r="E2800" s="98">
        <v>0</v>
      </c>
      <c r="F2800" s="120">
        <v>0</v>
      </c>
      <c r="G2800" s="121">
        <v>0</v>
      </c>
      <c r="H2800" s="123">
        <v>0</v>
      </c>
      <c r="I2800" s="122">
        <v>0</v>
      </c>
      <c r="J2800" s="124">
        <f t="shared" si="43"/>
        <v>0</v>
      </c>
    </row>
    <row r="2801" spans="1:11" ht="15" customHeight="1" x14ac:dyDescent="0.2">
      <c r="A2801" s="120" t="s">
        <v>7655</v>
      </c>
      <c r="B2801" s="120" t="s">
        <v>3532</v>
      </c>
      <c r="C2801" s="98" t="s">
        <v>3533</v>
      </c>
      <c r="D2801" s="120" t="s">
        <v>3534</v>
      </c>
      <c r="E2801" s="98">
        <v>0</v>
      </c>
      <c r="F2801" s="120">
        <v>0</v>
      </c>
      <c r="G2801" s="121">
        <v>3278</v>
      </c>
      <c r="H2801" s="123">
        <v>0</v>
      </c>
      <c r="I2801" s="122">
        <v>0</v>
      </c>
      <c r="J2801" s="124">
        <f t="shared" si="43"/>
        <v>0</v>
      </c>
    </row>
    <row r="2802" spans="1:11" ht="15" customHeight="1" x14ac:dyDescent="0.2">
      <c r="A2802" s="120" t="s">
        <v>7656</v>
      </c>
      <c r="B2802" s="120" t="s">
        <v>3532</v>
      </c>
      <c r="C2802" s="98" t="s">
        <v>3533</v>
      </c>
      <c r="D2802" s="120" t="s">
        <v>3534</v>
      </c>
      <c r="E2802" s="98">
        <v>0</v>
      </c>
      <c r="F2802" s="120">
        <v>0</v>
      </c>
      <c r="G2802" s="121">
        <v>10822</v>
      </c>
      <c r="H2802" s="123">
        <v>0</v>
      </c>
      <c r="I2802" s="122">
        <v>0</v>
      </c>
      <c r="J2802" s="124">
        <f t="shared" si="43"/>
        <v>0</v>
      </c>
    </row>
    <row r="2803" spans="1:11" ht="15" customHeight="1" x14ac:dyDescent="0.2">
      <c r="A2803" s="120" t="s">
        <v>7657</v>
      </c>
      <c r="B2803" s="120" t="s">
        <v>3532</v>
      </c>
      <c r="C2803" s="98" t="s">
        <v>3533</v>
      </c>
      <c r="D2803" s="120" t="s">
        <v>3534</v>
      </c>
      <c r="E2803" s="98">
        <v>0</v>
      </c>
      <c r="F2803" s="120">
        <v>0</v>
      </c>
      <c r="G2803" s="121">
        <v>11010</v>
      </c>
      <c r="H2803" s="123">
        <v>0</v>
      </c>
      <c r="I2803" s="122">
        <v>0</v>
      </c>
      <c r="J2803" s="124">
        <f t="shared" si="43"/>
        <v>0</v>
      </c>
    </row>
    <row r="2804" spans="1:11" ht="15" customHeight="1" x14ac:dyDescent="0.2">
      <c r="A2804" s="120" t="s">
        <v>7658</v>
      </c>
      <c r="B2804" s="120" t="s">
        <v>7659</v>
      </c>
      <c r="C2804" s="98" t="s">
        <v>3532</v>
      </c>
      <c r="D2804" s="120" t="s">
        <v>3534</v>
      </c>
      <c r="E2804" s="98">
        <v>0</v>
      </c>
      <c r="F2804" s="120">
        <v>0</v>
      </c>
      <c r="G2804" s="121">
        <v>0</v>
      </c>
      <c r="H2804" s="123">
        <v>0</v>
      </c>
      <c r="I2804" s="122">
        <v>0</v>
      </c>
      <c r="J2804" s="124">
        <f t="shared" si="43"/>
        <v>0</v>
      </c>
    </row>
    <row r="2805" spans="1:11" ht="15" customHeight="1" x14ac:dyDescent="0.2">
      <c r="A2805" s="120" t="s">
        <v>7660</v>
      </c>
      <c r="B2805" s="120" t="s">
        <v>7659</v>
      </c>
      <c r="C2805" s="98" t="s">
        <v>3540</v>
      </c>
      <c r="D2805" s="120" t="s">
        <v>3534</v>
      </c>
      <c r="E2805" s="98">
        <v>0</v>
      </c>
      <c r="F2805" s="120">
        <v>0</v>
      </c>
      <c r="G2805" s="121">
        <v>0</v>
      </c>
      <c r="H2805" s="123">
        <v>0</v>
      </c>
      <c r="I2805" s="122">
        <v>0</v>
      </c>
      <c r="J2805" s="124">
        <f t="shared" si="43"/>
        <v>0</v>
      </c>
    </row>
    <row r="2806" spans="1:11" ht="15" customHeight="1" x14ac:dyDescent="0.2">
      <c r="A2806" s="120" t="s">
        <v>7661</v>
      </c>
      <c r="B2806" s="120" t="s">
        <v>7659</v>
      </c>
      <c r="C2806" s="98" t="s">
        <v>3540</v>
      </c>
      <c r="D2806" s="120" t="s">
        <v>3534</v>
      </c>
      <c r="E2806" s="98">
        <v>0</v>
      </c>
      <c r="F2806" s="120">
        <v>0</v>
      </c>
      <c r="G2806" s="121">
        <v>0</v>
      </c>
      <c r="H2806" s="123">
        <v>0</v>
      </c>
      <c r="I2806" s="122">
        <v>0</v>
      </c>
      <c r="J2806" s="124">
        <f t="shared" si="43"/>
        <v>0</v>
      </c>
    </row>
    <row r="2807" spans="1:11" ht="15" customHeight="1" x14ac:dyDescent="0.2">
      <c r="A2807" s="120" t="s">
        <v>7662</v>
      </c>
      <c r="B2807" s="120" t="s">
        <v>3532</v>
      </c>
      <c r="C2807" s="98" t="s">
        <v>3540</v>
      </c>
      <c r="D2807" s="120" t="s">
        <v>3534</v>
      </c>
      <c r="E2807" s="98">
        <v>0</v>
      </c>
      <c r="F2807" s="120">
        <v>0</v>
      </c>
      <c r="G2807" s="121">
        <v>0</v>
      </c>
      <c r="H2807" s="123">
        <v>0</v>
      </c>
      <c r="I2807" s="122">
        <v>0</v>
      </c>
      <c r="J2807" s="124">
        <f t="shared" si="43"/>
        <v>0</v>
      </c>
    </row>
    <row r="2808" spans="1:11" ht="15" customHeight="1" x14ac:dyDescent="0.2">
      <c r="A2808" s="120" t="s">
        <v>7663</v>
      </c>
      <c r="B2808" s="120" t="s">
        <v>7664</v>
      </c>
      <c r="C2808" s="98" t="s">
        <v>3533</v>
      </c>
      <c r="D2808" s="120" t="s">
        <v>3534</v>
      </c>
      <c r="E2808" s="98">
        <v>0</v>
      </c>
      <c r="F2808" s="120">
        <v>0</v>
      </c>
      <c r="G2808" s="121">
        <v>0</v>
      </c>
      <c r="H2808" s="123">
        <v>0</v>
      </c>
      <c r="I2808" s="122">
        <v>0</v>
      </c>
      <c r="J2808" s="124">
        <f t="shared" si="43"/>
        <v>0</v>
      </c>
      <c r="K2808" s="98" t="s">
        <v>7426</v>
      </c>
    </row>
    <row r="2809" spans="1:11" ht="15" customHeight="1" x14ac:dyDescent="0.2">
      <c r="A2809" s="120" t="s">
        <v>7663</v>
      </c>
      <c r="B2809" s="120" t="s">
        <v>7281</v>
      </c>
      <c r="C2809" s="98" t="s">
        <v>3533</v>
      </c>
      <c r="D2809" s="120" t="s">
        <v>3534</v>
      </c>
      <c r="E2809" s="98">
        <v>0</v>
      </c>
      <c r="F2809" s="120">
        <v>0</v>
      </c>
      <c r="G2809" s="121">
        <v>540</v>
      </c>
      <c r="H2809" s="123">
        <v>0</v>
      </c>
      <c r="I2809" s="122">
        <v>0</v>
      </c>
      <c r="J2809" s="124">
        <f t="shared" si="43"/>
        <v>0</v>
      </c>
    </row>
    <row r="2810" spans="1:11" ht="15" customHeight="1" x14ac:dyDescent="0.2">
      <c r="A2810" s="120" t="s">
        <v>7665</v>
      </c>
      <c r="B2810" s="120" t="s">
        <v>3532</v>
      </c>
      <c r="C2810" s="98" t="s">
        <v>3532</v>
      </c>
      <c r="D2810" s="120" t="s">
        <v>3534</v>
      </c>
      <c r="E2810" s="98">
        <v>0</v>
      </c>
      <c r="F2810" s="120">
        <v>0</v>
      </c>
      <c r="G2810" s="121">
        <v>0</v>
      </c>
      <c r="H2810" s="123">
        <v>0</v>
      </c>
      <c r="I2810" s="122">
        <v>0</v>
      </c>
      <c r="J2810" s="124">
        <f t="shared" si="43"/>
        <v>0</v>
      </c>
    </row>
    <row r="2811" spans="1:11" ht="15" customHeight="1" x14ac:dyDescent="0.2">
      <c r="A2811" s="120" t="s">
        <v>7666</v>
      </c>
      <c r="B2811" s="120" t="s">
        <v>7667</v>
      </c>
      <c r="C2811" s="98" t="s">
        <v>3532</v>
      </c>
      <c r="D2811" s="120" t="s">
        <v>3534</v>
      </c>
      <c r="E2811" s="98">
        <v>0</v>
      </c>
      <c r="F2811" s="120">
        <v>0</v>
      </c>
      <c r="G2811" s="121">
        <v>0</v>
      </c>
      <c r="H2811" s="123">
        <v>0</v>
      </c>
      <c r="I2811" s="122">
        <v>0</v>
      </c>
      <c r="J2811" s="124">
        <f t="shared" si="43"/>
        <v>0</v>
      </c>
    </row>
    <row r="2812" spans="1:11" ht="15" customHeight="1" x14ac:dyDescent="0.2">
      <c r="A2812" s="120" t="s">
        <v>7668</v>
      </c>
      <c r="B2812" s="120" t="s">
        <v>3532</v>
      </c>
      <c r="C2812" s="98" t="s">
        <v>3532</v>
      </c>
      <c r="D2812" s="120" t="s">
        <v>3534</v>
      </c>
      <c r="E2812" s="98">
        <v>0</v>
      </c>
      <c r="F2812" s="120">
        <v>0</v>
      </c>
      <c r="G2812" s="121">
        <v>0</v>
      </c>
      <c r="H2812" s="123">
        <v>0</v>
      </c>
      <c r="I2812" s="122">
        <v>0</v>
      </c>
      <c r="J2812" s="124">
        <f t="shared" si="43"/>
        <v>0</v>
      </c>
    </row>
    <row r="2813" spans="1:11" ht="15" customHeight="1" x14ac:dyDescent="0.2">
      <c r="A2813" s="120" t="s">
        <v>7669</v>
      </c>
      <c r="B2813" s="120" t="s">
        <v>3532</v>
      </c>
      <c r="C2813" s="98" t="s">
        <v>3533</v>
      </c>
      <c r="D2813" s="120" t="s">
        <v>3534</v>
      </c>
      <c r="E2813" s="98">
        <v>0</v>
      </c>
      <c r="F2813" s="120">
        <v>0</v>
      </c>
      <c r="G2813" s="121">
        <v>0</v>
      </c>
      <c r="H2813" s="123">
        <v>0</v>
      </c>
      <c r="I2813" s="122">
        <v>0</v>
      </c>
      <c r="J2813" s="124">
        <f t="shared" si="43"/>
        <v>0</v>
      </c>
    </row>
    <row r="2814" spans="1:11" ht="15" customHeight="1" x14ac:dyDescent="0.2">
      <c r="A2814" s="120" t="s">
        <v>7670</v>
      </c>
      <c r="B2814" s="120" t="s">
        <v>4630</v>
      </c>
      <c r="C2814" s="98" t="s">
        <v>3532</v>
      </c>
      <c r="D2814" s="120" t="s">
        <v>3534</v>
      </c>
      <c r="E2814" s="98">
        <v>0</v>
      </c>
      <c r="F2814" s="120">
        <v>0</v>
      </c>
      <c r="G2814" s="121">
        <v>0</v>
      </c>
      <c r="H2814" s="123">
        <v>0</v>
      </c>
      <c r="I2814" s="122">
        <v>0</v>
      </c>
      <c r="J2814" s="124">
        <f t="shared" si="43"/>
        <v>0</v>
      </c>
    </row>
    <row r="2815" spans="1:11" ht="15" customHeight="1" x14ac:dyDescent="0.2">
      <c r="A2815" s="120" t="s">
        <v>7671</v>
      </c>
      <c r="B2815" s="120" t="s">
        <v>4146</v>
      </c>
      <c r="C2815" s="98" t="s">
        <v>3533</v>
      </c>
      <c r="D2815" s="120" t="s">
        <v>3534</v>
      </c>
      <c r="E2815" s="98">
        <v>7.3800000000000004E-2</v>
      </c>
      <c r="F2815" s="120">
        <v>0</v>
      </c>
      <c r="G2815" s="121">
        <v>1601</v>
      </c>
      <c r="H2815" s="123">
        <v>7.3800000000000004E-2</v>
      </c>
      <c r="I2815" s="122">
        <v>118.1538</v>
      </c>
      <c r="J2815" s="124">
        <f t="shared" si="43"/>
        <v>7.3800000000000004E-2</v>
      </c>
    </row>
    <row r="2816" spans="1:11" ht="15" customHeight="1" x14ac:dyDescent="0.2">
      <c r="A2816" s="120" t="s">
        <v>7672</v>
      </c>
      <c r="B2816" s="120" t="s">
        <v>3532</v>
      </c>
      <c r="C2816" s="98" t="s">
        <v>3533</v>
      </c>
      <c r="D2816" s="120" t="s">
        <v>3534</v>
      </c>
      <c r="E2816" s="98">
        <v>0</v>
      </c>
      <c r="F2816" s="120">
        <v>0</v>
      </c>
      <c r="G2816" s="121">
        <v>1707</v>
      </c>
      <c r="H2816" s="123">
        <v>0</v>
      </c>
      <c r="I2816" s="122">
        <v>0</v>
      </c>
      <c r="J2816" s="124">
        <f t="shared" si="43"/>
        <v>0</v>
      </c>
    </row>
    <row r="2817" spans="1:10" ht="15" customHeight="1" x14ac:dyDescent="0.2">
      <c r="A2817" s="120" t="s">
        <v>7673</v>
      </c>
      <c r="B2817" s="120" t="s">
        <v>3532</v>
      </c>
      <c r="C2817" s="98" t="s">
        <v>3533</v>
      </c>
      <c r="D2817" s="120" t="s">
        <v>3534</v>
      </c>
      <c r="E2817" s="98">
        <v>0</v>
      </c>
      <c r="F2817" s="120">
        <v>0</v>
      </c>
      <c r="G2817" s="121">
        <v>484</v>
      </c>
      <c r="H2817" s="123">
        <v>0</v>
      </c>
      <c r="I2817" s="122">
        <v>0</v>
      </c>
      <c r="J2817" s="124">
        <f t="shared" si="43"/>
        <v>0</v>
      </c>
    </row>
    <row r="2818" spans="1:10" ht="15" customHeight="1" x14ac:dyDescent="0.2">
      <c r="A2818" s="120" t="s">
        <v>7674</v>
      </c>
      <c r="B2818" s="120" t="s">
        <v>3532</v>
      </c>
      <c r="C2818" s="98" t="s">
        <v>3532</v>
      </c>
      <c r="D2818" s="120" t="s">
        <v>3534</v>
      </c>
      <c r="E2818" s="98">
        <v>0</v>
      </c>
      <c r="F2818" s="120">
        <v>0</v>
      </c>
      <c r="G2818" s="121">
        <v>2022</v>
      </c>
      <c r="H2818" s="123">
        <v>0</v>
      </c>
      <c r="I2818" s="122">
        <v>0</v>
      </c>
      <c r="J2818" s="124">
        <f t="shared" ref="J2818:J2881" si="44">IF(D2818="gm", E2818*1000,+E2818)</f>
        <v>0</v>
      </c>
    </row>
    <row r="2819" spans="1:10" ht="15" customHeight="1" x14ac:dyDescent="0.2">
      <c r="A2819" s="120" t="s">
        <v>7675</v>
      </c>
      <c r="B2819" s="120" t="s">
        <v>3532</v>
      </c>
      <c r="C2819" s="98" t="s">
        <v>3533</v>
      </c>
      <c r="D2819" s="120" t="s">
        <v>3534</v>
      </c>
      <c r="E2819" s="98">
        <v>0</v>
      </c>
      <c r="F2819" s="120">
        <v>0</v>
      </c>
      <c r="G2819" s="121">
        <v>1257</v>
      </c>
      <c r="H2819" s="123">
        <v>0</v>
      </c>
      <c r="I2819" s="122">
        <v>0</v>
      </c>
      <c r="J2819" s="124">
        <f t="shared" si="44"/>
        <v>0</v>
      </c>
    </row>
    <row r="2820" spans="1:10" ht="15" customHeight="1" x14ac:dyDescent="0.2">
      <c r="A2820" s="120" t="s">
        <v>7676</v>
      </c>
      <c r="B2820" s="120" t="s">
        <v>3532</v>
      </c>
      <c r="C2820" s="98" t="s">
        <v>3533</v>
      </c>
      <c r="D2820" s="120" t="s">
        <v>3534</v>
      </c>
      <c r="E2820" s="98">
        <v>0</v>
      </c>
      <c r="F2820" s="120">
        <v>0</v>
      </c>
      <c r="G2820" s="121">
        <v>246</v>
      </c>
      <c r="H2820" s="123">
        <v>0</v>
      </c>
      <c r="I2820" s="122">
        <v>0</v>
      </c>
      <c r="J2820" s="124">
        <f t="shared" si="44"/>
        <v>0</v>
      </c>
    </row>
    <row r="2821" spans="1:10" ht="15" customHeight="1" x14ac:dyDescent="0.2">
      <c r="A2821" s="120" t="s">
        <v>7677</v>
      </c>
      <c r="B2821" s="120" t="s">
        <v>3532</v>
      </c>
      <c r="C2821" s="98" t="s">
        <v>3532</v>
      </c>
      <c r="D2821" s="120" t="s">
        <v>3534</v>
      </c>
      <c r="E2821" s="98">
        <v>0</v>
      </c>
      <c r="F2821" s="120">
        <v>0</v>
      </c>
      <c r="G2821" s="121">
        <v>0</v>
      </c>
      <c r="H2821" s="123">
        <v>0</v>
      </c>
      <c r="I2821" s="122">
        <v>0</v>
      </c>
      <c r="J2821" s="124">
        <f t="shared" si="44"/>
        <v>0</v>
      </c>
    </row>
    <row r="2822" spans="1:10" ht="15" customHeight="1" x14ac:dyDescent="0.2">
      <c r="A2822" s="120" t="s">
        <v>7678</v>
      </c>
      <c r="B2822" s="120" t="s">
        <v>7679</v>
      </c>
      <c r="C2822" s="98" t="s">
        <v>7680</v>
      </c>
      <c r="D2822" s="120" t="s">
        <v>3534</v>
      </c>
      <c r="E2822" s="98">
        <v>0</v>
      </c>
      <c r="F2822" s="120">
        <v>0</v>
      </c>
      <c r="G2822" s="121">
        <v>0</v>
      </c>
      <c r="H2822" s="123">
        <v>0</v>
      </c>
      <c r="I2822" s="122">
        <v>0</v>
      </c>
      <c r="J2822" s="124">
        <f t="shared" si="44"/>
        <v>0</v>
      </c>
    </row>
    <row r="2823" spans="1:10" ht="15" customHeight="1" x14ac:dyDescent="0.2">
      <c r="A2823" s="120" t="s">
        <v>7681</v>
      </c>
      <c r="B2823" s="120" t="s">
        <v>4576</v>
      </c>
      <c r="C2823" s="98" t="s">
        <v>3532</v>
      </c>
      <c r="D2823" s="120" t="s">
        <v>3534</v>
      </c>
      <c r="E2823" s="98">
        <v>0</v>
      </c>
      <c r="F2823" s="120">
        <v>0</v>
      </c>
      <c r="G2823" s="121">
        <v>0</v>
      </c>
      <c r="H2823" s="123">
        <v>0</v>
      </c>
      <c r="I2823" s="122">
        <v>0</v>
      </c>
      <c r="J2823" s="124">
        <f t="shared" si="44"/>
        <v>0</v>
      </c>
    </row>
    <row r="2824" spans="1:10" ht="15" customHeight="1" x14ac:dyDescent="0.2">
      <c r="A2824" s="120" t="s">
        <v>7682</v>
      </c>
      <c r="B2824" s="120" t="s">
        <v>4576</v>
      </c>
      <c r="C2824" s="98" t="s">
        <v>3532</v>
      </c>
      <c r="D2824" s="120" t="s">
        <v>3534</v>
      </c>
      <c r="E2824" s="98">
        <v>0</v>
      </c>
      <c r="F2824" s="120">
        <v>0</v>
      </c>
      <c r="G2824" s="121">
        <v>0</v>
      </c>
      <c r="H2824" s="123">
        <v>0</v>
      </c>
      <c r="I2824" s="122">
        <v>0</v>
      </c>
      <c r="J2824" s="124">
        <f t="shared" si="44"/>
        <v>0</v>
      </c>
    </row>
    <row r="2825" spans="1:10" ht="15" customHeight="1" x14ac:dyDescent="0.2">
      <c r="A2825" s="120" t="s">
        <v>7683</v>
      </c>
      <c r="B2825" s="120" t="s">
        <v>4576</v>
      </c>
      <c r="C2825" s="98" t="s">
        <v>3532</v>
      </c>
      <c r="D2825" s="120" t="s">
        <v>3534</v>
      </c>
      <c r="E2825" s="98">
        <v>0</v>
      </c>
      <c r="F2825" s="120">
        <v>0</v>
      </c>
      <c r="G2825" s="121">
        <v>0</v>
      </c>
      <c r="H2825" s="123">
        <v>0</v>
      </c>
      <c r="I2825" s="122">
        <v>0</v>
      </c>
      <c r="J2825" s="124">
        <f t="shared" si="44"/>
        <v>0</v>
      </c>
    </row>
    <row r="2826" spans="1:10" ht="15" customHeight="1" x14ac:dyDescent="0.2">
      <c r="A2826" s="120" t="s">
        <v>7684</v>
      </c>
      <c r="B2826" s="120" t="s">
        <v>7685</v>
      </c>
      <c r="C2826" s="98" t="s">
        <v>3540</v>
      </c>
      <c r="D2826" s="120" t="s">
        <v>3534</v>
      </c>
      <c r="E2826" s="98">
        <v>0</v>
      </c>
      <c r="F2826" s="120">
        <v>0</v>
      </c>
      <c r="G2826" s="121">
        <v>0</v>
      </c>
      <c r="H2826" s="123">
        <v>0</v>
      </c>
      <c r="I2826" s="122">
        <v>0</v>
      </c>
      <c r="J2826" s="124">
        <f t="shared" si="44"/>
        <v>0</v>
      </c>
    </row>
    <row r="2827" spans="1:10" ht="15" customHeight="1" x14ac:dyDescent="0.2">
      <c r="A2827" s="120" t="s">
        <v>7686</v>
      </c>
      <c r="B2827" s="120" t="s">
        <v>7373</v>
      </c>
      <c r="C2827" s="98" t="s">
        <v>3533</v>
      </c>
      <c r="D2827" s="120" t="s">
        <v>3534</v>
      </c>
      <c r="E2827" s="98">
        <v>0</v>
      </c>
      <c r="F2827" s="120">
        <v>0</v>
      </c>
      <c r="G2827" s="121">
        <v>1091</v>
      </c>
      <c r="H2827" s="123">
        <v>0</v>
      </c>
      <c r="I2827" s="122">
        <v>0</v>
      </c>
      <c r="J2827" s="124">
        <f t="shared" si="44"/>
        <v>0</v>
      </c>
    </row>
    <row r="2828" spans="1:10" ht="15" customHeight="1" x14ac:dyDescent="0.2">
      <c r="A2828" s="120" t="s">
        <v>7687</v>
      </c>
      <c r="B2828" s="120" t="s">
        <v>7373</v>
      </c>
      <c r="C2828" s="98" t="s">
        <v>3533</v>
      </c>
      <c r="D2828" s="120" t="s">
        <v>3534</v>
      </c>
      <c r="E2828" s="98">
        <v>0</v>
      </c>
      <c r="F2828" s="120">
        <v>0</v>
      </c>
      <c r="G2828" s="121">
        <v>13315</v>
      </c>
      <c r="H2828" s="123">
        <v>0</v>
      </c>
      <c r="I2828" s="122">
        <v>0</v>
      </c>
      <c r="J2828" s="124">
        <f t="shared" si="44"/>
        <v>0</v>
      </c>
    </row>
    <row r="2829" spans="1:10" ht="15" customHeight="1" x14ac:dyDescent="0.2">
      <c r="A2829" s="120" t="s">
        <v>7688</v>
      </c>
      <c r="B2829" s="120" t="s">
        <v>3532</v>
      </c>
      <c r="C2829" s="98" t="s">
        <v>3533</v>
      </c>
      <c r="D2829" s="120" t="s">
        <v>3534</v>
      </c>
      <c r="E2829" s="98">
        <v>0</v>
      </c>
      <c r="F2829" s="120">
        <v>0</v>
      </c>
      <c r="G2829" s="121">
        <v>72619</v>
      </c>
      <c r="H2829" s="123">
        <v>0</v>
      </c>
      <c r="I2829" s="122">
        <v>0</v>
      </c>
      <c r="J2829" s="124">
        <f t="shared" si="44"/>
        <v>0</v>
      </c>
    </row>
    <row r="2830" spans="1:10" ht="15" customHeight="1" x14ac:dyDescent="0.2">
      <c r="A2830" s="120" t="s">
        <v>7689</v>
      </c>
      <c r="B2830" s="120" t="s">
        <v>3532</v>
      </c>
      <c r="C2830" s="98" t="s">
        <v>3533</v>
      </c>
      <c r="D2830" s="120" t="s">
        <v>3534</v>
      </c>
      <c r="E2830" s="98">
        <v>0</v>
      </c>
      <c r="F2830" s="120">
        <v>0</v>
      </c>
      <c r="G2830" s="121">
        <v>15700</v>
      </c>
      <c r="H2830" s="123">
        <v>0</v>
      </c>
      <c r="I2830" s="122">
        <v>0</v>
      </c>
      <c r="J2830" s="124">
        <f t="shared" si="44"/>
        <v>0</v>
      </c>
    </row>
    <row r="2831" spans="1:10" ht="15" customHeight="1" x14ac:dyDescent="0.2">
      <c r="A2831" s="120" t="s">
        <v>7690</v>
      </c>
      <c r="B2831" s="120" t="s">
        <v>3532</v>
      </c>
      <c r="C2831" s="98" t="s">
        <v>3532</v>
      </c>
      <c r="D2831" s="120" t="s">
        <v>3534</v>
      </c>
      <c r="E2831" s="98">
        <v>0</v>
      </c>
      <c r="F2831" s="120">
        <v>0</v>
      </c>
      <c r="G2831" s="121">
        <v>19375</v>
      </c>
      <c r="H2831" s="123">
        <v>0</v>
      </c>
      <c r="I2831" s="122">
        <v>0</v>
      </c>
      <c r="J2831" s="124">
        <f t="shared" si="44"/>
        <v>0</v>
      </c>
    </row>
    <row r="2832" spans="1:10" ht="15" customHeight="1" x14ac:dyDescent="0.2">
      <c r="A2832" s="120" t="s">
        <v>7691</v>
      </c>
      <c r="B2832" s="120" t="s">
        <v>3532</v>
      </c>
      <c r="C2832" s="98" t="s">
        <v>3532</v>
      </c>
      <c r="D2832" s="120" t="s">
        <v>3534</v>
      </c>
      <c r="E2832" s="98">
        <v>0</v>
      </c>
      <c r="F2832" s="120">
        <v>0</v>
      </c>
      <c r="G2832" s="121">
        <v>162932</v>
      </c>
      <c r="H2832" s="123">
        <v>0</v>
      </c>
      <c r="I2832" s="122">
        <v>0</v>
      </c>
      <c r="J2832" s="124">
        <f t="shared" si="44"/>
        <v>0</v>
      </c>
    </row>
    <row r="2833" spans="1:10" ht="15" customHeight="1" x14ac:dyDescent="0.2">
      <c r="A2833" s="120" t="s">
        <v>7692</v>
      </c>
      <c r="B2833" s="120" t="s">
        <v>3532</v>
      </c>
      <c r="C2833" s="98" t="s">
        <v>3532</v>
      </c>
      <c r="D2833" s="120" t="s">
        <v>3534</v>
      </c>
      <c r="E2833" s="98">
        <v>0</v>
      </c>
      <c r="F2833" s="120">
        <v>0</v>
      </c>
      <c r="G2833" s="121">
        <v>0</v>
      </c>
      <c r="H2833" s="123">
        <v>0</v>
      </c>
      <c r="I2833" s="122">
        <v>0</v>
      </c>
      <c r="J2833" s="124">
        <f t="shared" si="44"/>
        <v>0</v>
      </c>
    </row>
    <row r="2834" spans="1:10" ht="15" customHeight="1" x14ac:dyDescent="0.2">
      <c r="A2834" s="120" t="s">
        <v>7693</v>
      </c>
      <c r="B2834" s="120" t="s">
        <v>3532</v>
      </c>
      <c r="C2834" s="98" t="s">
        <v>3533</v>
      </c>
      <c r="D2834" s="120" t="s">
        <v>3534</v>
      </c>
      <c r="E2834" s="98">
        <v>0</v>
      </c>
      <c r="F2834" s="120">
        <v>0</v>
      </c>
      <c r="G2834" s="121">
        <v>0</v>
      </c>
      <c r="H2834" s="123">
        <v>0</v>
      </c>
      <c r="I2834" s="122">
        <v>0</v>
      </c>
      <c r="J2834" s="124">
        <f t="shared" si="44"/>
        <v>0</v>
      </c>
    </row>
    <row r="2835" spans="1:10" ht="15" customHeight="1" x14ac:dyDescent="0.2">
      <c r="A2835" s="120" t="s">
        <v>7694</v>
      </c>
      <c r="B2835" s="120" t="s">
        <v>3532</v>
      </c>
      <c r="C2835" s="98" t="s">
        <v>3533</v>
      </c>
      <c r="D2835" s="120" t="s">
        <v>3534</v>
      </c>
      <c r="E2835" s="98">
        <v>0</v>
      </c>
      <c r="F2835" s="120">
        <v>0</v>
      </c>
      <c r="G2835" s="121">
        <v>0</v>
      </c>
      <c r="H2835" s="123">
        <v>0</v>
      </c>
      <c r="I2835" s="122">
        <v>0</v>
      </c>
      <c r="J2835" s="124">
        <f t="shared" si="44"/>
        <v>0</v>
      </c>
    </row>
    <row r="2836" spans="1:10" ht="15" customHeight="1" x14ac:dyDescent="0.2">
      <c r="A2836" s="120" t="s">
        <v>7695</v>
      </c>
      <c r="B2836" s="120" t="s">
        <v>3532</v>
      </c>
      <c r="C2836" s="98" t="s">
        <v>3533</v>
      </c>
      <c r="D2836" s="120" t="s">
        <v>3534</v>
      </c>
      <c r="E2836" s="98">
        <v>0</v>
      </c>
      <c r="F2836" s="120">
        <v>0</v>
      </c>
      <c r="G2836" s="121">
        <v>0</v>
      </c>
      <c r="H2836" s="123">
        <v>0</v>
      </c>
      <c r="I2836" s="122">
        <v>0</v>
      </c>
      <c r="J2836" s="124">
        <f t="shared" si="44"/>
        <v>0</v>
      </c>
    </row>
    <row r="2837" spans="1:10" ht="15" customHeight="1" x14ac:dyDescent="0.2">
      <c r="A2837" s="120" t="s">
        <v>7696</v>
      </c>
      <c r="B2837" s="120" t="s">
        <v>3532</v>
      </c>
      <c r="C2837" s="98" t="s">
        <v>3533</v>
      </c>
      <c r="D2837" s="120" t="s">
        <v>3534</v>
      </c>
      <c r="E2837" s="98">
        <v>0</v>
      </c>
      <c r="F2837" s="120">
        <v>0</v>
      </c>
      <c r="G2837" s="121">
        <v>0</v>
      </c>
      <c r="H2837" s="123">
        <v>0</v>
      </c>
      <c r="I2837" s="122">
        <v>0</v>
      </c>
      <c r="J2837" s="124">
        <f t="shared" si="44"/>
        <v>0</v>
      </c>
    </row>
    <row r="2838" spans="1:10" ht="15" customHeight="1" x14ac:dyDescent="0.2">
      <c r="A2838" s="120" t="s">
        <v>7697</v>
      </c>
      <c r="B2838" s="120" t="s">
        <v>3532</v>
      </c>
      <c r="C2838" s="98" t="s">
        <v>3533</v>
      </c>
      <c r="D2838" s="120" t="s">
        <v>3534</v>
      </c>
      <c r="E2838" s="98">
        <v>0</v>
      </c>
      <c r="F2838" s="120">
        <v>0</v>
      </c>
      <c r="G2838" s="121">
        <v>0</v>
      </c>
      <c r="H2838" s="123">
        <v>0</v>
      </c>
      <c r="I2838" s="122">
        <v>0</v>
      </c>
      <c r="J2838" s="124">
        <f t="shared" si="44"/>
        <v>0</v>
      </c>
    </row>
    <row r="2839" spans="1:10" ht="15" customHeight="1" x14ac:dyDescent="0.2">
      <c r="A2839" s="120" t="s">
        <v>7698</v>
      </c>
      <c r="B2839" s="120" t="s">
        <v>3532</v>
      </c>
      <c r="C2839" s="98" t="s">
        <v>3533</v>
      </c>
      <c r="D2839" s="120" t="s">
        <v>3534</v>
      </c>
      <c r="E2839" s="98">
        <v>0</v>
      </c>
      <c r="F2839" s="120">
        <v>0</v>
      </c>
      <c r="G2839" s="121">
        <v>0</v>
      </c>
      <c r="H2839" s="123">
        <v>0</v>
      </c>
      <c r="I2839" s="122">
        <v>0</v>
      </c>
      <c r="J2839" s="124">
        <f t="shared" si="44"/>
        <v>0</v>
      </c>
    </row>
    <row r="2840" spans="1:10" ht="15" customHeight="1" x14ac:dyDescent="0.2">
      <c r="A2840" s="120" t="s">
        <v>7699</v>
      </c>
      <c r="B2840" s="120" t="s">
        <v>3532</v>
      </c>
      <c r="C2840" s="98" t="s">
        <v>3533</v>
      </c>
      <c r="D2840" s="120" t="s">
        <v>3534</v>
      </c>
      <c r="E2840" s="98">
        <v>0</v>
      </c>
      <c r="F2840" s="120">
        <v>0</v>
      </c>
      <c r="G2840" s="121">
        <v>0</v>
      </c>
      <c r="H2840" s="123">
        <v>0</v>
      </c>
      <c r="I2840" s="122">
        <v>0</v>
      </c>
      <c r="J2840" s="124">
        <f t="shared" si="44"/>
        <v>0</v>
      </c>
    </row>
    <row r="2841" spans="1:10" ht="15" customHeight="1" x14ac:dyDescent="0.2">
      <c r="A2841" s="120" t="s">
        <v>7700</v>
      </c>
      <c r="B2841" s="120" t="s">
        <v>3532</v>
      </c>
      <c r="C2841" s="98" t="s">
        <v>3533</v>
      </c>
      <c r="D2841" s="120" t="s">
        <v>3534</v>
      </c>
      <c r="E2841" s="98">
        <v>0</v>
      </c>
      <c r="F2841" s="120">
        <v>0</v>
      </c>
      <c r="G2841" s="121">
        <v>0</v>
      </c>
      <c r="H2841" s="123">
        <v>0</v>
      </c>
      <c r="I2841" s="122">
        <v>0</v>
      </c>
      <c r="J2841" s="124">
        <f t="shared" si="44"/>
        <v>0</v>
      </c>
    </row>
    <row r="2842" spans="1:10" ht="15" customHeight="1" x14ac:dyDescent="0.2">
      <c r="A2842" s="120" t="s">
        <v>7701</v>
      </c>
      <c r="B2842" s="120" t="s">
        <v>3532</v>
      </c>
      <c r="C2842" s="98" t="s">
        <v>3533</v>
      </c>
      <c r="D2842" s="120" t="s">
        <v>3534</v>
      </c>
      <c r="E2842" s="98">
        <v>0</v>
      </c>
      <c r="F2842" s="120">
        <v>0</v>
      </c>
      <c r="G2842" s="121">
        <v>0</v>
      </c>
      <c r="H2842" s="123">
        <v>0</v>
      </c>
      <c r="I2842" s="122">
        <v>0</v>
      </c>
      <c r="J2842" s="124">
        <f t="shared" si="44"/>
        <v>0</v>
      </c>
    </row>
    <row r="2843" spans="1:10" ht="15" customHeight="1" x14ac:dyDescent="0.2">
      <c r="A2843" s="120" t="s">
        <v>7702</v>
      </c>
      <c r="B2843" s="120" t="s">
        <v>7703</v>
      </c>
      <c r="C2843" s="98" t="s">
        <v>3533</v>
      </c>
      <c r="D2843" s="120" t="s">
        <v>3534</v>
      </c>
      <c r="E2843" s="98">
        <v>0</v>
      </c>
      <c r="F2843" s="120">
        <v>0</v>
      </c>
      <c r="G2843" s="121">
        <v>68</v>
      </c>
      <c r="H2843" s="123">
        <v>0</v>
      </c>
      <c r="I2843" s="122">
        <v>0</v>
      </c>
      <c r="J2843" s="124">
        <f t="shared" si="44"/>
        <v>0</v>
      </c>
    </row>
    <row r="2844" spans="1:10" ht="15" customHeight="1" x14ac:dyDescent="0.2">
      <c r="A2844" s="120" t="s">
        <v>7704</v>
      </c>
      <c r="B2844" s="120" t="s">
        <v>7703</v>
      </c>
      <c r="C2844" s="98" t="s">
        <v>3533</v>
      </c>
      <c r="D2844" s="120" t="s">
        <v>3534</v>
      </c>
      <c r="E2844" s="98">
        <v>0</v>
      </c>
      <c r="F2844" s="120">
        <v>0</v>
      </c>
      <c r="G2844" s="121">
        <v>10208</v>
      </c>
      <c r="H2844" s="123">
        <v>0</v>
      </c>
      <c r="I2844" s="122">
        <v>0</v>
      </c>
      <c r="J2844" s="124">
        <f t="shared" si="44"/>
        <v>0</v>
      </c>
    </row>
    <row r="2845" spans="1:10" ht="15" customHeight="1" x14ac:dyDescent="0.2">
      <c r="A2845" s="120" t="s">
        <v>7705</v>
      </c>
      <c r="B2845" s="120" t="s">
        <v>3532</v>
      </c>
      <c r="C2845" s="98" t="s">
        <v>3533</v>
      </c>
      <c r="D2845" s="120" t="s">
        <v>3534</v>
      </c>
      <c r="E2845" s="98">
        <v>0</v>
      </c>
      <c r="F2845" s="120">
        <v>0</v>
      </c>
      <c r="G2845" s="121">
        <v>6722</v>
      </c>
      <c r="H2845" s="123">
        <v>0</v>
      </c>
      <c r="I2845" s="122">
        <v>0</v>
      </c>
      <c r="J2845" s="124">
        <f t="shared" si="44"/>
        <v>0</v>
      </c>
    </row>
    <row r="2846" spans="1:10" ht="15" customHeight="1" x14ac:dyDescent="0.2">
      <c r="A2846" s="120" t="s">
        <v>7706</v>
      </c>
      <c r="B2846" s="120" t="s">
        <v>3532</v>
      </c>
      <c r="C2846" s="98" t="s">
        <v>3533</v>
      </c>
      <c r="D2846" s="120" t="s">
        <v>3534</v>
      </c>
      <c r="E2846" s="98">
        <v>0</v>
      </c>
      <c r="F2846" s="120">
        <v>0</v>
      </c>
      <c r="G2846" s="121">
        <v>3394</v>
      </c>
      <c r="H2846" s="123">
        <v>0</v>
      </c>
      <c r="I2846" s="122">
        <v>0</v>
      </c>
      <c r="J2846" s="124">
        <f t="shared" si="44"/>
        <v>0</v>
      </c>
    </row>
    <row r="2847" spans="1:10" ht="15" customHeight="1" x14ac:dyDescent="0.2">
      <c r="A2847" s="120" t="s">
        <v>7707</v>
      </c>
      <c r="B2847" s="120" t="s">
        <v>7703</v>
      </c>
      <c r="C2847" s="98" t="s">
        <v>3533</v>
      </c>
      <c r="D2847" s="120" t="s">
        <v>3534</v>
      </c>
      <c r="E2847" s="98">
        <v>0</v>
      </c>
      <c r="F2847" s="120">
        <v>0</v>
      </c>
      <c r="G2847" s="121">
        <v>62</v>
      </c>
      <c r="H2847" s="123">
        <v>0</v>
      </c>
      <c r="I2847" s="122">
        <v>0</v>
      </c>
      <c r="J2847" s="124">
        <f t="shared" si="44"/>
        <v>0</v>
      </c>
    </row>
    <row r="2848" spans="1:10" ht="15" customHeight="1" x14ac:dyDescent="0.2">
      <c r="A2848" s="120" t="s">
        <v>7708</v>
      </c>
      <c r="B2848" s="120" t="s">
        <v>3532</v>
      </c>
      <c r="C2848" s="98" t="s">
        <v>3533</v>
      </c>
      <c r="D2848" s="120" t="s">
        <v>3534</v>
      </c>
      <c r="E2848" s="98">
        <v>0</v>
      </c>
      <c r="F2848" s="120">
        <v>0</v>
      </c>
      <c r="G2848" s="121">
        <v>0</v>
      </c>
      <c r="H2848" s="123">
        <v>0</v>
      </c>
      <c r="I2848" s="122">
        <v>0</v>
      </c>
      <c r="J2848" s="124">
        <f t="shared" si="44"/>
        <v>0</v>
      </c>
    </row>
    <row r="2849" spans="1:11" ht="15" customHeight="1" x14ac:dyDescent="0.2">
      <c r="A2849" s="120" t="s">
        <v>7709</v>
      </c>
      <c r="B2849" s="120" t="s">
        <v>7703</v>
      </c>
      <c r="C2849" s="98" t="s">
        <v>3533</v>
      </c>
      <c r="D2849" s="120" t="s">
        <v>3534</v>
      </c>
      <c r="E2849" s="98">
        <v>0</v>
      </c>
      <c r="F2849" s="120">
        <v>0</v>
      </c>
      <c r="G2849" s="121">
        <v>4182</v>
      </c>
      <c r="H2849" s="123">
        <v>0</v>
      </c>
      <c r="I2849" s="122">
        <v>0</v>
      </c>
      <c r="J2849" s="124">
        <f t="shared" si="44"/>
        <v>0</v>
      </c>
    </row>
    <row r="2850" spans="1:11" ht="15" customHeight="1" x14ac:dyDescent="0.2">
      <c r="A2850" s="120" t="s">
        <v>7710</v>
      </c>
      <c r="B2850" s="120" t="s">
        <v>7703</v>
      </c>
      <c r="C2850" s="98" t="s">
        <v>3533</v>
      </c>
      <c r="D2850" s="120" t="s">
        <v>3534</v>
      </c>
      <c r="E2850" s="98">
        <v>0</v>
      </c>
      <c r="F2850" s="120">
        <v>0</v>
      </c>
      <c r="G2850" s="121">
        <v>7167</v>
      </c>
      <c r="H2850" s="123">
        <v>0</v>
      </c>
      <c r="I2850" s="122">
        <v>0</v>
      </c>
      <c r="J2850" s="124">
        <f t="shared" si="44"/>
        <v>0</v>
      </c>
    </row>
    <row r="2851" spans="1:11" ht="15" customHeight="1" x14ac:dyDescent="0.2">
      <c r="A2851" s="120" t="s">
        <v>7711</v>
      </c>
      <c r="B2851" s="120" t="s">
        <v>7703</v>
      </c>
      <c r="C2851" s="98" t="s">
        <v>3533</v>
      </c>
      <c r="D2851" s="120" t="s">
        <v>3534</v>
      </c>
      <c r="E2851" s="98">
        <v>0</v>
      </c>
      <c r="F2851" s="120">
        <v>0</v>
      </c>
      <c r="G2851" s="121">
        <v>2277</v>
      </c>
      <c r="H2851" s="123">
        <v>0</v>
      </c>
      <c r="I2851" s="122">
        <v>0</v>
      </c>
      <c r="J2851" s="124">
        <f t="shared" si="44"/>
        <v>0</v>
      </c>
    </row>
    <row r="2852" spans="1:11" ht="15" customHeight="1" x14ac:dyDescent="0.2">
      <c r="A2852" s="120" t="s">
        <v>7712</v>
      </c>
      <c r="B2852" s="120" t="s">
        <v>3532</v>
      </c>
      <c r="C2852" s="98" t="s">
        <v>3540</v>
      </c>
      <c r="D2852" s="120" t="s">
        <v>3534</v>
      </c>
      <c r="E2852" s="98">
        <v>0</v>
      </c>
      <c r="F2852" s="120">
        <v>0</v>
      </c>
      <c r="G2852" s="121">
        <v>8197</v>
      </c>
      <c r="H2852" s="123">
        <v>0</v>
      </c>
      <c r="I2852" s="122">
        <v>0</v>
      </c>
      <c r="J2852" s="124">
        <f t="shared" si="44"/>
        <v>0</v>
      </c>
    </row>
    <row r="2853" spans="1:11" ht="15" customHeight="1" x14ac:dyDescent="0.2">
      <c r="A2853" s="120" t="s">
        <v>7713</v>
      </c>
      <c r="B2853" s="120" t="s">
        <v>7703</v>
      </c>
      <c r="C2853" s="98" t="s">
        <v>3540</v>
      </c>
      <c r="D2853" s="120" t="s">
        <v>3534</v>
      </c>
      <c r="E2853" s="98">
        <v>0</v>
      </c>
      <c r="F2853" s="120">
        <v>0</v>
      </c>
      <c r="G2853" s="121">
        <v>0</v>
      </c>
      <c r="H2853" s="123">
        <v>0</v>
      </c>
      <c r="I2853" s="122">
        <v>0</v>
      </c>
      <c r="J2853" s="124">
        <f t="shared" si="44"/>
        <v>0</v>
      </c>
    </row>
    <row r="2854" spans="1:11" ht="15" customHeight="1" x14ac:dyDescent="0.2">
      <c r="A2854" s="120" t="s">
        <v>7714</v>
      </c>
      <c r="B2854" s="120" t="s">
        <v>7715</v>
      </c>
      <c r="C2854" s="98" t="s">
        <v>3533</v>
      </c>
      <c r="D2854" s="120" t="s">
        <v>3534</v>
      </c>
      <c r="E2854" s="98">
        <v>0</v>
      </c>
      <c r="F2854" s="120">
        <v>0</v>
      </c>
      <c r="G2854" s="121">
        <v>0</v>
      </c>
      <c r="H2854" s="123">
        <v>0</v>
      </c>
      <c r="I2854" s="122">
        <v>0</v>
      </c>
      <c r="J2854" s="124">
        <f t="shared" si="44"/>
        <v>0</v>
      </c>
      <c r="K2854" s="98" t="s">
        <v>7716</v>
      </c>
    </row>
    <row r="2855" spans="1:11" ht="15" customHeight="1" x14ac:dyDescent="0.2">
      <c r="A2855" s="120" t="s">
        <v>7717</v>
      </c>
      <c r="B2855" s="120" t="s">
        <v>3532</v>
      </c>
      <c r="C2855" s="98" t="s">
        <v>3533</v>
      </c>
      <c r="D2855" s="120" t="s">
        <v>3534</v>
      </c>
      <c r="E2855" s="98">
        <v>0</v>
      </c>
      <c r="F2855" s="120">
        <v>0</v>
      </c>
      <c r="G2855" s="121">
        <v>1110</v>
      </c>
      <c r="H2855" s="123">
        <v>0</v>
      </c>
      <c r="I2855" s="122">
        <v>0</v>
      </c>
      <c r="J2855" s="124">
        <f t="shared" si="44"/>
        <v>0</v>
      </c>
    </row>
    <row r="2856" spans="1:11" ht="15" customHeight="1" x14ac:dyDescent="0.2">
      <c r="A2856" s="120" t="s">
        <v>7718</v>
      </c>
      <c r="B2856" s="120" t="s">
        <v>3532</v>
      </c>
      <c r="C2856" s="98" t="s">
        <v>3533</v>
      </c>
      <c r="D2856" s="120" t="s">
        <v>3534</v>
      </c>
      <c r="E2856" s="98">
        <v>0</v>
      </c>
      <c r="F2856" s="120">
        <v>0</v>
      </c>
      <c r="G2856" s="121">
        <v>1513</v>
      </c>
      <c r="H2856" s="123">
        <v>0</v>
      </c>
      <c r="I2856" s="122">
        <v>0</v>
      </c>
      <c r="J2856" s="124">
        <f t="shared" si="44"/>
        <v>0</v>
      </c>
    </row>
    <row r="2857" spans="1:11" ht="15" customHeight="1" x14ac:dyDescent="0.2">
      <c r="A2857" s="120" t="s">
        <v>7719</v>
      </c>
      <c r="B2857" s="120" t="s">
        <v>3532</v>
      </c>
      <c r="C2857" s="98" t="s">
        <v>3533</v>
      </c>
      <c r="D2857" s="120" t="s">
        <v>3534</v>
      </c>
      <c r="E2857" s="98">
        <v>0</v>
      </c>
      <c r="F2857" s="120">
        <v>0</v>
      </c>
      <c r="G2857" s="121">
        <v>4805</v>
      </c>
      <c r="H2857" s="123">
        <v>0</v>
      </c>
      <c r="I2857" s="122">
        <v>0</v>
      </c>
      <c r="J2857" s="124">
        <f t="shared" si="44"/>
        <v>0</v>
      </c>
    </row>
    <row r="2858" spans="1:11" ht="15" customHeight="1" x14ac:dyDescent="0.2">
      <c r="A2858" s="120" t="s">
        <v>7720</v>
      </c>
      <c r="B2858" s="120" t="s">
        <v>7703</v>
      </c>
      <c r="C2858" s="98" t="s">
        <v>3533</v>
      </c>
      <c r="D2858" s="120" t="s">
        <v>3534</v>
      </c>
      <c r="E2858" s="98">
        <v>0</v>
      </c>
      <c r="F2858" s="120">
        <v>0</v>
      </c>
      <c r="G2858" s="121">
        <v>73</v>
      </c>
      <c r="H2858" s="123">
        <v>0</v>
      </c>
      <c r="I2858" s="122">
        <v>0</v>
      </c>
      <c r="J2858" s="124">
        <f t="shared" si="44"/>
        <v>0</v>
      </c>
    </row>
    <row r="2859" spans="1:11" ht="15" customHeight="1" x14ac:dyDescent="0.2">
      <c r="A2859" s="120" t="s">
        <v>7721</v>
      </c>
      <c r="B2859" s="120" t="s">
        <v>3532</v>
      </c>
      <c r="C2859" s="98" t="s">
        <v>3532</v>
      </c>
      <c r="D2859" s="120" t="s">
        <v>3534</v>
      </c>
      <c r="E2859" s="98">
        <v>0</v>
      </c>
      <c r="F2859" s="120">
        <v>0</v>
      </c>
      <c r="G2859" s="121">
        <v>0</v>
      </c>
      <c r="H2859" s="123">
        <v>0</v>
      </c>
      <c r="I2859" s="122">
        <v>0</v>
      </c>
      <c r="J2859" s="124">
        <f t="shared" si="44"/>
        <v>0</v>
      </c>
    </row>
    <row r="2860" spans="1:11" ht="15" customHeight="1" x14ac:dyDescent="0.2">
      <c r="A2860" s="120" t="s">
        <v>7722</v>
      </c>
      <c r="B2860" s="120" t="s">
        <v>3532</v>
      </c>
      <c r="C2860" s="98" t="s">
        <v>3533</v>
      </c>
      <c r="D2860" s="120" t="s">
        <v>3534</v>
      </c>
      <c r="E2860" s="98">
        <v>0</v>
      </c>
      <c r="F2860" s="120">
        <v>0</v>
      </c>
      <c r="G2860" s="121">
        <v>134</v>
      </c>
      <c r="H2860" s="123">
        <v>0</v>
      </c>
      <c r="I2860" s="122">
        <v>0</v>
      </c>
      <c r="J2860" s="124">
        <f t="shared" si="44"/>
        <v>0</v>
      </c>
    </row>
    <row r="2861" spans="1:11" ht="15" customHeight="1" x14ac:dyDescent="0.2">
      <c r="A2861" s="120" t="s">
        <v>7723</v>
      </c>
      <c r="B2861" s="120" t="s">
        <v>3532</v>
      </c>
      <c r="C2861" s="98" t="s">
        <v>3533</v>
      </c>
      <c r="D2861" s="120" t="s">
        <v>3534</v>
      </c>
      <c r="E2861" s="98">
        <v>0</v>
      </c>
      <c r="F2861" s="120">
        <v>0</v>
      </c>
      <c r="G2861" s="121">
        <v>223</v>
      </c>
      <c r="H2861" s="123">
        <v>0</v>
      </c>
      <c r="I2861" s="122">
        <v>0</v>
      </c>
      <c r="J2861" s="124">
        <f t="shared" si="44"/>
        <v>0</v>
      </c>
    </row>
    <row r="2862" spans="1:11" ht="15" customHeight="1" x14ac:dyDescent="0.2">
      <c r="A2862" s="120" t="s">
        <v>7724</v>
      </c>
      <c r="B2862" s="120" t="s">
        <v>7725</v>
      </c>
      <c r="C2862" s="98" t="s">
        <v>3533</v>
      </c>
      <c r="D2862" s="120" t="s">
        <v>3534</v>
      </c>
      <c r="E2862" s="98">
        <v>0</v>
      </c>
      <c r="F2862" s="120">
        <v>0</v>
      </c>
      <c r="G2862" s="121">
        <v>176</v>
      </c>
      <c r="H2862" s="123">
        <v>0</v>
      </c>
      <c r="I2862" s="122">
        <v>0</v>
      </c>
      <c r="J2862" s="124">
        <f t="shared" si="44"/>
        <v>0</v>
      </c>
    </row>
    <row r="2863" spans="1:11" ht="15" customHeight="1" x14ac:dyDescent="0.2">
      <c r="A2863" s="120" t="s">
        <v>7726</v>
      </c>
      <c r="B2863" s="120" t="s">
        <v>7725</v>
      </c>
      <c r="C2863" s="98" t="s">
        <v>3566</v>
      </c>
      <c r="D2863" s="120" t="s">
        <v>3534</v>
      </c>
      <c r="E2863" s="98">
        <v>0</v>
      </c>
      <c r="F2863" s="120">
        <v>0</v>
      </c>
      <c r="G2863" s="121">
        <v>0</v>
      </c>
      <c r="H2863" s="123">
        <v>0</v>
      </c>
      <c r="I2863" s="122">
        <v>0</v>
      </c>
      <c r="J2863" s="124">
        <f t="shared" si="44"/>
        <v>0</v>
      </c>
    </row>
    <row r="2864" spans="1:11" ht="15" customHeight="1" x14ac:dyDescent="0.2">
      <c r="A2864" s="120" t="s">
        <v>7727</v>
      </c>
      <c r="B2864" s="120" t="s">
        <v>7725</v>
      </c>
      <c r="C2864" s="98" t="s">
        <v>3566</v>
      </c>
      <c r="D2864" s="120" t="s">
        <v>3534</v>
      </c>
      <c r="E2864" s="98">
        <v>0</v>
      </c>
      <c r="F2864" s="120">
        <v>0</v>
      </c>
      <c r="G2864" s="121">
        <v>0</v>
      </c>
      <c r="H2864" s="123">
        <v>0</v>
      </c>
      <c r="I2864" s="122">
        <v>0</v>
      </c>
      <c r="J2864" s="124">
        <f t="shared" si="44"/>
        <v>0</v>
      </c>
    </row>
    <row r="2865" spans="1:11" ht="15" customHeight="1" x14ac:dyDescent="0.2">
      <c r="A2865" s="120" t="s">
        <v>7728</v>
      </c>
      <c r="B2865" s="120" t="s">
        <v>7725</v>
      </c>
      <c r="C2865" s="98" t="s">
        <v>3533</v>
      </c>
      <c r="D2865" s="120" t="s">
        <v>3534</v>
      </c>
      <c r="E2865" s="98">
        <v>0</v>
      </c>
      <c r="F2865" s="120">
        <v>0</v>
      </c>
      <c r="G2865" s="121">
        <v>0</v>
      </c>
      <c r="H2865" s="123">
        <v>0</v>
      </c>
      <c r="I2865" s="122">
        <v>0</v>
      </c>
      <c r="J2865" s="124">
        <f t="shared" si="44"/>
        <v>0</v>
      </c>
      <c r="K2865" s="98" t="s">
        <v>7729</v>
      </c>
    </row>
    <row r="2866" spans="1:11" ht="15" customHeight="1" x14ac:dyDescent="0.2">
      <c r="A2866" s="120" t="s">
        <v>7730</v>
      </c>
      <c r="B2866" s="120" t="s">
        <v>7725</v>
      </c>
      <c r="C2866" s="98" t="s">
        <v>3566</v>
      </c>
      <c r="D2866" s="120" t="s">
        <v>3534</v>
      </c>
      <c r="E2866" s="98">
        <v>0</v>
      </c>
      <c r="F2866" s="120">
        <v>0</v>
      </c>
      <c r="G2866" s="121">
        <v>0</v>
      </c>
      <c r="H2866" s="123">
        <v>0</v>
      </c>
      <c r="I2866" s="122">
        <v>0</v>
      </c>
      <c r="J2866" s="124">
        <f t="shared" si="44"/>
        <v>0</v>
      </c>
    </row>
    <row r="2867" spans="1:11" ht="15" customHeight="1" x14ac:dyDescent="0.2">
      <c r="A2867" s="120" t="s">
        <v>7731</v>
      </c>
      <c r="B2867" s="120" t="s">
        <v>7725</v>
      </c>
      <c r="C2867" s="98" t="s">
        <v>3566</v>
      </c>
      <c r="D2867" s="120" t="s">
        <v>3534</v>
      </c>
      <c r="E2867" s="98">
        <v>0</v>
      </c>
      <c r="F2867" s="120">
        <v>0</v>
      </c>
      <c r="G2867" s="121">
        <v>0</v>
      </c>
      <c r="H2867" s="123">
        <v>0</v>
      </c>
      <c r="I2867" s="122">
        <v>0</v>
      </c>
      <c r="J2867" s="124">
        <f t="shared" si="44"/>
        <v>0</v>
      </c>
    </row>
    <row r="2868" spans="1:11" ht="15" customHeight="1" x14ac:dyDescent="0.2">
      <c r="A2868" s="120" t="s">
        <v>7732</v>
      </c>
      <c r="B2868" s="120" t="s">
        <v>7725</v>
      </c>
      <c r="C2868" s="98" t="s">
        <v>3566</v>
      </c>
      <c r="D2868" s="120" t="s">
        <v>3534</v>
      </c>
      <c r="E2868" s="98">
        <v>0</v>
      </c>
      <c r="F2868" s="120">
        <v>0</v>
      </c>
      <c r="G2868" s="121">
        <v>0</v>
      </c>
      <c r="H2868" s="123">
        <v>0</v>
      </c>
      <c r="I2868" s="122">
        <v>0</v>
      </c>
      <c r="J2868" s="124">
        <f t="shared" si="44"/>
        <v>0</v>
      </c>
    </row>
    <row r="2869" spans="1:11" ht="15" customHeight="1" x14ac:dyDescent="0.2">
      <c r="A2869" s="120" t="s">
        <v>7733</v>
      </c>
      <c r="B2869" s="120" t="s">
        <v>7725</v>
      </c>
      <c r="C2869" s="98" t="s">
        <v>3566</v>
      </c>
      <c r="D2869" s="120" t="s">
        <v>3534</v>
      </c>
      <c r="E2869" s="98">
        <v>0</v>
      </c>
      <c r="F2869" s="120">
        <v>0</v>
      </c>
      <c r="G2869" s="121">
        <v>0</v>
      </c>
      <c r="H2869" s="123">
        <v>0</v>
      </c>
      <c r="I2869" s="122">
        <v>0</v>
      </c>
      <c r="J2869" s="124">
        <f t="shared" si="44"/>
        <v>0</v>
      </c>
    </row>
    <row r="2870" spans="1:11" ht="15" customHeight="1" x14ac:dyDescent="0.2">
      <c r="A2870" s="120" t="s">
        <v>7734</v>
      </c>
      <c r="B2870" s="120" t="s">
        <v>3532</v>
      </c>
      <c r="C2870" s="98" t="s">
        <v>3566</v>
      </c>
      <c r="D2870" s="120" t="s">
        <v>3534</v>
      </c>
      <c r="E2870" s="98">
        <v>0</v>
      </c>
      <c r="F2870" s="120">
        <v>0</v>
      </c>
      <c r="G2870" s="121">
        <v>0</v>
      </c>
      <c r="H2870" s="123">
        <v>0</v>
      </c>
      <c r="I2870" s="122">
        <v>0</v>
      </c>
      <c r="J2870" s="124">
        <f t="shared" si="44"/>
        <v>0</v>
      </c>
    </row>
    <row r="2871" spans="1:11" ht="15" customHeight="1" x14ac:dyDescent="0.2">
      <c r="A2871" s="120" t="s">
        <v>7735</v>
      </c>
      <c r="B2871" s="120" t="s">
        <v>7725</v>
      </c>
      <c r="C2871" s="98" t="s">
        <v>3533</v>
      </c>
      <c r="D2871" s="120" t="s">
        <v>3534</v>
      </c>
      <c r="E2871" s="98">
        <v>0</v>
      </c>
      <c r="F2871" s="120">
        <v>0</v>
      </c>
      <c r="G2871" s="121">
        <v>208</v>
      </c>
      <c r="H2871" s="123">
        <v>0</v>
      </c>
      <c r="I2871" s="122">
        <v>0</v>
      </c>
      <c r="J2871" s="124">
        <f t="shared" si="44"/>
        <v>0</v>
      </c>
    </row>
    <row r="2872" spans="1:11" ht="15" customHeight="1" x14ac:dyDescent="0.2">
      <c r="A2872" s="120" t="s">
        <v>7736</v>
      </c>
      <c r="B2872" s="120" t="s">
        <v>7725</v>
      </c>
      <c r="C2872" s="98" t="s">
        <v>3533</v>
      </c>
      <c r="D2872" s="120" t="s">
        <v>3534</v>
      </c>
      <c r="E2872" s="98">
        <v>0</v>
      </c>
      <c r="F2872" s="120">
        <v>0</v>
      </c>
      <c r="G2872" s="121">
        <v>32</v>
      </c>
      <c r="H2872" s="123">
        <v>0</v>
      </c>
      <c r="I2872" s="122">
        <v>0</v>
      </c>
      <c r="J2872" s="124">
        <f t="shared" si="44"/>
        <v>0</v>
      </c>
    </row>
    <row r="2873" spans="1:11" ht="15" customHeight="1" x14ac:dyDescent="0.2">
      <c r="A2873" s="120" t="s">
        <v>7737</v>
      </c>
      <c r="B2873" s="120" t="s">
        <v>7725</v>
      </c>
      <c r="C2873" s="98" t="s">
        <v>3566</v>
      </c>
      <c r="D2873" s="120" t="s">
        <v>3534</v>
      </c>
      <c r="E2873" s="98">
        <v>0</v>
      </c>
      <c r="F2873" s="120">
        <v>0</v>
      </c>
      <c r="G2873" s="121">
        <v>300</v>
      </c>
      <c r="H2873" s="123">
        <v>0</v>
      </c>
      <c r="I2873" s="122">
        <v>0</v>
      </c>
      <c r="J2873" s="124">
        <f t="shared" si="44"/>
        <v>0</v>
      </c>
    </row>
    <row r="2874" spans="1:11" ht="15" customHeight="1" x14ac:dyDescent="0.2">
      <c r="A2874" s="120" t="s">
        <v>7738</v>
      </c>
      <c r="B2874" s="120" t="s">
        <v>7725</v>
      </c>
      <c r="C2874" s="98" t="s">
        <v>3540</v>
      </c>
      <c r="D2874" s="120" t="s">
        <v>3534</v>
      </c>
      <c r="E2874" s="98">
        <v>0</v>
      </c>
      <c r="F2874" s="120">
        <v>0</v>
      </c>
      <c r="G2874" s="121">
        <v>0</v>
      </c>
      <c r="H2874" s="123">
        <v>0</v>
      </c>
      <c r="I2874" s="122">
        <v>0</v>
      </c>
      <c r="J2874" s="124">
        <f t="shared" si="44"/>
        <v>0</v>
      </c>
    </row>
    <row r="2875" spans="1:11" ht="15" customHeight="1" x14ac:dyDescent="0.2">
      <c r="A2875" s="120" t="s">
        <v>7739</v>
      </c>
      <c r="B2875" s="120" t="s">
        <v>7725</v>
      </c>
      <c r="C2875" s="98" t="s">
        <v>3540</v>
      </c>
      <c r="D2875" s="120" t="s">
        <v>3534</v>
      </c>
      <c r="E2875" s="98">
        <v>0</v>
      </c>
      <c r="F2875" s="120">
        <v>0</v>
      </c>
      <c r="G2875" s="121">
        <v>0</v>
      </c>
      <c r="H2875" s="123">
        <v>0</v>
      </c>
      <c r="I2875" s="122">
        <v>0</v>
      </c>
      <c r="J2875" s="124">
        <f t="shared" si="44"/>
        <v>0</v>
      </c>
    </row>
    <row r="2876" spans="1:11" ht="15" customHeight="1" x14ac:dyDescent="0.2">
      <c r="A2876" s="120" t="s">
        <v>7740</v>
      </c>
      <c r="B2876" s="120" t="s">
        <v>7725</v>
      </c>
      <c r="C2876" s="98" t="s">
        <v>3533</v>
      </c>
      <c r="D2876" s="120" t="s">
        <v>3534</v>
      </c>
      <c r="E2876" s="98">
        <v>0</v>
      </c>
      <c r="F2876" s="120">
        <v>0</v>
      </c>
      <c r="G2876" s="121">
        <v>0</v>
      </c>
      <c r="H2876" s="123">
        <v>0</v>
      </c>
      <c r="I2876" s="122">
        <v>0</v>
      </c>
      <c r="J2876" s="124">
        <f t="shared" si="44"/>
        <v>0</v>
      </c>
    </row>
    <row r="2877" spans="1:11" ht="15" customHeight="1" x14ac:dyDescent="0.2">
      <c r="A2877" s="120" t="s">
        <v>7741</v>
      </c>
      <c r="B2877" s="120" t="s">
        <v>7725</v>
      </c>
      <c r="C2877" s="98" t="s">
        <v>3533</v>
      </c>
      <c r="D2877" s="120" t="s">
        <v>3534</v>
      </c>
      <c r="E2877" s="98">
        <v>0</v>
      </c>
      <c r="F2877" s="120">
        <v>0</v>
      </c>
      <c r="G2877" s="121">
        <v>0</v>
      </c>
      <c r="H2877" s="123">
        <v>0</v>
      </c>
      <c r="I2877" s="122">
        <v>0</v>
      </c>
      <c r="J2877" s="124">
        <f t="shared" si="44"/>
        <v>0</v>
      </c>
    </row>
    <row r="2878" spans="1:11" ht="15" customHeight="1" x14ac:dyDescent="0.2">
      <c r="A2878" s="120" t="s">
        <v>7742</v>
      </c>
      <c r="B2878" s="120" t="s">
        <v>7725</v>
      </c>
      <c r="C2878" s="98" t="s">
        <v>3533</v>
      </c>
      <c r="D2878" s="120" t="s">
        <v>3534</v>
      </c>
      <c r="E2878" s="98">
        <v>0</v>
      </c>
      <c r="F2878" s="120">
        <v>0</v>
      </c>
      <c r="G2878" s="121">
        <v>0</v>
      </c>
      <c r="H2878" s="123">
        <v>0</v>
      </c>
      <c r="I2878" s="122">
        <v>0</v>
      </c>
      <c r="J2878" s="124">
        <f t="shared" si="44"/>
        <v>0</v>
      </c>
    </row>
    <row r="2879" spans="1:11" ht="15" customHeight="1" x14ac:dyDescent="0.2">
      <c r="A2879" s="120" t="s">
        <v>7743</v>
      </c>
      <c r="B2879" s="120" t="s">
        <v>7725</v>
      </c>
      <c r="C2879" s="98" t="s">
        <v>3533</v>
      </c>
      <c r="D2879" s="120" t="s">
        <v>3534</v>
      </c>
      <c r="E2879" s="98">
        <v>0</v>
      </c>
      <c r="F2879" s="120">
        <v>0</v>
      </c>
      <c r="G2879" s="121">
        <v>0</v>
      </c>
      <c r="H2879" s="123">
        <v>0</v>
      </c>
      <c r="I2879" s="122">
        <v>0</v>
      </c>
      <c r="J2879" s="124">
        <f t="shared" si="44"/>
        <v>0</v>
      </c>
    </row>
    <row r="2880" spans="1:11" ht="15" customHeight="1" x14ac:dyDescent="0.2">
      <c r="A2880" s="120" t="s">
        <v>7744</v>
      </c>
      <c r="B2880" s="120" t="s">
        <v>7725</v>
      </c>
      <c r="C2880" s="98" t="s">
        <v>3540</v>
      </c>
      <c r="D2880" s="120" t="s">
        <v>3534</v>
      </c>
      <c r="E2880" s="98">
        <v>0</v>
      </c>
      <c r="F2880" s="120">
        <v>0</v>
      </c>
      <c r="G2880" s="121">
        <v>0</v>
      </c>
      <c r="H2880" s="123">
        <v>0</v>
      </c>
      <c r="I2880" s="122">
        <v>0</v>
      </c>
      <c r="J2880" s="124">
        <f t="shared" si="44"/>
        <v>0</v>
      </c>
    </row>
    <row r="2881" spans="1:10" ht="15" customHeight="1" x14ac:dyDescent="0.2">
      <c r="A2881" s="120" t="s">
        <v>7745</v>
      </c>
      <c r="B2881" s="120" t="s">
        <v>7725</v>
      </c>
      <c r="C2881" s="98" t="s">
        <v>3540</v>
      </c>
      <c r="D2881" s="120" t="s">
        <v>3534</v>
      </c>
      <c r="E2881" s="98">
        <v>0</v>
      </c>
      <c r="F2881" s="120">
        <v>0</v>
      </c>
      <c r="G2881" s="121">
        <v>0</v>
      </c>
      <c r="H2881" s="123">
        <v>0</v>
      </c>
      <c r="I2881" s="122">
        <v>0</v>
      </c>
      <c r="J2881" s="124">
        <f t="shared" si="44"/>
        <v>0</v>
      </c>
    </row>
    <row r="2882" spans="1:10" ht="15" customHeight="1" x14ac:dyDescent="0.2">
      <c r="A2882" s="120" t="s">
        <v>7746</v>
      </c>
      <c r="B2882" s="120" t="s">
        <v>3532</v>
      </c>
      <c r="C2882" s="98" t="s">
        <v>3540</v>
      </c>
      <c r="D2882" s="120" t="s">
        <v>3534</v>
      </c>
      <c r="E2882" s="98">
        <v>0</v>
      </c>
      <c r="F2882" s="120">
        <v>0</v>
      </c>
      <c r="G2882" s="121">
        <v>0</v>
      </c>
      <c r="H2882" s="123">
        <v>0</v>
      </c>
      <c r="I2882" s="122">
        <v>0</v>
      </c>
      <c r="J2882" s="124">
        <f t="shared" ref="J2882:J2945" si="45">IF(D2882="gm", E2882*1000,+E2882)</f>
        <v>0</v>
      </c>
    </row>
    <row r="2883" spans="1:10" ht="15" customHeight="1" x14ac:dyDescent="0.2">
      <c r="A2883" s="120" t="s">
        <v>7747</v>
      </c>
      <c r="B2883" s="120" t="s">
        <v>7748</v>
      </c>
      <c r="C2883" s="98" t="s">
        <v>3532</v>
      </c>
      <c r="D2883" s="120" t="s">
        <v>3534</v>
      </c>
      <c r="E2883" s="98">
        <v>0</v>
      </c>
      <c r="F2883" s="120">
        <v>0</v>
      </c>
      <c r="G2883" s="121">
        <v>0</v>
      </c>
      <c r="H2883" s="123">
        <v>0</v>
      </c>
      <c r="I2883" s="122">
        <v>0</v>
      </c>
      <c r="J2883" s="124">
        <f t="shared" si="45"/>
        <v>0</v>
      </c>
    </row>
    <row r="2884" spans="1:10" ht="15" customHeight="1" x14ac:dyDescent="0.2">
      <c r="A2884" s="120" t="s">
        <v>7749</v>
      </c>
      <c r="B2884" s="120" t="s">
        <v>3532</v>
      </c>
      <c r="C2884" s="98" t="s">
        <v>3532</v>
      </c>
      <c r="D2884" s="120" t="s">
        <v>3534</v>
      </c>
      <c r="E2884" s="98">
        <v>0</v>
      </c>
      <c r="F2884" s="120">
        <v>0</v>
      </c>
      <c r="G2884" s="121">
        <v>0</v>
      </c>
      <c r="H2884" s="123">
        <v>0</v>
      </c>
      <c r="I2884" s="122">
        <v>0</v>
      </c>
      <c r="J2884" s="124">
        <f t="shared" si="45"/>
        <v>0</v>
      </c>
    </row>
    <row r="2885" spans="1:10" ht="15" customHeight="1" x14ac:dyDescent="0.2">
      <c r="A2885" s="120" t="s">
        <v>7750</v>
      </c>
      <c r="B2885" s="120" t="s">
        <v>3532</v>
      </c>
      <c r="C2885" s="98" t="s">
        <v>3532</v>
      </c>
      <c r="D2885" s="120" t="s">
        <v>3534</v>
      </c>
      <c r="E2885" s="98">
        <v>0</v>
      </c>
      <c r="F2885" s="120">
        <v>0</v>
      </c>
      <c r="G2885" s="121">
        <v>0</v>
      </c>
      <c r="H2885" s="123">
        <v>0</v>
      </c>
      <c r="I2885" s="122">
        <v>0</v>
      </c>
      <c r="J2885" s="124">
        <f t="shared" si="45"/>
        <v>0</v>
      </c>
    </row>
    <row r="2886" spans="1:10" ht="15" customHeight="1" x14ac:dyDescent="0.2">
      <c r="A2886" s="120" t="s">
        <v>7751</v>
      </c>
      <c r="B2886" s="120" t="s">
        <v>3532</v>
      </c>
      <c r="C2886" s="98" t="s">
        <v>3540</v>
      </c>
      <c r="D2886" s="120" t="s">
        <v>3534</v>
      </c>
      <c r="E2886" s="98">
        <v>0</v>
      </c>
      <c r="F2886" s="120">
        <v>0</v>
      </c>
      <c r="G2886" s="121">
        <v>0</v>
      </c>
      <c r="H2886" s="123">
        <v>0</v>
      </c>
      <c r="I2886" s="122">
        <v>0</v>
      </c>
      <c r="J2886" s="124">
        <f t="shared" si="45"/>
        <v>0</v>
      </c>
    </row>
    <row r="2887" spans="1:10" ht="15" customHeight="1" x14ac:dyDescent="0.2">
      <c r="A2887" s="120" t="s">
        <v>7752</v>
      </c>
      <c r="B2887" s="120" t="s">
        <v>3532</v>
      </c>
      <c r="C2887" s="98" t="s">
        <v>3540</v>
      </c>
      <c r="D2887" s="120" t="s">
        <v>3534</v>
      </c>
      <c r="E2887" s="98">
        <v>0</v>
      </c>
      <c r="F2887" s="120">
        <v>0</v>
      </c>
      <c r="G2887" s="121">
        <v>0</v>
      </c>
      <c r="H2887" s="123">
        <v>0</v>
      </c>
      <c r="I2887" s="122">
        <v>0</v>
      </c>
      <c r="J2887" s="124">
        <f t="shared" si="45"/>
        <v>0</v>
      </c>
    </row>
    <row r="2888" spans="1:10" ht="15" customHeight="1" x14ac:dyDescent="0.2">
      <c r="A2888" s="120" t="s">
        <v>7753</v>
      </c>
      <c r="B2888" s="120" t="s">
        <v>3532</v>
      </c>
      <c r="C2888" s="98" t="s">
        <v>3532</v>
      </c>
      <c r="D2888" s="120" t="s">
        <v>3563</v>
      </c>
      <c r="E2888" s="98">
        <v>0</v>
      </c>
      <c r="F2888" s="120">
        <v>0</v>
      </c>
      <c r="G2888" s="121">
        <v>0</v>
      </c>
      <c r="H2888" s="123">
        <v>0</v>
      </c>
      <c r="I2888" s="122">
        <v>0</v>
      </c>
      <c r="J2888" s="124">
        <f t="shared" si="45"/>
        <v>0</v>
      </c>
    </row>
    <row r="2889" spans="1:10" ht="15" customHeight="1" x14ac:dyDescent="0.2">
      <c r="A2889" s="120" t="s">
        <v>7754</v>
      </c>
      <c r="B2889" s="120" t="s">
        <v>3532</v>
      </c>
      <c r="C2889" s="98" t="s">
        <v>3532</v>
      </c>
      <c r="D2889" s="120" t="s">
        <v>3563</v>
      </c>
      <c r="E2889" s="98">
        <v>0</v>
      </c>
      <c r="F2889" s="120">
        <v>0</v>
      </c>
      <c r="G2889" s="121">
        <v>0</v>
      </c>
      <c r="H2889" s="123">
        <v>0</v>
      </c>
      <c r="I2889" s="122">
        <v>0</v>
      </c>
      <c r="J2889" s="124">
        <f t="shared" si="45"/>
        <v>0</v>
      </c>
    </row>
    <row r="2890" spans="1:10" ht="15" customHeight="1" x14ac:dyDescent="0.2">
      <c r="A2890" s="120" t="s">
        <v>7755</v>
      </c>
      <c r="B2890" s="120" t="s">
        <v>3532</v>
      </c>
      <c r="C2890" s="98" t="s">
        <v>3532</v>
      </c>
      <c r="D2890" s="120" t="s">
        <v>3563</v>
      </c>
      <c r="E2890" s="98">
        <v>0</v>
      </c>
      <c r="F2890" s="120">
        <v>0</v>
      </c>
      <c r="G2890" s="121">
        <v>0</v>
      </c>
      <c r="H2890" s="123">
        <v>0</v>
      </c>
      <c r="I2890" s="122">
        <v>0</v>
      </c>
      <c r="J2890" s="124">
        <f t="shared" si="45"/>
        <v>0</v>
      </c>
    </row>
    <row r="2891" spans="1:10" ht="15" customHeight="1" x14ac:dyDescent="0.2">
      <c r="A2891" s="120" t="s">
        <v>7756</v>
      </c>
      <c r="B2891" s="120" t="s">
        <v>3532</v>
      </c>
      <c r="C2891" s="98" t="s">
        <v>3532</v>
      </c>
      <c r="D2891" s="120" t="s">
        <v>3563</v>
      </c>
      <c r="E2891" s="98">
        <v>0</v>
      </c>
      <c r="F2891" s="120">
        <v>0</v>
      </c>
      <c r="G2891" s="121">
        <v>0</v>
      </c>
      <c r="H2891" s="123">
        <v>0</v>
      </c>
      <c r="I2891" s="122">
        <v>0</v>
      </c>
      <c r="J2891" s="124">
        <f t="shared" si="45"/>
        <v>0</v>
      </c>
    </row>
    <row r="2892" spans="1:10" ht="15" customHeight="1" x14ac:dyDescent="0.2">
      <c r="A2892" s="120" t="s">
        <v>7757</v>
      </c>
      <c r="B2892" s="120" t="s">
        <v>7748</v>
      </c>
      <c r="C2892" s="98" t="s">
        <v>3532</v>
      </c>
      <c r="D2892" s="120" t="s">
        <v>3563</v>
      </c>
      <c r="E2892" s="98">
        <v>0</v>
      </c>
      <c r="F2892" s="120">
        <v>0</v>
      </c>
      <c r="G2892" s="121">
        <v>0</v>
      </c>
      <c r="H2892" s="123">
        <v>0</v>
      </c>
      <c r="I2892" s="122">
        <v>0</v>
      </c>
      <c r="J2892" s="124">
        <f t="shared" si="45"/>
        <v>0</v>
      </c>
    </row>
    <row r="2893" spans="1:10" ht="15" customHeight="1" x14ac:dyDescent="0.2">
      <c r="A2893" s="120" t="s">
        <v>7758</v>
      </c>
      <c r="B2893" s="120" t="s">
        <v>7748</v>
      </c>
      <c r="C2893" s="98" t="s">
        <v>3533</v>
      </c>
      <c r="D2893" s="120" t="s">
        <v>3563</v>
      </c>
      <c r="E2893" s="98">
        <v>0</v>
      </c>
      <c r="F2893" s="120">
        <v>0</v>
      </c>
      <c r="G2893" s="121">
        <v>0</v>
      </c>
      <c r="H2893" s="123">
        <v>0</v>
      </c>
      <c r="I2893" s="122">
        <v>0</v>
      </c>
      <c r="J2893" s="124">
        <f t="shared" si="45"/>
        <v>0</v>
      </c>
    </row>
    <row r="2894" spans="1:10" ht="15" customHeight="1" x14ac:dyDescent="0.2">
      <c r="A2894" s="120" t="s">
        <v>7759</v>
      </c>
      <c r="B2894" s="120" t="s">
        <v>7748</v>
      </c>
      <c r="C2894" s="98" t="s">
        <v>3533</v>
      </c>
      <c r="D2894" s="120" t="s">
        <v>3563</v>
      </c>
      <c r="E2894" s="98">
        <v>0</v>
      </c>
      <c r="F2894" s="120">
        <v>0</v>
      </c>
      <c r="G2894" s="121">
        <v>0</v>
      </c>
      <c r="H2894" s="123">
        <v>0</v>
      </c>
      <c r="I2894" s="122">
        <v>0</v>
      </c>
      <c r="J2894" s="124">
        <f t="shared" si="45"/>
        <v>0</v>
      </c>
    </row>
    <row r="2895" spans="1:10" ht="15" customHeight="1" x14ac:dyDescent="0.2">
      <c r="A2895" s="120" t="s">
        <v>7760</v>
      </c>
      <c r="B2895" s="120" t="s">
        <v>7761</v>
      </c>
      <c r="C2895" s="98" t="s">
        <v>3532</v>
      </c>
      <c r="D2895" s="120" t="s">
        <v>3563</v>
      </c>
      <c r="E2895" s="98">
        <v>0</v>
      </c>
      <c r="F2895" s="120">
        <v>0</v>
      </c>
      <c r="G2895" s="121">
        <v>0</v>
      </c>
      <c r="H2895" s="123">
        <v>0</v>
      </c>
      <c r="I2895" s="122">
        <v>0</v>
      </c>
      <c r="J2895" s="124">
        <f t="shared" si="45"/>
        <v>0</v>
      </c>
    </row>
    <row r="2896" spans="1:10" ht="15" customHeight="1" x14ac:dyDescent="0.2">
      <c r="A2896" s="120" t="s">
        <v>7762</v>
      </c>
      <c r="B2896" s="120" t="s">
        <v>7748</v>
      </c>
      <c r="C2896" s="98" t="s">
        <v>3533</v>
      </c>
      <c r="D2896" s="120" t="s">
        <v>3563</v>
      </c>
      <c r="E2896" s="98">
        <v>0</v>
      </c>
      <c r="F2896" s="120">
        <v>0</v>
      </c>
      <c r="G2896" s="121">
        <v>0</v>
      </c>
      <c r="H2896" s="123">
        <v>0</v>
      </c>
      <c r="I2896" s="122">
        <v>0</v>
      </c>
      <c r="J2896" s="124">
        <f t="shared" si="45"/>
        <v>0</v>
      </c>
    </row>
    <row r="2897" spans="1:10" ht="15" customHeight="1" x14ac:dyDescent="0.2">
      <c r="A2897" s="120" t="s">
        <v>7763</v>
      </c>
      <c r="B2897" s="120" t="s">
        <v>7761</v>
      </c>
      <c r="C2897" s="98" t="s">
        <v>3532</v>
      </c>
      <c r="D2897" s="120" t="s">
        <v>3563</v>
      </c>
      <c r="E2897" s="98">
        <v>0</v>
      </c>
      <c r="F2897" s="120">
        <v>0</v>
      </c>
      <c r="G2897" s="121">
        <v>0</v>
      </c>
      <c r="H2897" s="123">
        <v>0</v>
      </c>
      <c r="I2897" s="122">
        <v>0</v>
      </c>
      <c r="J2897" s="124">
        <f t="shared" si="45"/>
        <v>0</v>
      </c>
    </row>
    <row r="2898" spans="1:10" ht="15" customHeight="1" x14ac:dyDescent="0.2">
      <c r="A2898" s="120" t="s">
        <v>7764</v>
      </c>
      <c r="B2898" s="120" t="s">
        <v>7761</v>
      </c>
      <c r="C2898" s="98" t="s">
        <v>3533</v>
      </c>
      <c r="D2898" s="120" t="s">
        <v>3563</v>
      </c>
      <c r="E2898" s="98">
        <v>0</v>
      </c>
      <c r="F2898" s="120">
        <v>0</v>
      </c>
      <c r="G2898" s="121">
        <v>0</v>
      </c>
      <c r="H2898" s="123">
        <v>0</v>
      </c>
      <c r="I2898" s="122">
        <v>0</v>
      </c>
      <c r="J2898" s="124">
        <f t="shared" si="45"/>
        <v>0</v>
      </c>
    </row>
    <row r="2899" spans="1:10" ht="15" customHeight="1" x14ac:dyDescent="0.2">
      <c r="A2899" s="120" t="s">
        <v>7765</v>
      </c>
      <c r="B2899" s="120" t="s">
        <v>7748</v>
      </c>
      <c r="C2899" s="98" t="s">
        <v>3532</v>
      </c>
      <c r="D2899" s="120" t="s">
        <v>3534</v>
      </c>
      <c r="E2899" s="98">
        <v>0</v>
      </c>
      <c r="F2899" s="120">
        <v>0</v>
      </c>
      <c r="G2899" s="121">
        <v>0</v>
      </c>
      <c r="H2899" s="123">
        <v>0</v>
      </c>
      <c r="I2899" s="122">
        <v>0</v>
      </c>
      <c r="J2899" s="124">
        <f t="shared" si="45"/>
        <v>0</v>
      </c>
    </row>
    <row r="2900" spans="1:10" ht="15" customHeight="1" x14ac:dyDescent="0.2">
      <c r="A2900" s="120" t="s">
        <v>7766</v>
      </c>
      <c r="B2900" s="120" t="s">
        <v>7767</v>
      </c>
      <c r="C2900" s="98" t="s">
        <v>3540</v>
      </c>
      <c r="D2900" s="120" t="s">
        <v>3534</v>
      </c>
      <c r="E2900" s="98">
        <v>0</v>
      </c>
      <c r="F2900" s="120">
        <v>0</v>
      </c>
      <c r="G2900" s="121">
        <v>0</v>
      </c>
      <c r="H2900" s="123">
        <v>0</v>
      </c>
      <c r="I2900" s="122">
        <v>0</v>
      </c>
      <c r="J2900" s="124">
        <f t="shared" si="45"/>
        <v>0</v>
      </c>
    </row>
    <row r="2901" spans="1:10" ht="15" customHeight="1" x14ac:dyDescent="0.2">
      <c r="A2901" s="120" t="s">
        <v>7768</v>
      </c>
      <c r="B2901" s="120" t="s">
        <v>3532</v>
      </c>
      <c r="C2901" s="98" t="s">
        <v>3532</v>
      </c>
      <c r="D2901" s="120" t="s">
        <v>3534</v>
      </c>
      <c r="E2901" s="98">
        <v>0</v>
      </c>
      <c r="F2901" s="120">
        <v>0</v>
      </c>
      <c r="G2901" s="121">
        <v>0</v>
      </c>
      <c r="H2901" s="123">
        <v>0</v>
      </c>
      <c r="I2901" s="122">
        <v>0</v>
      </c>
      <c r="J2901" s="124">
        <f t="shared" si="45"/>
        <v>0</v>
      </c>
    </row>
    <row r="2902" spans="1:10" ht="15" customHeight="1" x14ac:dyDescent="0.2">
      <c r="A2902" s="120" t="s">
        <v>7769</v>
      </c>
      <c r="B2902" s="120" t="s">
        <v>3532</v>
      </c>
      <c r="C2902" s="98" t="s">
        <v>3532</v>
      </c>
      <c r="D2902" s="120" t="s">
        <v>3534</v>
      </c>
      <c r="E2902" s="98">
        <v>0</v>
      </c>
      <c r="F2902" s="120">
        <v>0</v>
      </c>
      <c r="G2902" s="121">
        <v>0</v>
      </c>
      <c r="H2902" s="123">
        <v>0</v>
      </c>
      <c r="I2902" s="122">
        <v>0</v>
      </c>
      <c r="J2902" s="124">
        <f t="shared" si="45"/>
        <v>0</v>
      </c>
    </row>
    <row r="2903" spans="1:10" ht="15" customHeight="1" x14ac:dyDescent="0.2">
      <c r="A2903" s="120" t="s">
        <v>7770</v>
      </c>
      <c r="B2903" s="120" t="s">
        <v>3532</v>
      </c>
      <c r="C2903" s="98" t="s">
        <v>3532</v>
      </c>
      <c r="D2903" s="120" t="s">
        <v>3534</v>
      </c>
      <c r="E2903" s="98">
        <v>0</v>
      </c>
      <c r="F2903" s="120">
        <v>0</v>
      </c>
      <c r="G2903" s="121">
        <v>0</v>
      </c>
      <c r="H2903" s="123">
        <v>0</v>
      </c>
      <c r="I2903" s="122">
        <v>0</v>
      </c>
      <c r="J2903" s="124">
        <f t="shared" si="45"/>
        <v>0</v>
      </c>
    </row>
    <row r="2904" spans="1:10" ht="15" customHeight="1" x14ac:dyDescent="0.2">
      <c r="A2904" s="120" t="s">
        <v>7771</v>
      </c>
      <c r="B2904" s="120" t="s">
        <v>3532</v>
      </c>
      <c r="C2904" s="98" t="s">
        <v>3532</v>
      </c>
      <c r="D2904" s="120" t="s">
        <v>3534</v>
      </c>
      <c r="E2904" s="98">
        <v>0</v>
      </c>
      <c r="F2904" s="120">
        <v>0</v>
      </c>
      <c r="G2904" s="121">
        <v>0</v>
      </c>
      <c r="H2904" s="123">
        <v>0</v>
      </c>
      <c r="I2904" s="122">
        <v>0</v>
      </c>
      <c r="J2904" s="124">
        <f t="shared" si="45"/>
        <v>0</v>
      </c>
    </row>
    <row r="2905" spans="1:10" ht="15" customHeight="1" x14ac:dyDescent="0.2">
      <c r="A2905" s="120" t="s">
        <v>7772</v>
      </c>
      <c r="B2905" s="120" t="s">
        <v>3532</v>
      </c>
      <c r="C2905" s="98" t="s">
        <v>3532</v>
      </c>
      <c r="D2905" s="120" t="s">
        <v>3534</v>
      </c>
      <c r="E2905" s="98">
        <v>0</v>
      </c>
      <c r="F2905" s="120">
        <v>0</v>
      </c>
      <c r="G2905" s="121">
        <v>0</v>
      </c>
      <c r="H2905" s="123">
        <v>0</v>
      </c>
      <c r="I2905" s="122">
        <v>0</v>
      </c>
      <c r="J2905" s="124">
        <f t="shared" si="45"/>
        <v>0</v>
      </c>
    </row>
    <row r="2906" spans="1:10" ht="15" customHeight="1" x14ac:dyDescent="0.2">
      <c r="A2906" s="120" t="s">
        <v>7773</v>
      </c>
      <c r="B2906" s="120" t="s">
        <v>3532</v>
      </c>
      <c r="C2906" s="98" t="s">
        <v>3532</v>
      </c>
      <c r="D2906" s="120" t="s">
        <v>3534</v>
      </c>
      <c r="E2906" s="98">
        <v>0</v>
      </c>
      <c r="F2906" s="120">
        <v>0</v>
      </c>
      <c r="G2906" s="121">
        <v>0</v>
      </c>
      <c r="H2906" s="123">
        <v>0</v>
      </c>
      <c r="I2906" s="122">
        <v>0</v>
      </c>
      <c r="J2906" s="124">
        <f t="shared" si="45"/>
        <v>0</v>
      </c>
    </row>
    <row r="2907" spans="1:10" ht="15" customHeight="1" x14ac:dyDescent="0.2">
      <c r="A2907" s="120" t="s">
        <v>7774</v>
      </c>
      <c r="B2907" s="120" t="s">
        <v>3532</v>
      </c>
      <c r="C2907" s="98" t="s">
        <v>3532</v>
      </c>
      <c r="D2907" s="120" t="s">
        <v>3534</v>
      </c>
      <c r="E2907" s="98">
        <v>0</v>
      </c>
      <c r="F2907" s="120">
        <v>0</v>
      </c>
      <c r="G2907" s="121">
        <v>0</v>
      </c>
      <c r="H2907" s="123">
        <v>0</v>
      </c>
      <c r="I2907" s="122">
        <v>0</v>
      </c>
      <c r="J2907" s="124">
        <f t="shared" si="45"/>
        <v>0</v>
      </c>
    </row>
    <row r="2908" spans="1:10" ht="15" customHeight="1" x14ac:dyDescent="0.2">
      <c r="A2908" s="120" t="s">
        <v>7775</v>
      </c>
      <c r="B2908" s="120" t="s">
        <v>3532</v>
      </c>
      <c r="C2908" s="98" t="s">
        <v>3533</v>
      </c>
      <c r="D2908" s="120" t="s">
        <v>3534</v>
      </c>
      <c r="E2908" s="98">
        <v>0</v>
      </c>
      <c r="F2908" s="120">
        <v>0</v>
      </c>
      <c r="G2908" s="121">
        <v>0</v>
      </c>
      <c r="H2908" s="123">
        <v>0</v>
      </c>
      <c r="I2908" s="122">
        <v>0</v>
      </c>
      <c r="J2908" s="124">
        <f t="shared" si="45"/>
        <v>0</v>
      </c>
    </row>
    <row r="2909" spans="1:10" ht="15" customHeight="1" x14ac:dyDescent="0.2">
      <c r="A2909" s="120" t="s">
        <v>7776</v>
      </c>
      <c r="B2909" s="120" t="s">
        <v>3532</v>
      </c>
      <c r="C2909" s="98" t="s">
        <v>3532</v>
      </c>
      <c r="D2909" s="120" t="s">
        <v>3534</v>
      </c>
      <c r="E2909" s="98">
        <v>0</v>
      </c>
      <c r="F2909" s="120">
        <v>0</v>
      </c>
      <c r="G2909" s="121">
        <v>177</v>
      </c>
      <c r="H2909" s="123">
        <v>0</v>
      </c>
      <c r="I2909" s="122">
        <v>0</v>
      </c>
      <c r="J2909" s="124">
        <f t="shared" si="45"/>
        <v>0</v>
      </c>
    </row>
    <row r="2910" spans="1:10" ht="15" customHeight="1" x14ac:dyDescent="0.2">
      <c r="A2910" s="120" t="s">
        <v>7777</v>
      </c>
      <c r="B2910" s="120" t="s">
        <v>7778</v>
      </c>
      <c r="C2910" s="98" t="s">
        <v>3533</v>
      </c>
      <c r="D2910" s="120" t="s">
        <v>3563</v>
      </c>
      <c r="E2910" s="98">
        <v>0</v>
      </c>
      <c r="F2910" s="120">
        <v>0</v>
      </c>
      <c r="G2910" s="121">
        <v>60</v>
      </c>
      <c r="H2910" s="123">
        <v>0</v>
      </c>
      <c r="I2910" s="122">
        <v>0</v>
      </c>
      <c r="J2910" s="124">
        <f t="shared" si="45"/>
        <v>0</v>
      </c>
    </row>
    <row r="2911" spans="1:10" ht="15" customHeight="1" x14ac:dyDescent="0.2">
      <c r="A2911" s="120" t="s">
        <v>7779</v>
      </c>
      <c r="B2911" s="120" t="s">
        <v>3532</v>
      </c>
      <c r="C2911" s="98" t="s">
        <v>3533</v>
      </c>
      <c r="D2911" s="120" t="s">
        <v>3534</v>
      </c>
      <c r="E2911" s="98">
        <v>0</v>
      </c>
      <c r="F2911" s="120">
        <v>0</v>
      </c>
      <c r="G2911" s="121">
        <v>0</v>
      </c>
      <c r="H2911" s="123">
        <v>0</v>
      </c>
      <c r="I2911" s="122">
        <v>0</v>
      </c>
      <c r="J2911" s="124">
        <f t="shared" si="45"/>
        <v>0</v>
      </c>
    </row>
    <row r="2912" spans="1:10" ht="15" customHeight="1" x14ac:dyDescent="0.2">
      <c r="A2912" s="120" t="s">
        <v>7780</v>
      </c>
      <c r="B2912" s="120" t="s">
        <v>3532</v>
      </c>
      <c r="C2912" s="98" t="s">
        <v>3533</v>
      </c>
      <c r="D2912" s="120" t="s">
        <v>3534</v>
      </c>
      <c r="E2912" s="98">
        <v>0</v>
      </c>
      <c r="F2912" s="120">
        <v>0</v>
      </c>
      <c r="G2912" s="121">
        <v>2740</v>
      </c>
      <c r="H2912" s="123">
        <v>0</v>
      </c>
      <c r="I2912" s="122">
        <v>0</v>
      </c>
      <c r="J2912" s="124">
        <f t="shared" si="45"/>
        <v>0</v>
      </c>
    </row>
    <row r="2913" spans="1:10" ht="15" customHeight="1" x14ac:dyDescent="0.2">
      <c r="A2913" s="120" t="s">
        <v>7781</v>
      </c>
      <c r="B2913" s="120" t="s">
        <v>3532</v>
      </c>
      <c r="C2913" s="98" t="s">
        <v>3533</v>
      </c>
      <c r="D2913" s="120" t="s">
        <v>3534</v>
      </c>
      <c r="E2913" s="98">
        <v>0</v>
      </c>
      <c r="F2913" s="120">
        <v>0</v>
      </c>
      <c r="G2913" s="121">
        <v>0</v>
      </c>
      <c r="H2913" s="123">
        <v>0</v>
      </c>
      <c r="I2913" s="122">
        <v>0</v>
      </c>
      <c r="J2913" s="124">
        <f t="shared" si="45"/>
        <v>0</v>
      </c>
    </row>
    <row r="2914" spans="1:10" ht="15" customHeight="1" x14ac:dyDescent="0.2">
      <c r="A2914" s="120" t="s">
        <v>7782</v>
      </c>
      <c r="B2914" s="120" t="s">
        <v>3532</v>
      </c>
      <c r="C2914" s="98" t="s">
        <v>3532</v>
      </c>
      <c r="D2914" s="120" t="s">
        <v>3534</v>
      </c>
      <c r="E2914" s="98">
        <v>0</v>
      </c>
      <c r="F2914" s="120">
        <v>0</v>
      </c>
      <c r="G2914" s="121">
        <v>2395</v>
      </c>
      <c r="H2914" s="123">
        <v>0</v>
      </c>
      <c r="I2914" s="122">
        <v>0</v>
      </c>
      <c r="J2914" s="124">
        <f t="shared" si="45"/>
        <v>0</v>
      </c>
    </row>
    <row r="2915" spans="1:10" ht="15" customHeight="1" x14ac:dyDescent="0.2">
      <c r="A2915" s="120" t="s">
        <v>7783</v>
      </c>
      <c r="B2915" s="120" t="s">
        <v>3532</v>
      </c>
      <c r="C2915" s="98" t="s">
        <v>3532</v>
      </c>
      <c r="D2915" s="120" t="s">
        <v>3534</v>
      </c>
      <c r="E2915" s="98">
        <v>0</v>
      </c>
      <c r="F2915" s="120">
        <v>0</v>
      </c>
      <c r="G2915" s="121">
        <v>0</v>
      </c>
      <c r="H2915" s="123">
        <v>0</v>
      </c>
      <c r="I2915" s="122">
        <v>0</v>
      </c>
      <c r="J2915" s="124">
        <f t="shared" si="45"/>
        <v>0</v>
      </c>
    </row>
    <row r="2916" spans="1:10" ht="15" customHeight="1" x14ac:dyDescent="0.2">
      <c r="A2916" s="120" t="s">
        <v>7784</v>
      </c>
      <c r="B2916" s="120" t="s">
        <v>3532</v>
      </c>
      <c r="C2916" s="98" t="s">
        <v>3533</v>
      </c>
      <c r="D2916" s="120" t="s">
        <v>3563</v>
      </c>
      <c r="E2916" s="98">
        <v>0</v>
      </c>
      <c r="F2916" s="120">
        <v>0</v>
      </c>
      <c r="G2916" s="121">
        <v>0</v>
      </c>
      <c r="H2916" s="123">
        <v>0</v>
      </c>
      <c r="I2916" s="122">
        <v>0</v>
      </c>
      <c r="J2916" s="124">
        <f t="shared" si="45"/>
        <v>0</v>
      </c>
    </row>
    <row r="2917" spans="1:10" ht="15" customHeight="1" x14ac:dyDescent="0.2">
      <c r="A2917" s="120" t="s">
        <v>7785</v>
      </c>
      <c r="B2917" s="120" t="s">
        <v>3532</v>
      </c>
      <c r="C2917" s="98" t="s">
        <v>3532</v>
      </c>
      <c r="D2917" s="120" t="s">
        <v>3563</v>
      </c>
      <c r="E2917" s="98">
        <v>0</v>
      </c>
      <c r="F2917" s="120">
        <v>0</v>
      </c>
      <c r="G2917" s="121">
        <v>0</v>
      </c>
      <c r="H2917" s="123">
        <v>0</v>
      </c>
      <c r="I2917" s="122">
        <v>0</v>
      </c>
      <c r="J2917" s="124">
        <f t="shared" si="45"/>
        <v>0</v>
      </c>
    </row>
    <row r="2918" spans="1:10" ht="15" customHeight="1" x14ac:dyDescent="0.2">
      <c r="A2918" s="120" t="s">
        <v>7786</v>
      </c>
      <c r="B2918" s="120" t="s">
        <v>3532</v>
      </c>
      <c r="C2918" s="98" t="s">
        <v>3532</v>
      </c>
      <c r="D2918" s="120" t="s">
        <v>3563</v>
      </c>
      <c r="E2918" s="98">
        <v>0</v>
      </c>
      <c r="F2918" s="120">
        <v>0</v>
      </c>
      <c r="G2918" s="121">
        <v>0</v>
      </c>
      <c r="H2918" s="123">
        <v>0</v>
      </c>
      <c r="I2918" s="122">
        <v>0</v>
      </c>
      <c r="J2918" s="124">
        <f t="shared" si="45"/>
        <v>0</v>
      </c>
    </row>
    <row r="2919" spans="1:10" ht="15" customHeight="1" x14ac:dyDescent="0.2">
      <c r="A2919" s="120" t="s">
        <v>7787</v>
      </c>
      <c r="B2919" s="120" t="s">
        <v>3532</v>
      </c>
      <c r="C2919" s="98" t="s">
        <v>3532</v>
      </c>
      <c r="D2919" s="120" t="s">
        <v>3563</v>
      </c>
      <c r="E2919" s="98">
        <v>0</v>
      </c>
      <c r="F2919" s="120">
        <v>0</v>
      </c>
      <c r="G2919" s="121">
        <v>0</v>
      </c>
      <c r="H2919" s="123">
        <v>0</v>
      </c>
      <c r="I2919" s="122">
        <v>0</v>
      </c>
      <c r="J2919" s="124">
        <f t="shared" si="45"/>
        <v>0</v>
      </c>
    </row>
    <row r="2920" spans="1:10" ht="15" customHeight="1" x14ac:dyDescent="0.2">
      <c r="A2920" s="120" t="s">
        <v>7788</v>
      </c>
      <c r="B2920" s="120" t="s">
        <v>3532</v>
      </c>
      <c r="C2920" s="98" t="s">
        <v>3532</v>
      </c>
      <c r="D2920" s="120" t="s">
        <v>3563</v>
      </c>
      <c r="E2920" s="98">
        <v>0</v>
      </c>
      <c r="F2920" s="120">
        <v>0</v>
      </c>
      <c r="G2920" s="121">
        <v>0</v>
      </c>
      <c r="H2920" s="123">
        <v>0</v>
      </c>
      <c r="I2920" s="122">
        <v>0</v>
      </c>
      <c r="J2920" s="124">
        <f t="shared" si="45"/>
        <v>0</v>
      </c>
    </row>
    <row r="2921" spans="1:10" ht="15" customHeight="1" x14ac:dyDescent="0.2">
      <c r="A2921" s="120" t="s">
        <v>7789</v>
      </c>
      <c r="B2921" s="120" t="s">
        <v>3532</v>
      </c>
      <c r="C2921" s="98" t="s">
        <v>3532</v>
      </c>
      <c r="D2921" s="120" t="s">
        <v>3563</v>
      </c>
      <c r="E2921" s="98">
        <v>0</v>
      </c>
      <c r="F2921" s="120">
        <v>0</v>
      </c>
      <c r="G2921" s="121">
        <v>0</v>
      </c>
      <c r="H2921" s="123">
        <v>0</v>
      </c>
      <c r="I2921" s="122">
        <v>0</v>
      </c>
      <c r="J2921" s="124">
        <f t="shared" si="45"/>
        <v>0</v>
      </c>
    </row>
    <row r="2922" spans="1:10" ht="15" customHeight="1" x14ac:dyDescent="0.2">
      <c r="A2922" s="120" t="s">
        <v>7790</v>
      </c>
      <c r="B2922" s="120" t="s">
        <v>3532</v>
      </c>
      <c r="C2922" s="98" t="s">
        <v>3533</v>
      </c>
      <c r="D2922" s="120" t="s">
        <v>3563</v>
      </c>
      <c r="E2922" s="98">
        <v>0</v>
      </c>
      <c r="F2922" s="120">
        <v>0</v>
      </c>
      <c r="G2922" s="121">
        <v>0</v>
      </c>
      <c r="H2922" s="123">
        <v>0</v>
      </c>
      <c r="I2922" s="122">
        <v>0</v>
      </c>
      <c r="J2922" s="124">
        <f t="shared" si="45"/>
        <v>0</v>
      </c>
    </row>
    <row r="2923" spans="1:10" ht="15" customHeight="1" x14ac:dyDescent="0.2">
      <c r="A2923" s="120" t="s">
        <v>7791</v>
      </c>
      <c r="B2923" s="120" t="s">
        <v>6387</v>
      </c>
      <c r="C2923" s="98" t="s">
        <v>3533</v>
      </c>
      <c r="D2923" s="120" t="s">
        <v>3563</v>
      </c>
      <c r="E2923" s="98">
        <v>0</v>
      </c>
      <c r="F2923" s="120">
        <v>0</v>
      </c>
      <c r="G2923" s="121">
        <v>0</v>
      </c>
      <c r="H2923" s="123">
        <v>0</v>
      </c>
      <c r="I2923" s="122">
        <v>0</v>
      </c>
      <c r="J2923" s="124">
        <f t="shared" si="45"/>
        <v>0</v>
      </c>
    </row>
    <row r="2924" spans="1:10" ht="15" customHeight="1" x14ac:dyDescent="0.2">
      <c r="A2924" s="120" t="s">
        <v>7792</v>
      </c>
      <c r="B2924" s="120" t="s">
        <v>3532</v>
      </c>
      <c r="C2924" s="98" t="s">
        <v>3533</v>
      </c>
      <c r="D2924" s="120" t="s">
        <v>3563</v>
      </c>
      <c r="E2924" s="98">
        <v>0</v>
      </c>
      <c r="F2924" s="120">
        <v>0</v>
      </c>
      <c r="G2924" s="121">
        <v>0</v>
      </c>
      <c r="H2924" s="123">
        <v>0</v>
      </c>
      <c r="I2924" s="122">
        <v>0</v>
      </c>
      <c r="J2924" s="124">
        <f t="shared" si="45"/>
        <v>0</v>
      </c>
    </row>
    <row r="2925" spans="1:10" ht="15" customHeight="1" x14ac:dyDescent="0.2">
      <c r="A2925" s="120" t="s">
        <v>7793</v>
      </c>
      <c r="B2925" s="120" t="s">
        <v>6387</v>
      </c>
      <c r="C2925" s="98" t="s">
        <v>3540</v>
      </c>
      <c r="D2925" s="120" t="s">
        <v>3563</v>
      </c>
      <c r="E2925" s="98">
        <v>0</v>
      </c>
      <c r="F2925" s="120">
        <v>0</v>
      </c>
      <c r="G2925" s="121">
        <v>0</v>
      </c>
      <c r="H2925" s="123">
        <v>0</v>
      </c>
      <c r="I2925" s="122">
        <v>0</v>
      </c>
      <c r="J2925" s="124">
        <f t="shared" si="45"/>
        <v>0</v>
      </c>
    </row>
    <row r="2926" spans="1:10" ht="15" customHeight="1" x14ac:dyDescent="0.2">
      <c r="A2926" s="120" t="s">
        <v>7794</v>
      </c>
      <c r="B2926" s="120" t="s">
        <v>7795</v>
      </c>
      <c r="C2926" s="98" t="s">
        <v>3533</v>
      </c>
      <c r="D2926" s="120" t="s">
        <v>3534</v>
      </c>
      <c r="E2926" s="98">
        <v>0</v>
      </c>
      <c r="F2926" s="120">
        <v>0</v>
      </c>
      <c r="G2926" s="121">
        <v>0</v>
      </c>
      <c r="H2926" s="123">
        <v>0</v>
      </c>
      <c r="I2926" s="122">
        <v>0</v>
      </c>
      <c r="J2926" s="124">
        <f t="shared" si="45"/>
        <v>0</v>
      </c>
    </row>
    <row r="2927" spans="1:10" ht="15" customHeight="1" x14ac:dyDescent="0.2">
      <c r="A2927" s="120" t="s">
        <v>7796</v>
      </c>
      <c r="B2927" s="120" t="s">
        <v>7795</v>
      </c>
      <c r="C2927" s="98" t="s">
        <v>3533</v>
      </c>
      <c r="D2927" s="120" t="s">
        <v>3534</v>
      </c>
      <c r="E2927" s="98">
        <v>0</v>
      </c>
      <c r="F2927" s="120">
        <v>0</v>
      </c>
      <c r="G2927" s="121">
        <v>0</v>
      </c>
      <c r="H2927" s="123">
        <v>0</v>
      </c>
      <c r="I2927" s="122">
        <v>0</v>
      </c>
      <c r="J2927" s="124">
        <f t="shared" si="45"/>
        <v>0</v>
      </c>
    </row>
    <row r="2928" spans="1:10" ht="15" customHeight="1" x14ac:dyDescent="0.2">
      <c r="A2928" s="120" t="s">
        <v>7797</v>
      </c>
      <c r="B2928" s="120" t="s">
        <v>7795</v>
      </c>
      <c r="C2928" s="98" t="s">
        <v>3533</v>
      </c>
      <c r="D2928" s="120" t="s">
        <v>3534</v>
      </c>
      <c r="E2928" s="98">
        <v>0</v>
      </c>
      <c r="F2928" s="120">
        <v>0</v>
      </c>
      <c r="G2928" s="121">
        <v>0</v>
      </c>
      <c r="H2928" s="123">
        <v>0</v>
      </c>
      <c r="I2928" s="122">
        <v>0</v>
      </c>
      <c r="J2928" s="124">
        <f t="shared" si="45"/>
        <v>0</v>
      </c>
    </row>
    <row r="2929" spans="1:11" ht="15" customHeight="1" x14ac:dyDescent="0.2">
      <c r="A2929" s="120" t="s">
        <v>7798</v>
      </c>
      <c r="B2929" s="120" t="s">
        <v>7795</v>
      </c>
      <c r="C2929" s="98" t="s">
        <v>3533</v>
      </c>
      <c r="D2929" s="120" t="s">
        <v>3534</v>
      </c>
      <c r="E2929" s="98">
        <v>0</v>
      </c>
      <c r="F2929" s="120">
        <v>0</v>
      </c>
      <c r="G2929" s="121">
        <v>0</v>
      </c>
      <c r="H2929" s="123">
        <v>0</v>
      </c>
      <c r="I2929" s="122">
        <v>0</v>
      </c>
      <c r="J2929" s="124">
        <f t="shared" si="45"/>
        <v>0</v>
      </c>
    </row>
    <row r="2930" spans="1:11" ht="15" customHeight="1" x14ac:dyDescent="0.2">
      <c r="A2930" s="120" t="s">
        <v>7799</v>
      </c>
      <c r="B2930" s="120" t="s">
        <v>7795</v>
      </c>
      <c r="C2930" s="98" t="s">
        <v>3533</v>
      </c>
      <c r="D2930" s="120" t="s">
        <v>3534</v>
      </c>
      <c r="E2930" s="98">
        <v>0</v>
      </c>
      <c r="F2930" s="120">
        <v>0</v>
      </c>
      <c r="G2930" s="121">
        <v>0</v>
      </c>
      <c r="H2930" s="123">
        <v>0</v>
      </c>
      <c r="I2930" s="122">
        <v>0</v>
      </c>
      <c r="J2930" s="124">
        <f t="shared" si="45"/>
        <v>0</v>
      </c>
    </row>
    <row r="2931" spans="1:11" ht="15" customHeight="1" x14ac:dyDescent="0.2">
      <c r="A2931" s="120" t="s">
        <v>7800</v>
      </c>
      <c r="B2931" s="120" t="s">
        <v>7795</v>
      </c>
      <c r="C2931" s="98" t="s">
        <v>3533</v>
      </c>
      <c r="D2931" s="120" t="s">
        <v>3534</v>
      </c>
      <c r="E2931" s="98">
        <v>0</v>
      </c>
      <c r="F2931" s="120">
        <v>0</v>
      </c>
      <c r="G2931" s="121">
        <v>0</v>
      </c>
      <c r="H2931" s="123">
        <v>0</v>
      </c>
      <c r="I2931" s="122">
        <v>0</v>
      </c>
      <c r="J2931" s="124">
        <f t="shared" si="45"/>
        <v>0</v>
      </c>
    </row>
    <row r="2932" spans="1:11" ht="15" customHeight="1" x14ac:dyDescent="0.2">
      <c r="A2932" s="120" t="s">
        <v>7801</v>
      </c>
      <c r="B2932" s="120" t="s">
        <v>7795</v>
      </c>
      <c r="C2932" s="98" t="s">
        <v>3533</v>
      </c>
      <c r="D2932" s="120" t="s">
        <v>3534</v>
      </c>
      <c r="E2932" s="98">
        <v>0</v>
      </c>
      <c r="F2932" s="120">
        <v>0</v>
      </c>
      <c r="G2932" s="121">
        <v>0</v>
      </c>
      <c r="H2932" s="123">
        <v>0</v>
      </c>
      <c r="I2932" s="122">
        <v>0</v>
      </c>
      <c r="J2932" s="124">
        <f t="shared" si="45"/>
        <v>0</v>
      </c>
    </row>
    <row r="2933" spans="1:11" ht="15" customHeight="1" x14ac:dyDescent="0.2">
      <c r="A2933" s="120" t="s">
        <v>7802</v>
      </c>
      <c r="B2933" s="120" t="s">
        <v>3532</v>
      </c>
      <c r="C2933" s="98" t="s">
        <v>3533</v>
      </c>
      <c r="D2933" s="120" t="s">
        <v>3534</v>
      </c>
      <c r="E2933" s="98">
        <v>0</v>
      </c>
      <c r="F2933" s="120">
        <v>0</v>
      </c>
      <c r="G2933" s="121">
        <v>0</v>
      </c>
      <c r="H2933" s="123">
        <v>0</v>
      </c>
      <c r="I2933" s="122">
        <v>0</v>
      </c>
      <c r="J2933" s="124">
        <f t="shared" si="45"/>
        <v>0</v>
      </c>
    </row>
    <row r="2934" spans="1:11" ht="15" customHeight="1" x14ac:dyDescent="0.2">
      <c r="A2934" s="120" t="s">
        <v>7803</v>
      </c>
      <c r="B2934" s="120" t="s">
        <v>7575</v>
      </c>
      <c r="C2934" s="98" t="s">
        <v>3533</v>
      </c>
      <c r="D2934" s="120" t="s">
        <v>3534</v>
      </c>
      <c r="E2934" s="98">
        <v>0.100028097253962</v>
      </c>
      <c r="F2934" s="120">
        <v>0</v>
      </c>
      <c r="G2934" s="121">
        <v>0</v>
      </c>
      <c r="H2934" s="123">
        <v>0.10002800000000001</v>
      </c>
      <c r="I2934" s="122">
        <v>0</v>
      </c>
      <c r="J2934" s="124">
        <f t="shared" si="45"/>
        <v>0.100028097253962</v>
      </c>
      <c r="K2934" s="98" t="s">
        <v>7804</v>
      </c>
    </row>
    <row r="2935" spans="1:11" ht="15" customHeight="1" x14ac:dyDescent="0.2">
      <c r="A2935" s="120" t="s">
        <v>7805</v>
      </c>
      <c r="B2935" s="120" t="s">
        <v>4584</v>
      </c>
      <c r="C2935" s="98" t="s">
        <v>3533</v>
      </c>
      <c r="D2935" s="120" t="s">
        <v>3534</v>
      </c>
      <c r="E2935" s="98">
        <v>0</v>
      </c>
      <c r="F2935" s="120">
        <v>0</v>
      </c>
      <c r="G2935" s="121">
        <v>0</v>
      </c>
      <c r="H2935" s="123">
        <v>0</v>
      </c>
      <c r="I2935" s="122">
        <v>0</v>
      </c>
      <c r="J2935" s="124">
        <f t="shared" si="45"/>
        <v>0</v>
      </c>
    </row>
    <row r="2936" spans="1:11" ht="15" customHeight="1" x14ac:dyDescent="0.2">
      <c r="A2936" s="120" t="s">
        <v>7806</v>
      </c>
      <c r="B2936" s="120" t="s">
        <v>4627</v>
      </c>
      <c r="C2936" s="98" t="s">
        <v>3533</v>
      </c>
      <c r="D2936" s="120" t="s">
        <v>3534</v>
      </c>
      <c r="E2936" s="98">
        <v>0</v>
      </c>
      <c r="F2936" s="120">
        <v>0</v>
      </c>
      <c r="G2936" s="121">
        <v>0</v>
      </c>
      <c r="H2936" s="123">
        <v>0</v>
      </c>
      <c r="I2936" s="122">
        <v>0</v>
      </c>
      <c r="J2936" s="124">
        <f t="shared" si="45"/>
        <v>0</v>
      </c>
    </row>
    <row r="2937" spans="1:11" ht="15" customHeight="1" x14ac:dyDescent="0.2">
      <c r="A2937" s="120" t="s">
        <v>7807</v>
      </c>
      <c r="B2937" s="120" t="s">
        <v>3532</v>
      </c>
      <c r="C2937" s="98" t="s">
        <v>3533</v>
      </c>
      <c r="D2937" s="120" t="s">
        <v>3534</v>
      </c>
      <c r="E2937" s="98">
        <v>0</v>
      </c>
      <c r="F2937" s="120">
        <v>0</v>
      </c>
      <c r="G2937" s="121">
        <v>0</v>
      </c>
      <c r="H2937" s="123">
        <v>0</v>
      </c>
      <c r="I2937" s="122">
        <v>0</v>
      </c>
      <c r="J2937" s="124">
        <f t="shared" si="45"/>
        <v>0</v>
      </c>
    </row>
    <row r="2938" spans="1:11" ht="15" customHeight="1" x14ac:dyDescent="0.2">
      <c r="A2938" s="120" t="s">
        <v>7808</v>
      </c>
      <c r="B2938" s="120" t="s">
        <v>7809</v>
      </c>
      <c r="C2938" s="98" t="s">
        <v>3533</v>
      </c>
      <c r="D2938" s="120" t="s">
        <v>3534</v>
      </c>
      <c r="E2938" s="98">
        <v>0</v>
      </c>
      <c r="F2938" s="120">
        <v>0</v>
      </c>
      <c r="G2938" s="121">
        <v>528</v>
      </c>
      <c r="H2938" s="123">
        <v>0</v>
      </c>
      <c r="I2938" s="122">
        <v>0</v>
      </c>
      <c r="J2938" s="124">
        <f t="shared" si="45"/>
        <v>0</v>
      </c>
    </row>
    <row r="2939" spans="1:11" ht="15" customHeight="1" x14ac:dyDescent="0.2">
      <c r="A2939" s="120" t="s">
        <v>7810</v>
      </c>
      <c r="B2939" s="120" t="s">
        <v>3532</v>
      </c>
      <c r="C2939" s="98" t="s">
        <v>3533</v>
      </c>
      <c r="D2939" s="120" t="s">
        <v>3534</v>
      </c>
      <c r="E2939" s="98">
        <v>0</v>
      </c>
      <c r="F2939" s="120">
        <v>0</v>
      </c>
      <c r="G2939" s="121">
        <v>17512</v>
      </c>
      <c r="H2939" s="123">
        <v>0</v>
      </c>
      <c r="I2939" s="122">
        <v>0</v>
      </c>
      <c r="J2939" s="124">
        <f t="shared" si="45"/>
        <v>0</v>
      </c>
    </row>
    <row r="2940" spans="1:11" ht="15" customHeight="1" x14ac:dyDescent="0.2">
      <c r="A2940" s="120" t="s">
        <v>7811</v>
      </c>
      <c r="B2940" s="120" t="s">
        <v>3532</v>
      </c>
      <c r="C2940" s="98" t="s">
        <v>3533</v>
      </c>
      <c r="D2940" s="120" t="s">
        <v>3534</v>
      </c>
      <c r="E2940" s="98">
        <v>0</v>
      </c>
      <c r="F2940" s="120">
        <v>0</v>
      </c>
      <c r="G2940" s="121">
        <v>383</v>
      </c>
      <c r="H2940" s="123">
        <v>0</v>
      </c>
      <c r="I2940" s="122">
        <v>0</v>
      </c>
      <c r="J2940" s="124">
        <f t="shared" si="45"/>
        <v>0</v>
      </c>
    </row>
    <row r="2941" spans="1:11" ht="15" customHeight="1" x14ac:dyDescent="0.2">
      <c r="A2941" s="120" t="s">
        <v>7812</v>
      </c>
      <c r="B2941" s="120" t="s">
        <v>7809</v>
      </c>
      <c r="C2941" s="98" t="s">
        <v>3533</v>
      </c>
      <c r="D2941" s="120" t="s">
        <v>3534</v>
      </c>
      <c r="E2941" s="98">
        <v>0</v>
      </c>
      <c r="F2941" s="120">
        <v>0</v>
      </c>
      <c r="G2941" s="121">
        <v>0</v>
      </c>
      <c r="H2941" s="123">
        <v>0</v>
      </c>
      <c r="I2941" s="122">
        <v>0</v>
      </c>
      <c r="J2941" s="124">
        <f t="shared" si="45"/>
        <v>0</v>
      </c>
    </row>
    <row r="2942" spans="1:11" ht="15" customHeight="1" x14ac:dyDescent="0.2">
      <c r="A2942" s="120" t="s">
        <v>7813</v>
      </c>
      <c r="B2942" s="120" t="s">
        <v>3532</v>
      </c>
      <c r="C2942" s="98" t="s">
        <v>3533</v>
      </c>
      <c r="D2942" s="120" t="s">
        <v>3534</v>
      </c>
      <c r="E2942" s="98">
        <v>0</v>
      </c>
      <c r="F2942" s="120">
        <v>0</v>
      </c>
      <c r="G2942" s="121">
        <v>416</v>
      </c>
      <c r="H2942" s="123">
        <v>0</v>
      </c>
      <c r="I2942" s="122">
        <v>0</v>
      </c>
      <c r="J2942" s="124">
        <f t="shared" si="45"/>
        <v>0</v>
      </c>
    </row>
    <row r="2943" spans="1:11" ht="15" customHeight="1" x14ac:dyDescent="0.2">
      <c r="A2943" s="120" t="s">
        <v>7814</v>
      </c>
      <c r="B2943" s="120" t="s">
        <v>7809</v>
      </c>
      <c r="C2943" s="98" t="s">
        <v>3533</v>
      </c>
      <c r="D2943" s="120" t="s">
        <v>3534</v>
      </c>
      <c r="E2943" s="98">
        <v>0</v>
      </c>
      <c r="F2943" s="120">
        <v>0</v>
      </c>
      <c r="G2943" s="121">
        <v>11856</v>
      </c>
      <c r="H2943" s="123">
        <v>0</v>
      </c>
      <c r="I2943" s="122">
        <v>0</v>
      </c>
      <c r="J2943" s="124">
        <f t="shared" si="45"/>
        <v>0</v>
      </c>
      <c r="K2943" s="98" t="s">
        <v>7815</v>
      </c>
    </row>
    <row r="2944" spans="1:11" ht="15" customHeight="1" x14ac:dyDescent="0.2">
      <c r="A2944" s="120" t="s">
        <v>7816</v>
      </c>
      <c r="B2944" s="120" t="s">
        <v>3532</v>
      </c>
      <c r="C2944" s="98" t="s">
        <v>3533</v>
      </c>
      <c r="D2944" s="120" t="s">
        <v>3534</v>
      </c>
      <c r="E2944" s="98">
        <v>0</v>
      </c>
      <c r="F2944" s="120">
        <v>0</v>
      </c>
      <c r="G2944" s="121">
        <v>0</v>
      </c>
      <c r="H2944" s="123">
        <v>0</v>
      </c>
      <c r="I2944" s="122">
        <v>0</v>
      </c>
      <c r="J2944" s="124">
        <f t="shared" si="45"/>
        <v>0</v>
      </c>
    </row>
    <row r="2945" spans="1:10" ht="15" customHeight="1" x14ac:dyDescent="0.2">
      <c r="A2945" s="120" t="s">
        <v>7817</v>
      </c>
      <c r="B2945" s="120" t="s">
        <v>3532</v>
      </c>
      <c r="C2945" s="98" t="s">
        <v>3532</v>
      </c>
      <c r="D2945" s="120" t="s">
        <v>3534</v>
      </c>
      <c r="E2945" s="98">
        <v>0</v>
      </c>
      <c r="F2945" s="120">
        <v>0</v>
      </c>
      <c r="G2945" s="121">
        <v>0</v>
      </c>
      <c r="H2945" s="123">
        <v>0</v>
      </c>
      <c r="I2945" s="122">
        <v>0</v>
      </c>
      <c r="J2945" s="124">
        <f t="shared" si="45"/>
        <v>0</v>
      </c>
    </row>
    <row r="2946" spans="1:10" ht="15" customHeight="1" x14ac:dyDescent="0.2">
      <c r="A2946" s="120" t="s">
        <v>7818</v>
      </c>
      <c r="B2946" s="120" t="s">
        <v>3532</v>
      </c>
      <c r="C2946" s="98" t="s">
        <v>3533</v>
      </c>
      <c r="D2946" s="120" t="s">
        <v>3534</v>
      </c>
      <c r="E2946" s="98">
        <v>0</v>
      </c>
      <c r="F2946" s="120">
        <v>0</v>
      </c>
      <c r="G2946" s="121">
        <v>0</v>
      </c>
      <c r="H2946" s="123">
        <v>0</v>
      </c>
      <c r="I2946" s="122">
        <v>0</v>
      </c>
      <c r="J2946" s="124">
        <f t="shared" ref="J2946:J3009" si="46">IF(D2946="gm", E2946*1000,+E2946)</f>
        <v>0</v>
      </c>
    </row>
    <row r="2947" spans="1:10" ht="15" customHeight="1" x14ac:dyDescent="0.2">
      <c r="A2947" s="120" t="s">
        <v>7819</v>
      </c>
      <c r="B2947" s="120" t="s">
        <v>3532</v>
      </c>
      <c r="C2947" s="98" t="s">
        <v>3532</v>
      </c>
      <c r="D2947" s="120" t="s">
        <v>3534</v>
      </c>
      <c r="E2947" s="98">
        <v>0</v>
      </c>
      <c r="F2947" s="120">
        <v>0</v>
      </c>
      <c r="G2947" s="121">
        <v>0</v>
      </c>
      <c r="H2947" s="123">
        <v>0</v>
      </c>
      <c r="I2947" s="122">
        <v>0</v>
      </c>
      <c r="J2947" s="124">
        <f t="shared" si="46"/>
        <v>0</v>
      </c>
    </row>
    <row r="2948" spans="1:10" ht="15" customHeight="1" x14ac:dyDescent="0.2">
      <c r="A2948" s="120" t="s">
        <v>7820</v>
      </c>
      <c r="B2948" s="120" t="s">
        <v>3532</v>
      </c>
      <c r="C2948" s="98" t="s">
        <v>3532</v>
      </c>
      <c r="D2948" s="120" t="s">
        <v>3534</v>
      </c>
      <c r="E2948" s="98">
        <v>0</v>
      </c>
      <c r="F2948" s="120">
        <v>0</v>
      </c>
      <c r="G2948" s="121">
        <v>0</v>
      </c>
      <c r="H2948" s="123">
        <v>0</v>
      </c>
      <c r="I2948" s="122">
        <v>0</v>
      </c>
      <c r="J2948" s="124">
        <f t="shared" si="46"/>
        <v>0</v>
      </c>
    </row>
    <row r="2949" spans="1:10" ht="15" customHeight="1" x14ac:dyDescent="0.2">
      <c r="A2949" s="120" t="s">
        <v>7821</v>
      </c>
      <c r="B2949" s="120" t="s">
        <v>3532</v>
      </c>
      <c r="C2949" s="98" t="s">
        <v>3532</v>
      </c>
      <c r="D2949" s="120" t="s">
        <v>3534</v>
      </c>
      <c r="E2949" s="98">
        <v>0</v>
      </c>
      <c r="F2949" s="120">
        <v>0</v>
      </c>
      <c r="G2949" s="121">
        <v>0</v>
      </c>
      <c r="H2949" s="123">
        <v>0</v>
      </c>
      <c r="I2949" s="122">
        <v>0</v>
      </c>
      <c r="J2949" s="124">
        <f t="shared" si="46"/>
        <v>0</v>
      </c>
    </row>
    <row r="2950" spans="1:10" ht="15" customHeight="1" x14ac:dyDescent="0.2">
      <c r="A2950" s="120" t="s">
        <v>7822</v>
      </c>
      <c r="B2950" s="120" t="s">
        <v>3532</v>
      </c>
      <c r="C2950" s="98" t="s">
        <v>3533</v>
      </c>
      <c r="D2950" s="120" t="s">
        <v>3534</v>
      </c>
      <c r="E2950" s="98">
        <v>0</v>
      </c>
      <c r="F2950" s="120">
        <v>0</v>
      </c>
      <c r="G2950" s="121">
        <v>0</v>
      </c>
      <c r="H2950" s="123">
        <v>0</v>
      </c>
      <c r="I2950" s="122">
        <v>0</v>
      </c>
      <c r="J2950" s="124">
        <f t="shared" si="46"/>
        <v>0</v>
      </c>
    </row>
    <row r="2951" spans="1:10" ht="15" customHeight="1" x14ac:dyDescent="0.2">
      <c r="A2951" s="120" t="s">
        <v>7823</v>
      </c>
      <c r="B2951" s="120" t="s">
        <v>3532</v>
      </c>
      <c r="C2951" s="98" t="s">
        <v>3533</v>
      </c>
      <c r="D2951" s="120" t="s">
        <v>3534</v>
      </c>
      <c r="E2951" s="98">
        <v>0</v>
      </c>
      <c r="F2951" s="120">
        <v>0</v>
      </c>
      <c r="G2951" s="121">
        <v>819</v>
      </c>
      <c r="H2951" s="123">
        <v>0</v>
      </c>
      <c r="I2951" s="122">
        <v>0</v>
      </c>
      <c r="J2951" s="124">
        <f t="shared" si="46"/>
        <v>0</v>
      </c>
    </row>
    <row r="2952" spans="1:10" ht="15" customHeight="1" x14ac:dyDescent="0.2">
      <c r="A2952" s="120" t="s">
        <v>7824</v>
      </c>
      <c r="B2952" s="120" t="s">
        <v>3532</v>
      </c>
      <c r="C2952" s="98" t="s">
        <v>3532</v>
      </c>
      <c r="D2952" s="120" t="s">
        <v>3534</v>
      </c>
      <c r="E2952" s="98">
        <v>0</v>
      </c>
      <c r="F2952" s="120">
        <v>0</v>
      </c>
      <c r="G2952" s="121">
        <v>467</v>
      </c>
      <c r="H2952" s="123">
        <v>0</v>
      </c>
      <c r="I2952" s="122">
        <v>0</v>
      </c>
      <c r="J2952" s="124">
        <f t="shared" si="46"/>
        <v>0</v>
      </c>
    </row>
    <row r="2953" spans="1:10" ht="15" customHeight="1" x14ac:dyDescent="0.2">
      <c r="A2953" s="120" t="s">
        <v>7825</v>
      </c>
      <c r="B2953" s="120" t="s">
        <v>3532</v>
      </c>
      <c r="C2953" s="98" t="s">
        <v>3533</v>
      </c>
      <c r="D2953" s="120" t="s">
        <v>3534</v>
      </c>
      <c r="E2953" s="98">
        <v>0</v>
      </c>
      <c r="F2953" s="120">
        <v>0</v>
      </c>
      <c r="G2953" s="121">
        <v>773</v>
      </c>
      <c r="H2953" s="123">
        <v>0</v>
      </c>
      <c r="I2953" s="122">
        <v>0</v>
      </c>
      <c r="J2953" s="124">
        <f t="shared" si="46"/>
        <v>0</v>
      </c>
    </row>
    <row r="2954" spans="1:10" ht="15" customHeight="1" x14ac:dyDescent="0.2">
      <c r="A2954" s="120" t="s">
        <v>7826</v>
      </c>
      <c r="B2954" s="120" t="s">
        <v>7827</v>
      </c>
      <c r="C2954" s="98" t="s">
        <v>3532</v>
      </c>
      <c r="D2954" s="120" t="s">
        <v>3534</v>
      </c>
      <c r="E2954" s="98">
        <v>1E-3</v>
      </c>
      <c r="F2954" s="120">
        <v>0</v>
      </c>
      <c r="G2954" s="121">
        <v>0</v>
      </c>
      <c r="H2954" s="123">
        <v>1E-3</v>
      </c>
      <c r="I2954" s="122">
        <v>0</v>
      </c>
      <c r="J2954" s="124">
        <f t="shared" si="46"/>
        <v>1E-3</v>
      </c>
    </row>
    <row r="2955" spans="1:10" ht="15" customHeight="1" x14ac:dyDescent="0.2">
      <c r="A2955" s="120" t="s">
        <v>7828</v>
      </c>
      <c r="B2955" s="120" t="s">
        <v>7827</v>
      </c>
      <c r="C2955" s="98" t="s">
        <v>3532</v>
      </c>
      <c r="D2955" s="120" t="s">
        <v>3534</v>
      </c>
      <c r="E2955" s="98">
        <v>0</v>
      </c>
      <c r="F2955" s="120">
        <v>0</v>
      </c>
      <c r="G2955" s="121">
        <v>0</v>
      </c>
      <c r="H2955" s="123">
        <v>0</v>
      </c>
      <c r="I2955" s="122">
        <v>0</v>
      </c>
      <c r="J2955" s="124">
        <f t="shared" si="46"/>
        <v>0</v>
      </c>
    </row>
    <row r="2956" spans="1:10" ht="15" customHeight="1" x14ac:dyDescent="0.2">
      <c r="A2956" s="120" t="s">
        <v>7829</v>
      </c>
      <c r="B2956" s="120" t="s">
        <v>3532</v>
      </c>
      <c r="C2956" s="98" t="s">
        <v>3533</v>
      </c>
      <c r="D2956" s="120" t="s">
        <v>3563</v>
      </c>
      <c r="E2956" s="98">
        <v>0</v>
      </c>
      <c r="F2956" s="120">
        <v>0</v>
      </c>
      <c r="G2956" s="121">
        <v>0</v>
      </c>
      <c r="H2956" s="123">
        <v>0</v>
      </c>
      <c r="I2956" s="122">
        <v>0</v>
      </c>
      <c r="J2956" s="124">
        <f t="shared" si="46"/>
        <v>0</v>
      </c>
    </row>
    <row r="2957" spans="1:10" ht="15" customHeight="1" x14ac:dyDescent="0.2">
      <c r="A2957" s="120" t="s">
        <v>7830</v>
      </c>
      <c r="B2957" s="120" t="s">
        <v>3532</v>
      </c>
      <c r="C2957" s="98" t="s">
        <v>3532</v>
      </c>
      <c r="D2957" s="120" t="s">
        <v>3563</v>
      </c>
      <c r="E2957" s="98">
        <v>0</v>
      </c>
      <c r="F2957" s="120">
        <v>0</v>
      </c>
      <c r="G2957" s="121">
        <v>0</v>
      </c>
      <c r="H2957" s="123">
        <v>0</v>
      </c>
      <c r="I2957" s="122">
        <v>0</v>
      </c>
      <c r="J2957" s="124">
        <f t="shared" si="46"/>
        <v>0</v>
      </c>
    </row>
    <row r="2958" spans="1:10" ht="15" customHeight="1" x14ac:dyDescent="0.2">
      <c r="A2958" s="120" t="s">
        <v>7831</v>
      </c>
      <c r="B2958" s="120" t="s">
        <v>3532</v>
      </c>
      <c r="C2958" s="98" t="s">
        <v>3533</v>
      </c>
      <c r="D2958" s="120" t="s">
        <v>3534</v>
      </c>
      <c r="E2958" s="98">
        <v>0</v>
      </c>
      <c r="F2958" s="120">
        <v>0</v>
      </c>
      <c r="G2958" s="121">
        <v>1852</v>
      </c>
      <c r="H2958" s="123">
        <v>0</v>
      </c>
      <c r="I2958" s="122">
        <v>0</v>
      </c>
      <c r="J2958" s="124">
        <f t="shared" si="46"/>
        <v>0</v>
      </c>
    </row>
    <row r="2959" spans="1:10" ht="15" customHeight="1" x14ac:dyDescent="0.2">
      <c r="A2959" s="120" t="s">
        <v>7832</v>
      </c>
      <c r="B2959" s="120" t="s">
        <v>7833</v>
      </c>
      <c r="C2959" s="98" t="s">
        <v>3533</v>
      </c>
      <c r="D2959" s="120" t="s">
        <v>3534</v>
      </c>
      <c r="E2959" s="98">
        <v>0</v>
      </c>
      <c r="F2959" s="120">
        <v>0</v>
      </c>
      <c r="G2959" s="121">
        <v>1265</v>
      </c>
      <c r="H2959" s="123">
        <v>0</v>
      </c>
      <c r="I2959" s="122">
        <v>0</v>
      </c>
      <c r="J2959" s="124">
        <f t="shared" si="46"/>
        <v>0</v>
      </c>
    </row>
    <row r="2960" spans="1:10" ht="15" customHeight="1" x14ac:dyDescent="0.2">
      <c r="A2960" s="120" t="s">
        <v>7834</v>
      </c>
      <c r="B2960" s="120" t="s">
        <v>3532</v>
      </c>
      <c r="C2960" s="98" t="s">
        <v>3533</v>
      </c>
      <c r="D2960" s="120" t="s">
        <v>3534</v>
      </c>
      <c r="E2960" s="98">
        <v>0</v>
      </c>
      <c r="F2960" s="120">
        <v>0</v>
      </c>
      <c r="G2960" s="121">
        <v>0</v>
      </c>
      <c r="H2960" s="123">
        <v>0</v>
      </c>
      <c r="I2960" s="122">
        <v>0</v>
      </c>
      <c r="J2960" s="124">
        <f t="shared" si="46"/>
        <v>0</v>
      </c>
    </row>
    <row r="2961" spans="1:10" ht="15" customHeight="1" x14ac:dyDescent="0.2">
      <c r="A2961" s="120" t="s">
        <v>7835</v>
      </c>
      <c r="B2961" s="120" t="s">
        <v>7836</v>
      </c>
      <c r="C2961" s="98" t="s">
        <v>3533</v>
      </c>
      <c r="D2961" s="120" t="s">
        <v>3534</v>
      </c>
      <c r="E2961" s="98">
        <v>0.2823</v>
      </c>
      <c r="F2961" s="120">
        <v>0</v>
      </c>
      <c r="G2961" s="121">
        <v>7244</v>
      </c>
      <c r="H2961" s="123">
        <v>0.2823</v>
      </c>
      <c r="I2961" s="122">
        <v>2044.9811999999999</v>
      </c>
      <c r="J2961" s="124">
        <f t="shared" si="46"/>
        <v>0.2823</v>
      </c>
    </row>
    <row r="2962" spans="1:10" ht="15" customHeight="1" x14ac:dyDescent="0.2">
      <c r="A2962" s="120" t="s">
        <v>7837</v>
      </c>
      <c r="B2962" s="120" t="s">
        <v>7836</v>
      </c>
      <c r="C2962" s="98" t="s">
        <v>3533</v>
      </c>
      <c r="D2962" s="120" t="s">
        <v>3534</v>
      </c>
      <c r="E2962" s="98">
        <v>0</v>
      </c>
      <c r="F2962" s="120">
        <v>0</v>
      </c>
      <c r="G2962" s="121">
        <v>22069</v>
      </c>
      <c r="H2962" s="123">
        <v>0</v>
      </c>
      <c r="I2962" s="122">
        <v>0</v>
      </c>
      <c r="J2962" s="124">
        <f t="shared" si="46"/>
        <v>0</v>
      </c>
    </row>
    <row r="2963" spans="1:10" ht="15" customHeight="1" x14ac:dyDescent="0.2">
      <c r="A2963" s="120" t="s">
        <v>7838</v>
      </c>
      <c r="B2963" s="120" t="s">
        <v>7836</v>
      </c>
      <c r="C2963" s="98" t="s">
        <v>3533</v>
      </c>
      <c r="D2963" s="120" t="s">
        <v>3534</v>
      </c>
      <c r="E2963" s="98">
        <v>0</v>
      </c>
      <c r="F2963" s="120">
        <v>0</v>
      </c>
      <c r="G2963" s="121">
        <v>1328</v>
      </c>
      <c r="H2963" s="123">
        <v>0</v>
      </c>
      <c r="I2963" s="122">
        <v>0</v>
      </c>
      <c r="J2963" s="124">
        <f t="shared" si="46"/>
        <v>0</v>
      </c>
    </row>
    <row r="2964" spans="1:10" ht="15" customHeight="1" x14ac:dyDescent="0.2">
      <c r="A2964" s="120" t="s">
        <v>7839</v>
      </c>
      <c r="B2964" s="120" t="s">
        <v>7836</v>
      </c>
      <c r="C2964" s="98" t="s">
        <v>3533</v>
      </c>
      <c r="D2964" s="120" t="s">
        <v>3534</v>
      </c>
      <c r="E2964" s="98">
        <v>0</v>
      </c>
      <c r="F2964" s="120">
        <v>0</v>
      </c>
      <c r="G2964" s="121">
        <v>2014</v>
      </c>
      <c r="H2964" s="123">
        <v>0</v>
      </c>
      <c r="I2964" s="122">
        <v>0</v>
      </c>
      <c r="J2964" s="124">
        <f t="shared" si="46"/>
        <v>0</v>
      </c>
    </row>
    <row r="2965" spans="1:10" ht="15" customHeight="1" x14ac:dyDescent="0.2">
      <c r="A2965" s="120" t="s">
        <v>7840</v>
      </c>
      <c r="B2965" s="120" t="s">
        <v>7836</v>
      </c>
      <c r="C2965" s="98" t="s">
        <v>3533</v>
      </c>
      <c r="D2965" s="120" t="s">
        <v>3534</v>
      </c>
      <c r="E2965" s="98">
        <v>0</v>
      </c>
      <c r="F2965" s="120">
        <v>0</v>
      </c>
      <c r="G2965" s="121">
        <v>4841</v>
      </c>
      <c r="H2965" s="123">
        <v>0</v>
      </c>
      <c r="I2965" s="122">
        <v>0</v>
      </c>
      <c r="J2965" s="124">
        <f t="shared" si="46"/>
        <v>0</v>
      </c>
    </row>
    <row r="2966" spans="1:10" ht="15" customHeight="1" x14ac:dyDescent="0.2">
      <c r="A2966" s="120" t="s">
        <v>7841</v>
      </c>
      <c r="B2966" s="120" t="s">
        <v>3532</v>
      </c>
      <c r="C2966" s="98" t="s">
        <v>3532</v>
      </c>
      <c r="D2966" s="120" t="s">
        <v>3534</v>
      </c>
      <c r="E2966" s="98">
        <v>0</v>
      </c>
      <c r="F2966" s="120">
        <v>0</v>
      </c>
      <c r="G2966" s="121">
        <v>2022</v>
      </c>
      <c r="H2966" s="123">
        <v>0</v>
      </c>
      <c r="I2966" s="122">
        <v>0</v>
      </c>
      <c r="J2966" s="124">
        <f t="shared" si="46"/>
        <v>0</v>
      </c>
    </row>
    <row r="2967" spans="1:10" ht="15" customHeight="1" x14ac:dyDescent="0.2">
      <c r="A2967" s="120" t="s">
        <v>7842</v>
      </c>
      <c r="B2967" s="120" t="s">
        <v>4584</v>
      </c>
      <c r="C2967" s="98" t="s">
        <v>3533</v>
      </c>
      <c r="D2967" s="120" t="s">
        <v>3534</v>
      </c>
      <c r="E2967" s="98">
        <v>0.30449999999999999</v>
      </c>
      <c r="F2967" s="120">
        <v>0</v>
      </c>
      <c r="G2967" s="121">
        <v>528</v>
      </c>
      <c r="H2967" s="123">
        <v>0.30449999999999999</v>
      </c>
      <c r="I2967" s="122">
        <v>160.77600000000001</v>
      </c>
      <c r="J2967" s="124">
        <f t="shared" si="46"/>
        <v>0.30449999999999999</v>
      </c>
    </row>
    <row r="2968" spans="1:10" ht="15" customHeight="1" x14ac:dyDescent="0.2">
      <c r="A2968" s="120" t="s">
        <v>7843</v>
      </c>
      <c r="B2968" s="120" t="s">
        <v>7844</v>
      </c>
      <c r="C2968" s="98" t="s">
        <v>3533</v>
      </c>
      <c r="D2968" s="120" t="s">
        <v>3534</v>
      </c>
      <c r="E2968" s="98">
        <v>1.52500032035264E-2</v>
      </c>
      <c r="F2968" s="120">
        <v>0</v>
      </c>
      <c r="G2968" s="121">
        <v>0</v>
      </c>
      <c r="H2968" s="123">
        <v>1.525E-2</v>
      </c>
      <c r="I2968" s="122">
        <v>0</v>
      </c>
      <c r="J2968" s="124">
        <f t="shared" si="46"/>
        <v>1.52500032035264E-2</v>
      </c>
    </row>
    <row r="2969" spans="1:10" ht="15" customHeight="1" x14ac:dyDescent="0.2">
      <c r="A2969" s="120" t="s">
        <v>7845</v>
      </c>
      <c r="B2969" s="120" t="s">
        <v>4576</v>
      </c>
      <c r="C2969" s="98" t="s">
        <v>3532</v>
      </c>
      <c r="D2969" s="120" t="s">
        <v>3534</v>
      </c>
      <c r="E2969" s="98">
        <v>0</v>
      </c>
      <c r="F2969" s="120">
        <v>0</v>
      </c>
      <c r="G2969" s="121">
        <v>0</v>
      </c>
      <c r="H2969" s="123">
        <v>0</v>
      </c>
      <c r="I2969" s="122">
        <v>0</v>
      </c>
      <c r="J2969" s="124">
        <f t="shared" si="46"/>
        <v>0</v>
      </c>
    </row>
    <row r="2970" spans="1:10" ht="15" customHeight="1" x14ac:dyDescent="0.2">
      <c r="A2970" s="120" t="s">
        <v>7846</v>
      </c>
      <c r="B2970" s="120" t="s">
        <v>4576</v>
      </c>
      <c r="C2970" s="98" t="s">
        <v>3532</v>
      </c>
      <c r="D2970" s="120" t="s">
        <v>3534</v>
      </c>
      <c r="E2970" s="98">
        <v>0</v>
      </c>
      <c r="F2970" s="120">
        <v>0</v>
      </c>
      <c r="G2970" s="121">
        <v>0</v>
      </c>
      <c r="H2970" s="123">
        <v>0</v>
      </c>
      <c r="I2970" s="122">
        <v>0</v>
      </c>
      <c r="J2970" s="124">
        <f t="shared" si="46"/>
        <v>0</v>
      </c>
    </row>
    <row r="2971" spans="1:10" ht="15" customHeight="1" x14ac:dyDescent="0.2">
      <c r="A2971" s="120" t="s">
        <v>7847</v>
      </c>
      <c r="B2971" s="120" t="s">
        <v>4576</v>
      </c>
      <c r="C2971" s="98" t="s">
        <v>3532</v>
      </c>
      <c r="D2971" s="120" t="s">
        <v>3534</v>
      </c>
      <c r="E2971" s="98">
        <v>0</v>
      </c>
      <c r="F2971" s="120">
        <v>0</v>
      </c>
      <c r="G2971" s="121">
        <v>0</v>
      </c>
      <c r="H2971" s="123">
        <v>0</v>
      </c>
      <c r="I2971" s="122">
        <v>0</v>
      </c>
      <c r="J2971" s="124">
        <f t="shared" si="46"/>
        <v>0</v>
      </c>
    </row>
    <row r="2972" spans="1:10" ht="15" customHeight="1" x14ac:dyDescent="0.2">
      <c r="A2972" s="120" t="s">
        <v>7848</v>
      </c>
      <c r="B2972" s="120" t="s">
        <v>3532</v>
      </c>
      <c r="C2972" s="98" t="s">
        <v>3533</v>
      </c>
      <c r="D2972" s="120" t="s">
        <v>3534</v>
      </c>
      <c r="E2972" s="98">
        <v>0</v>
      </c>
      <c r="F2972" s="120">
        <v>0</v>
      </c>
      <c r="G2972" s="121">
        <v>0</v>
      </c>
      <c r="H2972" s="123">
        <v>0</v>
      </c>
      <c r="I2972" s="122">
        <v>0</v>
      </c>
      <c r="J2972" s="124">
        <f t="shared" si="46"/>
        <v>0</v>
      </c>
    </row>
    <row r="2973" spans="1:10" ht="15" customHeight="1" x14ac:dyDescent="0.2">
      <c r="A2973" s="120" t="s">
        <v>7849</v>
      </c>
      <c r="B2973" s="120" t="s">
        <v>3532</v>
      </c>
      <c r="C2973" s="98" t="s">
        <v>3532</v>
      </c>
      <c r="D2973" s="120" t="s">
        <v>3534</v>
      </c>
      <c r="E2973" s="98">
        <v>0</v>
      </c>
      <c r="F2973" s="120">
        <v>0</v>
      </c>
      <c r="G2973" s="121">
        <v>0</v>
      </c>
      <c r="H2973" s="123">
        <v>0</v>
      </c>
      <c r="I2973" s="122">
        <v>0</v>
      </c>
      <c r="J2973" s="124">
        <f t="shared" si="46"/>
        <v>0</v>
      </c>
    </row>
    <row r="2974" spans="1:10" ht="15" customHeight="1" x14ac:dyDescent="0.2">
      <c r="A2974" s="120" t="s">
        <v>7850</v>
      </c>
      <c r="B2974" s="120" t="s">
        <v>4584</v>
      </c>
      <c r="C2974" s="98" t="s">
        <v>3533</v>
      </c>
      <c r="D2974" s="120" t="s">
        <v>3534</v>
      </c>
      <c r="E2974" s="98">
        <v>0.30220000000000002</v>
      </c>
      <c r="F2974" s="120">
        <v>0</v>
      </c>
      <c r="G2974" s="121">
        <v>22371</v>
      </c>
      <c r="H2974" s="123">
        <v>0.30220000000000002</v>
      </c>
      <c r="I2974" s="122">
        <v>6760.5162000000009</v>
      </c>
      <c r="J2974" s="124">
        <f t="shared" si="46"/>
        <v>0.30220000000000002</v>
      </c>
    </row>
    <row r="2975" spans="1:10" ht="15" customHeight="1" x14ac:dyDescent="0.2">
      <c r="A2975" s="120" t="s">
        <v>7851</v>
      </c>
      <c r="B2975" s="120" t="s">
        <v>4584</v>
      </c>
      <c r="C2975" s="98" t="s">
        <v>3533</v>
      </c>
      <c r="D2975" s="120" t="s">
        <v>3534</v>
      </c>
      <c r="E2975" s="98">
        <v>0.35</v>
      </c>
      <c r="F2975" s="120">
        <v>0</v>
      </c>
      <c r="G2975" s="121">
        <v>1507</v>
      </c>
      <c r="H2975" s="123">
        <v>0.35</v>
      </c>
      <c r="I2975" s="122">
        <v>527.44999999999993</v>
      </c>
      <c r="J2975" s="124">
        <f t="shared" si="46"/>
        <v>0.35</v>
      </c>
    </row>
    <row r="2976" spans="1:10" ht="15" customHeight="1" x14ac:dyDescent="0.2">
      <c r="A2976" s="120" t="s">
        <v>7852</v>
      </c>
      <c r="B2976" s="120" t="s">
        <v>4584</v>
      </c>
      <c r="C2976" s="98" t="s">
        <v>3533</v>
      </c>
      <c r="D2976" s="120" t="s">
        <v>3534</v>
      </c>
      <c r="E2976" s="98">
        <v>0.28922222222222199</v>
      </c>
      <c r="F2976" s="120">
        <v>0</v>
      </c>
      <c r="G2976" s="121">
        <v>10561</v>
      </c>
      <c r="H2976" s="123">
        <v>0.29793599999999998</v>
      </c>
      <c r="I2976" s="122">
        <v>3146.5020959999997</v>
      </c>
      <c r="J2976" s="124">
        <f t="shared" si="46"/>
        <v>0.28922222222222199</v>
      </c>
    </row>
    <row r="2977" spans="1:10" ht="15" customHeight="1" x14ac:dyDescent="0.2">
      <c r="A2977" s="120" t="s">
        <v>7853</v>
      </c>
      <c r="B2977" s="120" t="s">
        <v>3532</v>
      </c>
      <c r="C2977" s="98" t="s">
        <v>3532</v>
      </c>
      <c r="D2977" s="120" t="s">
        <v>3534</v>
      </c>
      <c r="E2977" s="98">
        <v>0</v>
      </c>
      <c r="F2977" s="120">
        <v>0</v>
      </c>
      <c r="G2977" s="121">
        <v>11632</v>
      </c>
      <c r="H2977" s="123">
        <v>0</v>
      </c>
      <c r="I2977" s="122">
        <v>0</v>
      </c>
      <c r="J2977" s="124">
        <f t="shared" si="46"/>
        <v>0</v>
      </c>
    </row>
    <row r="2978" spans="1:10" ht="15" customHeight="1" x14ac:dyDescent="0.2">
      <c r="A2978" s="120" t="s">
        <v>7854</v>
      </c>
      <c r="B2978" s="120" t="s">
        <v>4584</v>
      </c>
      <c r="C2978" s="98" t="s">
        <v>3533</v>
      </c>
      <c r="D2978" s="120" t="s">
        <v>3534</v>
      </c>
      <c r="E2978" s="98">
        <v>0</v>
      </c>
      <c r="F2978" s="120">
        <v>0</v>
      </c>
      <c r="G2978" s="121">
        <v>0</v>
      </c>
      <c r="H2978" s="123">
        <v>0</v>
      </c>
      <c r="I2978" s="122">
        <v>0</v>
      </c>
      <c r="J2978" s="124">
        <f t="shared" si="46"/>
        <v>0</v>
      </c>
    </row>
    <row r="2979" spans="1:10" ht="15" customHeight="1" x14ac:dyDescent="0.2">
      <c r="A2979" s="120" t="s">
        <v>7855</v>
      </c>
      <c r="B2979" s="120" t="s">
        <v>3532</v>
      </c>
      <c r="C2979" s="98" t="s">
        <v>3532</v>
      </c>
      <c r="D2979" s="120" t="s">
        <v>3534</v>
      </c>
      <c r="E2979" s="98">
        <v>0.29191523809523801</v>
      </c>
      <c r="F2979" s="120">
        <v>0</v>
      </c>
      <c r="G2979" s="121">
        <v>11157</v>
      </c>
      <c r="H2979" s="123">
        <v>0.295153</v>
      </c>
      <c r="I2979" s="122">
        <v>3293.0220209999998</v>
      </c>
      <c r="J2979" s="124">
        <f t="shared" si="46"/>
        <v>0.29191523809523801</v>
      </c>
    </row>
    <row r="2980" spans="1:10" ht="15" customHeight="1" x14ac:dyDescent="0.2">
      <c r="A2980" s="120" t="s">
        <v>7856</v>
      </c>
      <c r="B2980" s="120" t="s">
        <v>3532</v>
      </c>
      <c r="C2980" s="98" t="s">
        <v>3532</v>
      </c>
      <c r="D2980" s="120" t="s">
        <v>3534</v>
      </c>
      <c r="E2980" s="98">
        <v>0.36</v>
      </c>
      <c r="F2980" s="120">
        <v>0</v>
      </c>
      <c r="G2980" s="121">
        <v>586</v>
      </c>
      <c r="H2980" s="123">
        <v>0.36</v>
      </c>
      <c r="I2980" s="122">
        <v>210.95999999999998</v>
      </c>
      <c r="J2980" s="124">
        <f t="shared" si="46"/>
        <v>0.36</v>
      </c>
    </row>
    <row r="2981" spans="1:10" ht="15" customHeight="1" x14ac:dyDescent="0.2">
      <c r="A2981" s="120" t="s">
        <v>7857</v>
      </c>
      <c r="B2981" s="120" t="s">
        <v>3615</v>
      </c>
      <c r="C2981" s="98" t="s">
        <v>3533</v>
      </c>
      <c r="D2981" s="120" t="s">
        <v>3534</v>
      </c>
      <c r="E2981" s="98">
        <v>0</v>
      </c>
      <c r="F2981" s="120">
        <v>0</v>
      </c>
      <c r="G2981" s="121">
        <v>0</v>
      </c>
      <c r="H2981" s="123">
        <v>0</v>
      </c>
      <c r="I2981" s="122">
        <v>0</v>
      </c>
      <c r="J2981" s="124">
        <f t="shared" si="46"/>
        <v>0</v>
      </c>
    </row>
    <row r="2982" spans="1:10" ht="15" customHeight="1" x14ac:dyDescent="0.2">
      <c r="A2982" s="120" t="s">
        <v>7858</v>
      </c>
      <c r="B2982" s="120" t="s">
        <v>7859</v>
      </c>
      <c r="C2982" s="98" t="s">
        <v>3540</v>
      </c>
      <c r="D2982" s="120" t="s">
        <v>3534</v>
      </c>
      <c r="E2982" s="98">
        <v>0</v>
      </c>
      <c r="F2982" s="120">
        <v>0</v>
      </c>
      <c r="G2982" s="121">
        <v>0</v>
      </c>
      <c r="H2982" s="123">
        <v>0</v>
      </c>
      <c r="I2982" s="122">
        <v>0</v>
      </c>
      <c r="J2982" s="124">
        <f t="shared" si="46"/>
        <v>0</v>
      </c>
    </row>
    <row r="2983" spans="1:10" ht="15" customHeight="1" x14ac:dyDescent="0.2">
      <c r="A2983" s="120" t="s">
        <v>7860</v>
      </c>
      <c r="B2983" s="120" t="s">
        <v>7861</v>
      </c>
      <c r="C2983" s="98" t="s">
        <v>3532</v>
      </c>
      <c r="D2983" s="120" t="s">
        <v>3534</v>
      </c>
      <c r="E2983" s="98">
        <v>0</v>
      </c>
      <c r="F2983" s="120">
        <v>0</v>
      </c>
      <c r="G2983" s="121">
        <v>0</v>
      </c>
      <c r="H2983" s="123">
        <v>0</v>
      </c>
      <c r="I2983" s="122">
        <v>0</v>
      </c>
      <c r="J2983" s="124">
        <f t="shared" si="46"/>
        <v>0</v>
      </c>
    </row>
    <row r="2984" spans="1:10" ht="15" customHeight="1" x14ac:dyDescent="0.2">
      <c r="A2984" s="120" t="s">
        <v>7862</v>
      </c>
      <c r="B2984" s="120" t="s">
        <v>3532</v>
      </c>
      <c r="C2984" s="98" t="s">
        <v>3533</v>
      </c>
      <c r="D2984" s="120" t="s">
        <v>3563</v>
      </c>
      <c r="E2984" s="98">
        <v>0</v>
      </c>
      <c r="F2984" s="120">
        <v>0</v>
      </c>
      <c r="G2984" s="121">
        <v>0</v>
      </c>
      <c r="H2984" s="123">
        <v>0</v>
      </c>
      <c r="I2984" s="122">
        <v>0</v>
      </c>
      <c r="J2984" s="124">
        <f t="shared" si="46"/>
        <v>0</v>
      </c>
    </row>
    <row r="2985" spans="1:10" ht="15" customHeight="1" x14ac:dyDescent="0.2">
      <c r="A2985" s="120" t="s">
        <v>7863</v>
      </c>
      <c r="B2985" s="120" t="s">
        <v>3532</v>
      </c>
      <c r="C2985" s="98" t="s">
        <v>3532</v>
      </c>
      <c r="D2985" s="120" t="s">
        <v>3534</v>
      </c>
      <c r="E2985" s="98">
        <v>0</v>
      </c>
      <c r="F2985" s="120">
        <v>0</v>
      </c>
      <c r="G2985" s="121">
        <v>0</v>
      </c>
      <c r="H2985" s="123">
        <v>0</v>
      </c>
      <c r="I2985" s="122">
        <v>0</v>
      </c>
      <c r="J2985" s="124">
        <f t="shared" si="46"/>
        <v>0</v>
      </c>
    </row>
    <row r="2986" spans="1:10" ht="15" customHeight="1" x14ac:dyDescent="0.2">
      <c r="A2986" s="120" t="s">
        <v>7864</v>
      </c>
      <c r="B2986" s="120" t="s">
        <v>3532</v>
      </c>
      <c r="C2986" s="98" t="s">
        <v>3532</v>
      </c>
      <c r="D2986" s="120" t="s">
        <v>3534</v>
      </c>
      <c r="E2986" s="98">
        <v>0</v>
      </c>
      <c r="F2986" s="120">
        <v>0</v>
      </c>
      <c r="G2986" s="121">
        <v>0</v>
      </c>
      <c r="H2986" s="123">
        <v>0</v>
      </c>
      <c r="I2986" s="122">
        <v>0</v>
      </c>
      <c r="J2986" s="124">
        <f t="shared" si="46"/>
        <v>0</v>
      </c>
    </row>
    <row r="2987" spans="1:10" ht="15" customHeight="1" x14ac:dyDescent="0.2">
      <c r="A2987" s="120" t="s">
        <v>7865</v>
      </c>
      <c r="B2987" s="120" t="s">
        <v>3532</v>
      </c>
      <c r="C2987" s="98" t="s">
        <v>3532</v>
      </c>
      <c r="D2987" s="120" t="s">
        <v>3534</v>
      </c>
      <c r="E2987" s="98">
        <v>0</v>
      </c>
      <c r="F2987" s="120">
        <v>0</v>
      </c>
      <c r="G2987" s="121">
        <v>0</v>
      </c>
      <c r="H2987" s="123">
        <v>0</v>
      </c>
      <c r="I2987" s="122">
        <v>0</v>
      </c>
      <c r="J2987" s="124">
        <f t="shared" si="46"/>
        <v>0</v>
      </c>
    </row>
    <row r="2988" spans="1:10" ht="15" customHeight="1" x14ac:dyDescent="0.2">
      <c r="A2988" s="120" t="s">
        <v>7866</v>
      </c>
      <c r="B2988" s="120" t="s">
        <v>3532</v>
      </c>
      <c r="C2988" s="98" t="s">
        <v>3532</v>
      </c>
      <c r="D2988" s="120" t="s">
        <v>3534</v>
      </c>
      <c r="E2988" s="98">
        <v>0</v>
      </c>
      <c r="F2988" s="120">
        <v>0</v>
      </c>
      <c r="G2988" s="121">
        <v>0</v>
      </c>
      <c r="H2988" s="123">
        <v>0</v>
      </c>
      <c r="I2988" s="122">
        <v>0</v>
      </c>
      <c r="J2988" s="124">
        <f t="shared" si="46"/>
        <v>0</v>
      </c>
    </row>
    <row r="2989" spans="1:10" ht="15" customHeight="1" x14ac:dyDescent="0.2">
      <c r="A2989" s="120" t="s">
        <v>7867</v>
      </c>
      <c r="B2989" s="120" t="s">
        <v>3532</v>
      </c>
      <c r="C2989" s="98" t="s">
        <v>3532</v>
      </c>
      <c r="D2989" s="120" t="s">
        <v>3534</v>
      </c>
      <c r="E2989" s="98">
        <v>0</v>
      </c>
      <c r="F2989" s="120">
        <v>0</v>
      </c>
      <c r="G2989" s="121">
        <v>0</v>
      </c>
      <c r="H2989" s="123">
        <v>0</v>
      </c>
      <c r="I2989" s="122">
        <v>0</v>
      </c>
      <c r="J2989" s="124">
        <f t="shared" si="46"/>
        <v>0</v>
      </c>
    </row>
    <row r="2990" spans="1:10" ht="15" customHeight="1" x14ac:dyDescent="0.2">
      <c r="A2990" s="120" t="s">
        <v>7868</v>
      </c>
      <c r="B2990" s="120" t="s">
        <v>3532</v>
      </c>
      <c r="C2990" s="98" t="s">
        <v>3532</v>
      </c>
      <c r="D2990" s="120" t="s">
        <v>3534</v>
      </c>
      <c r="E2990" s="98">
        <v>0</v>
      </c>
      <c r="F2990" s="120">
        <v>0</v>
      </c>
      <c r="G2990" s="121">
        <v>0</v>
      </c>
      <c r="H2990" s="123">
        <v>0</v>
      </c>
      <c r="I2990" s="122">
        <v>0</v>
      </c>
      <c r="J2990" s="124">
        <f t="shared" si="46"/>
        <v>0</v>
      </c>
    </row>
    <row r="2991" spans="1:10" ht="15" customHeight="1" x14ac:dyDescent="0.2">
      <c r="A2991" s="120" t="s">
        <v>7869</v>
      </c>
      <c r="B2991" s="120" t="s">
        <v>3532</v>
      </c>
      <c r="C2991" s="98" t="s">
        <v>3532</v>
      </c>
      <c r="D2991" s="120" t="s">
        <v>3534</v>
      </c>
      <c r="E2991" s="98">
        <v>0</v>
      </c>
      <c r="F2991" s="120">
        <v>0</v>
      </c>
      <c r="G2991" s="121">
        <v>0</v>
      </c>
      <c r="H2991" s="123">
        <v>0</v>
      </c>
      <c r="I2991" s="122">
        <v>0</v>
      </c>
      <c r="J2991" s="124">
        <f t="shared" si="46"/>
        <v>0</v>
      </c>
    </row>
    <row r="2992" spans="1:10" ht="15" customHeight="1" x14ac:dyDescent="0.2">
      <c r="A2992" s="120" t="s">
        <v>7870</v>
      </c>
      <c r="B2992" s="120" t="s">
        <v>7871</v>
      </c>
      <c r="C2992" s="98" t="s">
        <v>3532</v>
      </c>
      <c r="D2992" s="120" t="s">
        <v>3534</v>
      </c>
      <c r="E2992" s="98">
        <v>0</v>
      </c>
      <c r="F2992" s="120">
        <v>0</v>
      </c>
      <c r="G2992" s="121">
        <v>0</v>
      </c>
      <c r="H2992" s="123">
        <v>0</v>
      </c>
      <c r="I2992" s="122">
        <v>0</v>
      </c>
      <c r="J2992" s="124">
        <f t="shared" si="46"/>
        <v>0</v>
      </c>
    </row>
    <row r="2993" spans="1:10" ht="15" customHeight="1" x14ac:dyDescent="0.2">
      <c r="A2993" s="120" t="s">
        <v>7872</v>
      </c>
      <c r="B2993" s="120" t="s">
        <v>3532</v>
      </c>
      <c r="C2993" s="98" t="s">
        <v>3532</v>
      </c>
      <c r="D2993" s="120" t="s">
        <v>3534</v>
      </c>
      <c r="E2993" s="98">
        <v>0</v>
      </c>
      <c r="F2993" s="120">
        <v>0</v>
      </c>
      <c r="G2993" s="121">
        <v>0</v>
      </c>
      <c r="H2993" s="123">
        <v>0</v>
      </c>
      <c r="I2993" s="122">
        <v>0</v>
      </c>
      <c r="J2993" s="124">
        <f t="shared" si="46"/>
        <v>0</v>
      </c>
    </row>
    <row r="2994" spans="1:10" ht="15" customHeight="1" x14ac:dyDescent="0.2">
      <c r="A2994" s="120" t="s">
        <v>7873</v>
      </c>
      <c r="B2994" s="120" t="s">
        <v>3532</v>
      </c>
      <c r="C2994" s="98" t="s">
        <v>3532</v>
      </c>
      <c r="D2994" s="120" t="s">
        <v>3563</v>
      </c>
      <c r="E2994" s="98">
        <v>0</v>
      </c>
      <c r="F2994" s="120">
        <v>0</v>
      </c>
      <c r="G2994" s="121">
        <v>0</v>
      </c>
      <c r="H2994" s="123">
        <v>0</v>
      </c>
      <c r="I2994" s="122">
        <v>0</v>
      </c>
      <c r="J2994" s="124">
        <f t="shared" si="46"/>
        <v>0</v>
      </c>
    </row>
    <row r="2995" spans="1:10" ht="15" customHeight="1" x14ac:dyDescent="0.2">
      <c r="A2995" s="120" t="s">
        <v>7874</v>
      </c>
      <c r="B2995" s="120" t="s">
        <v>3532</v>
      </c>
      <c r="C2995" s="98" t="s">
        <v>3533</v>
      </c>
      <c r="D2995" s="120" t="s">
        <v>3563</v>
      </c>
      <c r="E2995" s="98">
        <v>0</v>
      </c>
      <c r="F2995" s="120">
        <v>1000</v>
      </c>
      <c r="G2995" s="121">
        <v>3640</v>
      </c>
      <c r="H2995" s="123">
        <v>0</v>
      </c>
      <c r="I2995" s="122">
        <v>0</v>
      </c>
      <c r="J2995" s="124">
        <f t="shared" si="46"/>
        <v>0</v>
      </c>
    </row>
    <row r="2996" spans="1:10" ht="15" customHeight="1" x14ac:dyDescent="0.2">
      <c r="A2996" s="120" t="s">
        <v>7875</v>
      </c>
      <c r="B2996" s="120" t="s">
        <v>3532</v>
      </c>
      <c r="C2996" s="98" t="s">
        <v>3533</v>
      </c>
      <c r="D2996" s="120" t="s">
        <v>3563</v>
      </c>
      <c r="E2996" s="98">
        <v>0</v>
      </c>
      <c r="F2996" s="120">
        <v>0</v>
      </c>
      <c r="G2996" s="121">
        <v>0</v>
      </c>
      <c r="H2996" s="123">
        <v>0</v>
      </c>
      <c r="I2996" s="122">
        <v>0</v>
      </c>
      <c r="J2996" s="124">
        <f t="shared" si="46"/>
        <v>0</v>
      </c>
    </row>
    <row r="2997" spans="1:10" ht="15" customHeight="1" x14ac:dyDescent="0.2">
      <c r="A2997" s="120" t="s">
        <v>7876</v>
      </c>
      <c r="B2997" s="120" t="s">
        <v>3532</v>
      </c>
      <c r="C2997" s="98" t="s">
        <v>3532</v>
      </c>
      <c r="D2997" s="120" t="s">
        <v>3534</v>
      </c>
      <c r="E2997" s="98">
        <v>0</v>
      </c>
      <c r="F2997" s="120">
        <v>0</v>
      </c>
      <c r="G2997" s="121">
        <v>0</v>
      </c>
      <c r="H2997" s="123">
        <v>0</v>
      </c>
      <c r="I2997" s="122">
        <v>0</v>
      </c>
      <c r="J2997" s="124">
        <f t="shared" si="46"/>
        <v>0</v>
      </c>
    </row>
    <row r="2998" spans="1:10" ht="15" customHeight="1" x14ac:dyDescent="0.2">
      <c r="A2998" s="120" t="s">
        <v>7877</v>
      </c>
      <c r="B2998" s="120" t="s">
        <v>3532</v>
      </c>
      <c r="C2998" s="98" t="s">
        <v>3532</v>
      </c>
      <c r="D2998" s="120" t="s">
        <v>3534</v>
      </c>
      <c r="E2998" s="98">
        <v>0</v>
      </c>
      <c r="F2998" s="120">
        <v>0</v>
      </c>
      <c r="G2998" s="121">
        <v>0</v>
      </c>
      <c r="H2998" s="123">
        <v>0</v>
      </c>
      <c r="I2998" s="122">
        <v>0</v>
      </c>
      <c r="J2998" s="124">
        <f t="shared" si="46"/>
        <v>0</v>
      </c>
    </row>
    <row r="2999" spans="1:10" ht="15" customHeight="1" x14ac:dyDescent="0.2">
      <c r="A2999" s="120" t="s">
        <v>7878</v>
      </c>
      <c r="B2999" s="120" t="s">
        <v>3532</v>
      </c>
      <c r="C2999" s="98" t="s">
        <v>3532</v>
      </c>
      <c r="D2999" s="120" t="s">
        <v>3534</v>
      </c>
      <c r="E2999" s="98">
        <v>0</v>
      </c>
      <c r="F2999" s="120">
        <v>0</v>
      </c>
      <c r="G2999" s="121">
        <v>0</v>
      </c>
      <c r="H2999" s="123">
        <v>0</v>
      </c>
      <c r="I2999" s="122">
        <v>0</v>
      </c>
      <c r="J2999" s="124">
        <f t="shared" si="46"/>
        <v>0</v>
      </c>
    </row>
    <row r="3000" spans="1:10" ht="15" customHeight="1" x14ac:dyDescent="0.2">
      <c r="A3000" s="120" t="s">
        <v>7879</v>
      </c>
      <c r="B3000" s="120" t="s">
        <v>3532</v>
      </c>
      <c r="C3000" s="98" t="s">
        <v>3532</v>
      </c>
      <c r="D3000" s="120" t="s">
        <v>3534</v>
      </c>
      <c r="E3000" s="98">
        <v>0</v>
      </c>
      <c r="F3000" s="120">
        <v>0</v>
      </c>
      <c r="G3000" s="121">
        <v>0</v>
      </c>
      <c r="H3000" s="123">
        <v>0</v>
      </c>
      <c r="I3000" s="122">
        <v>0</v>
      </c>
      <c r="J3000" s="124">
        <f t="shared" si="46"/>
        <v>0</v>
      </c>
    </row>
    <row r="3001" spans="1:10" ht="15" customHeight="1" x14ac:dyDescent="0.2">
      <c r="A3001" s="120" t="s">
        <v>7880</v>
      </c>
      <c r="B3001" s="120" t="s">
        <v>3532</v>
      </c>
      <c r="C3001" s="98" t="s">
        <v>3532</v>
      </c>
      <c r="D3001" s="120" t="s">
        <v>3534</v>
      </c>
      <c r="E3001" s="98">
        <v>0</v>
      </c>
      <c r="F3001" s="120">
        <v>0</v>
      </c>
      <c r="G3001" s="121">
        <v>0</v>
      </c>
      <c r="H3001" s="123">
        <v>0</v>
      </c>
      <c r="I3001" s="122">
        <v>0</v>
      </c>
      <c r="J3001" s="124">
        <f t="shared" si="46"/>
        <v>0</v>
      </c>
    </row>
    <row r="3002" spans="1:10" ht="15" customHeight="1" x14ac:dyDescent="0.2">
      <c r="A3002" s="120" t="s">
        <v>7881</v>
      </c>
      <c r="B3002" s="120" t="s">
        <v>3532</v>
      </c>
      <c r="C3002" s="98" t="s">
        <v>3532</v>
      </c>
      <c r="D3002" s="120" t="s">
        <v>3563</v>
      </c>
      <c r="E3002" s="98">
        <v>0</v>
      </c>
      <c r="F3002" s="120">
        <v>0</v>
      </c>
      <c r="G3002" s="121">
        <v>0</v>
      </c>
      <c r="H3002" s="123">
        <v>0</v>
      </c>
      <c r="I3002" s="122">
        <v>0</v>
      </c>
      <c r="J3002" s="124">
        <f t="shared" si="46"/>
        <v>0</v>
      </c>
    </row>
    <row r="3003" spans="1:10" ht="15" customHeight="1" x14ac:dyDescent="0.2">
      <c r="A3003" s="120" t="s">
        <v>7882</v>
      </c>
      <c r="B3003" s="120" t="s">
        <v>3532</v>
      </c>
      <c r="C3003" s="98" t="s">
        <v>3540</v>
      </c>
      <c r="D3003" s="120" t="s">
        <v>3534</v>
      </c>
      <c r="E3003" s="98">
        <v>0</v>
      </c>
      <c r="F3003" s="120">
        <v>0</v>
      </c>
      <c r="G3003" s="121">
        <v>0</v>
      </c>
      <c r="H3003" s="123">
        <v>0</v>
      </c>
      <c r="I3003" s="122">
        <v>0</v>
      </c>
      <c r="J3003" s="124">
        <f t="shared" si="46"/>
        <v>0</v>
      </c>
    </row>
    <row r="3004" spans="1:10" ht="15" customHeight="1" x14ac:dyDescent="0.2">
      <c r="A3004" s="120" t="s">
        <v>7882</v>
      </c>
      <c r="B3004" s="120" t="s">
        <v>7883</v>
      </c>
      <c r="C3004" s="98" t="s">
        <v>3532</v>
      </c>
      <c r="D3004" s="120" t="s">
        <v>3534</v>
      </c>
      <c r="E3004" s="98">
        <v>0</v>
      </c>
      <c r="F3004" s="120">
        <v>0</v>
      </c>
      <c r="G3004" s="121">
        <v>0</v>
      </c>
      <c r="H3004" s="123">
        <v>0</v>
      </c>
      <c r="I3004" s="122">
        <v>0</v>
      </c>
      <c r="J3004" s="124">
        <f t="shared" si="46"/>
        <v>0</v>
      </c>
    </row>
    <row r="3005" spans="1:10" ht="15" customHeight="1" x14ac:dyDescent="0.2">
      <c r="A3005" s="120" t="s">
        <v>7884</v>
      </c>
      <c r="B3005" s="120" t="s">
        <v>7883</v>
      </c>
      <c r="C3005" s="98" t="s">
        <v>3533</v>
      </c>
      <c r="D3005" s="120" t="s">
        <v>3534</v>
      </c>
      <c r="E3005" s="98">
        <v>0</v>
      </c>
      <c r="F3005" s="120">
        <v>0</v>
      </c>
      <c r="G3005" s="121">
        <v>2097</v>
      </c>
      <c r="H3005" s="123">
        <v>0</v>
      </c>
      <c r="I3005" s="122">
        <v>0</v>
      </c>
      <c r="J3005" s="124">
        <f t="shared" si="46"/>
        <v>0</v>
      </c>
    </row>
    <row r="3006" spans="1:10" ht="15" customHeight="1" x14ac:dyDescent="0.2">
      <c r="A3006" s="120" t="s">
        <v>7885</v>
      </c>
      <c r="B3006" s="120" t="s">
        <v>7883</v>
      </c>
      <c r="C3006" s="98" t="s">
        <v>3540</v>
      </c>
      <c r="D3006" s="120" t="s">
        <v>3534</v>
      </c>
      <c r="E3006" s="98">
        <v>0</v>
      </c>
      <c r="F3006" s="120">
        <v>0</v>
      </c>
      <c r="G3006" s="121">
        <v>0</v>
      </c>
      <c r="H3006" s="123">
        <v>0</v>
      </c>
      <c r="I3006" s="122">
        <v>0</v>
      </c>
      <c r="J3006" s="124">
        <f t="shared" si="46"/>
        <v>0</v>
      </c>
    </row>
    <row r="3007" spans="1:10" ht="15" customHeight="1" x14ac:dyDescent="0.2">
      <c r="A3007" s="120" t="s">
        <v>7886</v>
      </c>
      <c r="B3007" s="120" t="s">
        <v>3532</v>
      </c>
      <c r="C3007" s="98" t="s">
        <v>3533</v>
      </c>
      <c r="D3007" s="120" t="s">
        <v>3534</v>
      </c>
      <c r="E3007" s="98">
        <v>0</v>
      </c>
      <c r="F3007" s="120">
        <v>0</v>
      </c>
      <c r="G3007" s="121">
        <v>516</v>
      </c>
      <c r="H3007" s="123">
        <v>0</v>
      </c>
      <c r="I3007" s="122">
        <v>0</v>
      </c>
      <c r="J3007" s="124">
        <f t="shared" si="46"/>
        <v>0</v>
      </c>
    </row>
    <row r="3008" spans="1:10" ht="15" customHeight="1" x14ac:dyDescent="0.2">
      <c r="A3008" s="120" t="s">
        <v>7887</v>
      </c>
      <c r="B3008" s="120" t="s">
        <v>3532</v>
      </c>
      <c r="C3008" s="98" t="s">
        <v>3540</v>
      </c>
      <c r="D3008" s="120" t="s">
        <v>3534</v>
      </c>
      <c r="E3008" s="98">
        <v>0</v>
      </c>
      <c r="F3008" s="120">
        <v>0</v>
      </c>
      <c r="G3008" s="121">
        <v>1971</v>
      </c>
      <c r="H3008" s="123">
        <v>0</v>
      </c>
      <c r="I3008" s="122">
        <v>0</v>
      </c>
      <c r="J3008" s="124">
        <f t="shared" si="46"/>
        <v>0</v>
      </c>
    </row>
    <row r="3009" spans="1:10" ht="15" customHeight="1" x14ac:dyDescent="0.2">
      <c r="A3009" s="120" t="s">
        <v>7888</v>
      </c>
      <c r="B3009" s="120" t="s">
        <v>3532</v>
      </c>
      <c r="C3009" s="98" t="s">
        <v>3533</v>
      </c>
      <c r="D3009" s="120" t="s">
        <v>3534</v>
      </c>
      <c r="E3009" s="98">
        <v>0</v>
      </c>
      <c r="F3009" s="120">
        <v>0</v>
      </c>
      <c r="G3009" s="121">
        <v>310</v>
      </c>
      <c r="H3009" s="123">
        <v>0</v>
      </c>
      <c r="I3009" s="122">
        <v>0</v>
      </c>
      <c r="J3009" s="124">
        <f t="shared" si="46"/>
        <v>0</v>
      </c>
    </row>
    <row r="3010" spans="1:10" ht="15" customHeight="1" x14ac:dyDescent="0.2">
      <c r="A3010" s="120" t="s">
        <v>7889</v>
      </c>
      <c r="B3010" s="120" t="s">
        <v>7883</v>
      </c>
      <c r="C3010" s="98" t="s">
        <v>3533</v>
      </c>
      <c r="D3010" s="120" t="s">
        <v>4653</v>
      </c>
      <c r="E3010" s="98">
        <v>0</v>
      </c>
      <c r="F3010" s="120">
        <v>0</v>
      </c>
      <c r="G3010" s="121">
        <v>0</v>
      </c>
      <c r="H3010" s="123">
        <v>0</v>
      </c>
      <c r="I3010" s="122">
        <v>0</v>
      </c>
      <c r="J3010" s="124">
        <f t="shared" ref="J3010:J3073" si="47">IF(D3010="gm", E3010*1000,+E3010)</f>
        <v>0</v>
      </c>
    </row>
    <row r="3011" spans="1:10" ht="15" customHeight="1" x14ac:dyDescent="0.2">
      <c r="A3011" s="120" t="s">
        <v>7890</v>
      </c>
      <c r="B3011" s="120" t="s">
        <v>3532</v>
      </c>
      <c r="C3011" s="98" t="s">
        <v>3532</v>
      </c>
      <c r="D3011" s="120" t="s">
        <v>3563</v>
      </c>
      <c r="E3011" s="98">
        <v>0</v>
      </c>
      <c r="F3011" s="120">
        <v>0</v>
      </c>
      <c r="G3011" s="121">
        <v>0</v>
      </c>
      <c r="H3011" s="123">
        <v>0</v>
      </c>
      <c r="I3011" s="122">
        <v>0</v>
      </c>
      <c r="J3011" s="124">
        <f t="shared" si="47"/>
        <v>0</v>
      </c>
    </row>
    <row r="3012" spans="1:10" ht="15" customHeight="1" x14ac:dyDescent="0.2">
      <c r="A3012" s="120" t="s">
        <v>7890</v>
      </c>
      <c r="B3012" s="120" t="s">
        <v>7883</v>
      </c>
      <c r="C3012" s="98" t="s">
        <v>3540</v>
      </c>
      <c r="D3012" s="120" t="s">
        <v>3563</v>
      </c>
      <c r="E3012" s="98">
        <v>0</v>
      </c>
      <c r="F3012" s="120">
        <v>0</v>
      </c>
      <c r="G3012" s="121">
        <v>0</v>
      </c>
      <c r="H3012" s="123">
        <v>0</v>
      </c>
      <c r="I3012" s="122">
        <v>0</v>
      </c>
      <c r="J3012" s="124">
        <f t="shared" si="47"/>
        <v>0</v>
      </c>
    </row>
    <row r="3013" spans="1:10" ht="15" customHeight="1" x14ac:dyDescent="0.2">
      <c r="A3013" s="120" t="s">
        <v>7891</v>
      </c>
      <c r="B3013" s="120" t="s">
        <v>7883</v>
      </c>
      <c r="C3013" s="98" t="s">
        <v>3533</v>
      </c>
      <c r="D3013" s="120" t="s">
        <v>3563</v>
      </c>
      <c r="E3013" s="98">
        <v>0</v>
      </c>
      <c r="F3013" s="120">
        <v>0</v>
      </c>
      <c r="G3013" s="121">
        <v>0</v>
      </c>
      <c r="H3013" s="123">
        <v>0</v>
      </c>
      <c r="I3013" s="122">
        <v>0</v>
      </c>
      <c r="J3013" s="124">
        <f t="shared" si="47"/>
        <v>0</v>
      </c>
    </row>
    <row r="3014" spans="1:10" ht="15" customHeight="1" x14ac:dyDescent="0.2">
      <c r="A3014" s="120" t="s">
        <v>7892</v>
      </c>
      <c r="B3014" s="120" t="s">
        <v>7883</v>
      </c>
      <c r="C3014" s="98" t="s">
        <v>3533</v>
      </c>
      <c r="D3014" s="120" t="s">
        <v>3563</v>
      </c>
      <c r="E3014" s="98">
        <v>0</v>
      </c>
      <c r="F3014" s="120">
        <v>0</v>
      </c>
      <c r="G3014" s="121">
        <v>1725</v>
      </c>
      <c r="H3014" s="123">
        <v>0</v>
      </c>
      <c r="I3014" s="122">
        <v>0</v>
      </c>
      <c r="J3014" s="124">
        <f t="shared" si="47"/>
        <v>0</v>
      </c>
    </row>
    <row r="3015" spans="1:10" ht="15" customHeight="1" x14ac:dyDescent="0.2">
      <c r="A3015" s="120" t="s">
        <v>7893</v>
      </c>
      <c r="B3015" s="120" t="s">
        <v>3918</v>
      </c>
      <c r="C3015" s="98" t="s">
        <v>3532</v>
      </c>
      <c r="D3015" s="120" t="s">
        <v>3534</v>
      </c>
      <c r="E3015" s="98">
        <v>0.88</v>
      </c>
      <c r="F3015" s="120">
        <v>0</v>
      </c>
      <c r="G3015" s="121">
        <v>0</v>
      </c>
      <c r="H3015" s="123">
        <v>0.88</v>
      </c>
      <c r="I3015" s="122">
        <v>0</v>
      </c>
      <c r="J3015" s="124">
        <f t="shared" si="47"/>
        <v>0.88</v>
      </c>
    </row>
    <row r="3016" spans="1:10" ht="15" customHeight="1" x14ac:dyDescent="0.2">
      <c r="A3016" s="120" t="s">
        <v>7894</v>
      </c>
      <c r="B3016" s="120" t="s">
        <v>3532</v>
      </c>
      <c r="C3016" s="98" t="s">
        <v>3532</v>
      </c>
      <c r="D3016" s="120" t="s">
        <v>3534</v>
      </c>
      <c r="E3016" s="98">
        <v>0</v>
      </c>
      <c r="F3016" s="120">
        <v>0</v>
      </c>
      <c r="G3016" s="121">
        <v>0</v>
      </c>
      <c r="H3016" s="123">
        <v>0</v>
      </c>
      <c r="I3016" s="122">
        <v>0</v>
      </c>
      <c r="J3016" s="124">
        <f t="shared" si="47"/>
        <v>0</v>
      </c>
    </row>
    <row r="3017" spans="1:10" ht="15" customHeight="1" x14ac:dyDescent="0.2">
      <c r="A3017" s="120" t="s">
        <v>7895</v>
      </c>
      <c r="B3017" s="120" t="s">
        <v>3532</v>
      </c>
      <c r="C3017" s="98" t="s">
        <v>3532</v>
      </c>
      <c r="D3017" s="120" t="s">
        <v>3534</v>
      </c>
      <c r="E3017" s="98">
        <v>0</v>
      </c>
      <c r="F3017" s="120">
        <v>0</v>
      </c>
      <c r="G3017" s="121">
        <v>0</v>
      </c>
      <c r="H3017" s="123">
        <v>0</v>
      </c>
      <c r="I3017" s="122">
        <v>0</v>
      </c>
      <c r="J3017" s="124">
        <f t="shared" si="47"/>
        <v>0</v>
      </c>
    </row>
    <row r="3018" spans="1:10" ht="15" customHeight="1" x14ac:dyDescent="0.2">
      <c r="A3018" s="120" t="s">
        <v>7896</v>
      </c>
      <c r="B3018" s="120" t="s">
        <v>3532</v>
      </c>
      <c r="C3018" s="98" t="s">
        <v>3936</v>
      </c>
      <c r="D3018" s="120" t="s">
        <v>3534</v>
      </c>
      <c r="E3018" s="98">
        <v>0</v>
      </c>
      <c r="F3018" s="120">
        <v>0</v>
      </c>
      <c r="G3018" s="121">
        <v>0</v>
      </c>
      <c r="H3018" s="123">
        <v>0</v>
      </c>
      <c r="I3018" s="122">
        <v>0</v>
      </c>
      <c r="J3018" s="124">
        <f t="shared" si="47"/>
        <v>0</v>
      </c>
    </row>
    <row r="3019" spans="1:10" ht="15" customHeight="1" x14ac:dyDescent="0.2">
      <c r="A3019" s="120" t="s">
        <v>5038</v>
      </c>
      <c r="B3019" s="120" t="s">
        <v>3532</v>
      </c>
      <c r="C3019" s="98" t="s">
        <v>3533</v>
      </c>
      <c r="D3019" s="120" t="s">
        <v>3563</v>
      </c>
      <c r="E3019" s="98">
        <v>0</v>
      </c>
      <c r="F3019" s="120">
        <v>0</v>
      </c>
      <c r="G3019" s="121">
        <v>16500</v>
      </c>
      <c r="H3019" s="123">
        <v>0</v>
      </c>
      <c r="I3019" s="122">
        <v>0</v>
      </c>
      <c r="J3019" s="124">
        <f t="shared" si="47"/>
        <v>0</v>
      </c>
    </row>
    <row r="3020" spans="1:10" ht="15" customHeight="1" x14ac:dyDescent="0.2">
      <c r="A3020" s="120" t="s">
        <v>7897</v>
      </c>
      <c r="B3020" s="120" t="s">
        <v>3532</v>
      </c>
      <c r="C3020" s="98" t="s">
        <v>3533</v>
      </c>
      <c r="D3020" s="120" t="s">
        <v>3563</v>
      </c>
      <c r="E3020" s="98">
        <v>0</v>
      </c>
      <c r="F3020" s="120">
        <v>0</v>
      </c>
      <c r="G3020" s="121">
        <v>0</v>
      </c>
      <c r="H3020" s="123">
        <v>0</v>
      </c>
      <c r="I3020" s="122">
        <v>0</v>
      </c>
      <c r="J3020" s="124">
        <f t="shared" si="47"/>
        <v>0</v>
      </c>
    </row>
    <row r="3021" spans="1:10" ht="15" customHeight="1" x14ac:dyDescent="0.2">
      <c r="A3021" s="120" t="s">
        <v>7898</v>
      </c>
      <c r="B3021" s="120" t="s">
        <v>7899</v>
      </c>
      <c r="C3021" s="98" t="s">
        <v>3533</v>
      </c>
      <c r="D3021" s="120" t="s">
        <v>3534</v>
      </c>
      <c r="E3021" s="98">
        <v>0</v>
      </c>
      <c r="F3021" s="120">
        <v>0</v>
      </c>
      <c r="G3021" s="121">
        <v>377</v>
      </c>
      <c r="H3021" s="123">
        <v>0</v>
      </c>
      <c r="I3021" s="122">
        <v>0</v>
      </c>
      <c r="J3021" s="124">
        <f t="shared" si="47"/>
        <v>0</v>
      </c>
    </row>
    <row r="3022" spans="1:10" ht="15" customHeight="1" x14ac:dyDescent="0.2">
      <c r="A3022" s="120" t="s">
        <v>7900</v>
      </c>
      <c r="B3022" s="120" t="s">
        <v>7899</v>
      </c>
      <c r="C3022" s="98" t="s">
        <v>3533</v>
      </c>
      <c r="D3022" s="120" t="s">
        <v>3534</v>
      </c>
      <c r="E3022" s="98">
        <v>0</v>
      </c>
      <c r="F3022" s="120">
        <v>0</v>
      </c>
      <c r="G3022" s="121">
        <v>390</v>
      </c>
      <c r="H3022" s="123">
        <v>0</v>
      </c>
      <c r="I3022" s="122">
        <v>0</v>
      </c>
      <c r="J3022" s="124">
        <f t="shared" si="47"/>
        <v>0</v>
      </c>
    </row>
    <row r="3023" spans="1:10" ht="15" customHeight="1" x14ac:dyDescent="0.2">
      <c r="A3023" s="120" t="s">
        <v>7901</v>
      </c>
      <c r="B3023" s="120" t="s">
        <v>7902</v>
      </c>
      <c r="C3023" s="98" t="s">
        <v>3540</v>
      </c>
      <c r="D3023" s="120" t="s">
        <v>3534</v>
      </c>
      <c r="E3023" s="98">
        <v>0</v>
      </c>
      <c r="F3023" s="120">
        <v>0</v>
      </c>
      <c r="G3023" s="121">
        <v>0</v>
      </c>
      <c r="H3023" s="123">
        <v>0</v>
      </c>
      <c r="I3023" s="122">
        <v>0</v>
      </c>
      <c r="J3023" s="124">
        <f t="shared" si="47"/>
        <v>0</v>
      </c>
    </row>
    <row r="3024" spans="1:10" ht="15" customHeight="1" x14ac:dyDescent="0.2">
      <c r="A3024" s="120" t="s">
        <v>7903</v>
      </c>
      <c r="B3024" s="120" t="s">
        <v>7902</v>
      </c>
      <c r="C3024" s="98" t="s">
        <v>3540</v>
      </c>
      <c r="D3024" s="120" t="s">
        <v>3534</v>
      </c>
      <c r="E3024" s="98">
        <v>0</v>
      </c>
      <c r="F3024" s="120">
        <v>0</v>
      </c>
      <c r="G3024" s="121">
        <v>0</v>
      </c>
      <c r="H3024" s="123">
        <v>0</v>
      </c>
      <c r="I3024" s="122">
        <v>0</v>
      </c>
      <c r="J3024" s="124">
        <f t="shared" si="47"/>
        <v>0</v>
      </c>
    </row>
    <row r="3025" spans="1:10" ht="15" customHeight="1" x14ac:dyDescent="0.2">
      <c r="A3025" s="120" t="s">
        <v>7904</v>
      </c>
      <c r="B3025" s="120" t="s">
        <v>7902</v>
      </c>
      <c r="C3025" s="98" t="s">
        <v>3540</v>
      </c>
      <c r="D3025" s="120" t="s">
        <v>3534</v>
      </c>
      <c r="E3025" s="98">
        <v>0</v>
      </c>
      <c r="F3025" s="120">
        <v>0</v>
      </c>
      <c r="G3025" s="121">
        <v>0</v>
      </c>
      <c r="H3025" s="123">
        <v>0</v>
      </c>
      <c r="I3025" s="122">
        <v>0</v>
      </c>
      <c r="J3025" s="124">
        <f t="shared" si="47"/>
        <v>0</v>
      </c>
    </row>
    <row r="3026" spans="1:10" ht="15" customHeight="1" x14ac:dyDescent="0.2">
      <c r="A3026" s="120" t="s">
        <v>7905</v>
      </c>
      <c r="B3026" s="120" t="s">
        <v>7902</v>
      </c>
      <c r="C3026" s="98" t="s">
        <v>3540</v>
      </c>
      <c r="D3026" s="120" t="s">
        <v>3534</v>
      </c>
      <c r="E3026" s="98">
        <v>0</v>
      </c>
      <c r="F3026" s="120">
        <v>0</v>
      </c>
      <c r="G3026" s="121">
        <v>0</v>
      </c>
      <c r="H3026" s="123">
        <v>0</v>
      </c>
      <c r="I3026" s="122">
        <v>0</v>
      </c>
      <c r="J3026" s="124">
        <f t="shared" si="47"/>
        <v>0</v>
      </c>
    </row>
    <row r="3027" spans="1:10" ht="15" customHeight="1" x14ac:dyDescent="0.2">
      <c r="A3027" s="120" t="s">
        <v>7906</v>
      </c>
      <c r="B3027" s="120" t="s">
        <v>3532</v>
      </c>
      <c r="C3027" s="98" t="s">
        <v>3540</v>
      </c>
      <c r="D3027" s="120" t="s">
        <v>3534</v>
      </c>
      <c r="E3027" s="98">
        <v>0</v>
      </c>
      <c r="F3027" s="120">
        <v>0</v>
      </c>
      <c r="G3027" s="121">
        <v>0</v>
      </c>
      <c r="H3027" s="123">
        <v>0</v>
      </c>
      <c r="I3027" s="122">
        <v>0</v>
      </c>
      <c r="J3027" s="124">
        <f t="shared" si="47"/>
        <v>0</v>
      </c>
    </row>
    <row r="3028" spans="1:10" ht="15" customHeight="1" x14ac:dyDescent="0.2">
      <c r="A3028" s="120" t="s">
        <v>7907</v>
      </c>
      <c r="B3028" s="120" t="s">
        <v>3532</v>
      </c>
      <c r="C3028" s="98" t="s">
        <v>3540</v>
      </c>
      <c r="D3028" s="120" t="s">
        <v>3534</v>
      </c>
      <c r="E3028" s="98">
        <v>0</v>
      </c>
      <c r="F3028" s="120">
        <v>0</v>
      </c>
      <c r="G3028" s="121">
        <v>0</v>
      </c>
      <c r="H3028" s="123">
        <v>0</v>
      </c>
      <c r="I3028" s="122">
        <v>0</v>
      </c>
      <c r="J3028" s="124">
        <f t="shared" si="47"/>
        <v>0</v>
      </c>
    </row>
    <row r="3029" spans="1:10" ht="15" customHeight="1" x14ac:dyDescent="0.2">
      <c r="A3029" s="120" t="s">
        <v>7908</v>
      </c>
      <c r="B3029" s="120" t="s">
        <v>3532</v>
      </c>
      <c r="C3029" s="98" t="s">
        <v>3533</v>
      </c>
      <c r="D3029" s="120" t="s">
        <v>3534</v>
      </c>
      <c r="E3029" s="98">
        <v>0</v>
      </c>
      <c r="F3029" s="120">
        <v>0</v>
      </c>
      <c r="G3029" s="121">
        <v>730</v>
      </c>
      <c r="H3029" s="123">
        <v>0</v>
      </c>
      <c r="I3029" s="122">
        <v>0</v>
      </c>
      <c r="J3029" s="124">
        <f t="shared" si="47"/>
        <v>0</v>
      </c>
    </row>
    <row r="3030" spans="1:10" ht="15" customHeight="1" x14ac:dyDescent="0.2">
      <c r="A3030" s="120" t="s">
        <v>7909</v>
      </c>
      <c r="B3030" s="120" t="s">
        <v>3532</v>
      </c>
      <c r="C3030" s="98" t="s">
        <v>3533</v>
      </c>
      <c r="D3030" s="120" t="s">
        <v>3534</v>
      </c>
      <c r="E3030" s="98">
        <v>0</v>
      </c>
      <c r="F3030" s="120">
        <v>0</v>
      </c>
      <c r="G3030" s="121">
        <v>1313</v>
      </c>
      <c r="H3030" s="123">
        <v>0</v>
      </c>
      <c r="I3030" s="122">
        <v>0</v>
      </c>
      <c r="J3030" s="124">
        <f t="shared" si="47"/>
        <v>0</v>
      </c>
    </row>
    <row r="3031" spans="1:10" ht="15" customHeight="1" x14ac:dyDescent="0.2">
      <c r="A3031" s="120" t="s">
        <v>7910</v>
      </c>
      <c r="B3031" s="120" t="s">
        <v>3532</v>
      </c>
      <c r="C3031" s="98" t="s">
        <v>3533</v>
      </c>
      <c r="D3031" s="120" t="s">
        <v>3534</v>
      </c>
      <c r="E3031" s="98">
        <v>0</v>
      </c>
      <c r="F3031" s="120">
        <v>0</v>
      </c>
      <c r="G3031" s="121">
        <v>405</v>
      </c>
      <c r="H3031" s="123">
        <v>0</v>
      </c>
      <c r="I3031" s="122">
        <v>0</v>
      </c>
      <c r="J3031" s="124">
        <f t="shared" si="47"/>
        <v>0</v>
      </c>
    </row>
    <row r="3032" spans="1:10" ht="15" customHeight="1" x14ac:dyDescent="0.2">
      <c r="A3032" s="120" t="s">
        <v>7911</v>
      </c>
      <c r="B3032" s="120" t="s">
        <v>3532</v>
      </c>
      <c r="C3032" s="98" t="s">
        <v>3533</v>
      </c>
      <c r="D3032" s="120" t="s">
        <v>3534</v>
      </c>
      <c r="E3032" s="98">
        <v>0</v>
      </c>
      <c r="F3032" s="120">
        <v>0</v>
      </c>
      <c r="G3032" s="121">
        <v>130</v>
      </c>
      <c r="H3032" s="123">
        <v>0</v>
      </c>
      <c r="I3032" s="122">
        <v>0</v>
      </c>
      <c r="J3032" s="124">
        <f t="shared" si="47"/>
        <v>0</v>
      </c>
    </row>
    <row r="3033" spans="1:10" ht="15" customHeight="1" x14ac:dyDescent="0.2">
      <c r="A3033" s="120" t="s">
        <v>7912</v>
      </c>
      <c r="B3033" s="120" t="s">
        <v>3532</v>
      </c>
      <c r="C3033" s="98" t="s">
        <v>3533</v>
      </c>
      <c r="D3033" s="120" t="s">
        <v>3534</v>
      </c>
      <c r="E3033" s="98">
        <v>0</v>
      </c>
      <c r="F3033" s="120">
        <v>0</v>
      </c>
      <c r="G3033" s="121">
        <v>120</v>
      </c>
      <c r="H3033" s="123">
        <v>0</v>
      </c>
      <c r="I3033" s="122">
        <v>0</v>
      </c>
      <c r="J3033" s="124">
        <f t="shared" si="47"/>
        <v>0</v>
      </c>
    </row>
    <row r="3034" spans="1:10" ht="15" customHeight="1" x14ac:dyDescent="0.2">
      <c r="A3034" s="120" t="s">
        <v>7913</v>
      </c>
      <c r="B3034" s="120" t="s">
        <v>3532</v>
      </c>
      <c r="C3034" s="98" t="s">
        <v>3533</v>
      </c>
      <c r="D3034" s="120" t="s">
        <v>3534</v>
      </c>
      <c r="E3034" s="98">
        <v>0</v>
      </c>
      <c r="F3034" s="120">
        <v>0</v>
      </c>
      <c r="G3034" s="121">
        <v>145</v>
      </c>
      <c r="H3034" s="123">
        <v>0</v>
      </c>
      <c r="I3034" s="122">
        <v>0</v>
      </c>
      <c r="J3034" s="124">
        <f t="shared" si="47"/>
        <v>0</v>
      </c>
    </row>
    <row r="3035" spans="1:10" ht="15" customHeight="1" x14ac:dyDescent="0.2">
      <c r="A3035" s="120" t="s">
        <v>7914</v>
      </c>
      <c r="B3035" s="120" t="s">
        <v>3532</v>
      </c>
      <c r="C3035" s="98" t="s">
        <v>3533</v>
      </c>
      <c r="D3035" s="120" t="s">
        <v>3534</v>
      </c>
      <c r="E3035" s="98">
        <v>0</v>
      </c>
      <c r="F3035" s="120">
        <v>0</v>
      </c>
      <c r="G3035" s="121">
        <v>115</v>
      </c>
      <c r="H3035" s="123">
        <v>0</v>
      </c>
      <c r="I3035" s="122">
        <v>0</v>
      </c>
      <c r="J3035" s="124">
        <f t="shared" si="47"/>
        <v>0</v>
      </c>
    </row>
    <row r="3036" spans="1:10" ht="15" customHeight="1" x14ac:dyDescent="0.2">
      <c r="A3036" s="120" t="s">
        <v>7915</v>
      </c>
      <c r="B3036" s="120" t="s">
        <v>3532</v>
      </c>
      <c r="C3036" s="98" t="s">
        <v>3533</v>
      </c>
      <c r="D3036" s="120" t="s">
        <v>3534</v>
      </c>
      <c r="E3036" s="98">
        <v>0</v>
      </c>
      <c r="F3036" s="120">
        <v>0</v>
      </c>
      <c r="G3036" s="121">
        <v>218</v>
      </c>
      <c r="H3036" s="123">
        <v>0</v>
      </c>
      <c r="I3036" s="122">
        <v>0</v>
      </c>
      <c r="J3036" s="124">
        <f t="shared" si="47"/>
        <v>0</v>
      </c>
    </row>
    <row r="3037" spans="1:10" ht="15" customHeight="1" x14ac:dyDescent="0.2">
      <c r="A3037" s="120" t="s">
        <v>7916</v>
      </c>
      <c r="B3037" s="120" t="s">
        <v>3532</v>
      </c>
      <c r="C3037" s="98" t="s">
        <v>3533</v>
      </c>
      <c r="D3037" s="120" t="s">
        <v>3534</v>
      </c>
      <c r="E3037" s="98">
        <v>0</v>
      </c>
      <c r="F3037" s="120">
        <v>0</v>
      </c>
      <c r="G3037" s="121">
        <v>206</v>
      </c>
      <c r="H3037" s="123">
        <v>0</v>
      </c>
      <c r="I3037" s="122">
        <v>0</v>
      </c>
      <c r="J3037" s="124">
        <f t="shared" si="47"/>
        <v>0</v>
      </c>
    </row>
    <row r="3038" spans="1:10" ht="15" customHeight="1" x14ac:dyDescent="0.2">
      <c r="A3038" s="120" t="s">
        <v>7917</v>
      </c>
      <c r="B3038" s="120" t="s">
        <v>7899</v>
      </c>
      <c r="C3038" s="98" t="s">
        <v>3533</v>
      </c>
      <c r="D3038" s="120" t="s">
        <v>3534</v>
      </c>
      <c r="E3038" s="98">
        <v>0</v>
      </c>
      <c r="F3038" s="120">
        <v>0</v>
      </c>
      <c r="G3038" s="121">
        <v>1015</v>
      </c>
      <c r="H3038" s="123">
        <v>0</v>
      </c>
      <c r="I3038" s="122">
        <v>0</v>
      </c>
      <c r="J3038" s="124">
        <f t="shared" si="47"/>
        <v>0</v>
      </c>
    </row>
    <row r="3039" spans="1:10" ht="15" customHeight="1" x14ac:dyDescent="0.2">
      <c r="A3039" s="120" t="s">
        <v>7918</v>
      </c>
      <c r="B3039" s="120" t="s">
        <v>7899</v>
      </c>
      <c r="C3039" s="98" t="s">
        <v>3533</v>
      </c>
      <c r="D3039" s="120" t="s">
        <v>3534</v>
      </c>
      <c r="E3039" s="98">
        <v>0</v>
      </c>
      <c r="F3039" s="120">
        <v>0</v>
      </c>
      <c r="G3039" s="121">
        <v>995</v>
      </c>
      <c r="H3039" s="123">
        <v>0</v>
      </c>
      <c r="I3039" s="122">
        <v>0</v>
      </c>
      <c r="J3039" s="124">
        <f t="shared" si="47"/>
        <v>0</v>
      </c>
    </row>
    <row r="3040" spans="1:10" ht="15" customHeight="1" x14ac:dyDescent="0.2">
      <c r="A3040" s="120" t="s">
        <v>7919</v>
      </c>
      <c r="B3040" s="120" t="s">
        <v>3532</v>
      </c>
      <c r="C3040" s="98" t="s">
        <v>3533</v>
      </c>
      <c r="D3040" s="120" t="s">
        <v>3534</v>
      </c>
      <c r="E3040" s="98">
        <v>0</v>
      </c>
      <c r="F3040" s="120">
        <v>0</v>
      </c>
      <c r="G3040" s="121">
        <v>109</v>
      </c>
      <c r="H3040" s="123">
        <v>0</v>
      </c>
      <c r="I3040" s="122">
        <v>0</v>
      </c>
      <c r="J3040" s="124">
        <f t="shared" si="47"/>
        <v>0</v>
      </c>
    </row>
    <row r="3041" spans="1:10" ht="15" customHeight="1" x14ac:dyDescent="0.2">
      <c r="A3041" s="120" t="s">
        <v>7920</v>
      </c>
      <c r="B3041" s="120" t="s">
        <v>3532</v>
      </c>
      <c r="C3041" s="98" t="s">
        <v>3533</v>
      </c>
      <c r="D3041" s="120" t="s">
        <v>3534</v>
      </c>
      <c r="E3041" s="98">
        <v>0</v>
      </c>
      <c r="F3041" s="120">
        <v>0</v>
      </c>
      <c r="G3041" s="121">
        <v>232</v>
      </c>
      <c r="H3041" s="123">
        <v>0</v>
      </c>
      <c r="I3041" s="122">
        <v>0</v>
      </c>
      <c r="J3041" s="124">
        <f t="shared" si="47"/>
        <v>0</v>
      </c>
    </row>
    <row r="3042" spans="1:10" ht="15" customHeight="1" x14ac:dyDescent="0.2">
      <c r="A3042" s="120" t="s">
        <v>7921</v>
      </c>
      <c r="B3042" s="120" t="s">
        <v>3532</v>
      </c>
      <c r="C3042" s="98" t="s">
        <v>3533</v>
      </c>
      <c r="D3042" s="120" t="s">
        <v>3534</v>
      </c>
      <c r="E3042" s="98">
        <v>0</v>
      </c>
      <c r="F3042" s="120">
        <v>0</v>
      </c>
      <c r="G3042" s="121">
        <v>36</v>
      </c>
      <c r="H3042" s="123">
        <v>0</v>
      </c>
      <c r="I3042" s="122">
        <v>0</v>
      </c>
      <c r="J3042" s="124">
        <f t="shared" si="47"/>
        <v>0</v>
      </c>
    </row>
    <row r="3043" spans="1:10" ht="15" customHeight="1" x14ac:dyDescent="0.2">
      <c r="A3043" s="120" t="s">
        <v>7922</v>
      </c>
      <c r="B3043" s="120" t="s">
        <v>3532</v>
      </c>
      <c r="C3043" s="98" t="s">
        <v>3533</v>
      </c>
      <c r="D3043" s="120" t="s">
        <v>3534</v>
      </c>
      <c r="E3043" s="98">
        <v>0</v>
      </c>
      <c r="F3043" s="120">
        <v>0</v>
      </c>
      <c r="G3043" s="121">
        <v>44</v>
      </c>
      <c r="H3043" s="123">
        <v>0</v>
      </c>
      <c r="I3043" s="122">
        <v>0</v>
      </c>
      <c r="J3043" s="124">
        <f t="shared" si="47"/>
        <v>0</v>
      </c>
    </row>
    <row r="3044" spans="1:10" ht="15" customHeight="1" x14ac:dyDescent="0.2">
      <c r="A3044" s="120" t="s">
        <v>7923</v>
      </c>
      <c r="B3044" s="120" t="s">
        <v>3532</v>
      </c>
      <c r="C3044" s="98" t="s">
        <v>3533</v>
      </c>
      <c r="D3044" s="120" t="s">
        <v>3534</v>
      </c>
      <c r="E3044" s="98">
        <v>0</v>
      </c>
      <c r="F3044" s="120">
        <v>0</v>
      </c>
      <c r="G3044" s="121">
        <v>419</v>
      </c>
      <c r="H3044" s="123">
        <v>0</v>
      </c>
      <c r="I3044" s="122">
        <v>0</v>
      </c>
      <c r="J3044" s="124">
        <f t="shared" si="47"/>
        <v>0</v>
      </c>
    </row>
    <row r="3045" spans="1:10" ht="15" customHeight="1" x14ac:dyDescent="0.2">
      <c r="A3045" s="120" t="s">
        <v>7924</v>
      </c>
      <c r="B3045" s="120" t="s">
        <v>3532</v>
      </c>
      <c r="C3045" s="98" t="s">
        <v>3533</v>
      </c>
      <c r="D3045" s="120" t="s">
        <v>3534</v>
      </c>
      <c r="E3045" s="98">
        <v>0</v>
      </c>
      <c r="F3045" s="120">
        <v>0</v>
      </c>
      <c r="G3045" s="121">
        <v>217</v>
      </c>
      <c r="H3045" s="123">
        <v>0</v>
      </c>
      <c r="I3045" s="122">
        <v>0</v>
      </c>
      <c r="J3045" s="124">
        <f t="shared" si="47"/>
        <v>0</v>
      </c>
    </row>
    <row r="3046" spans="1:10" ht="15" customHeight="1" x14ac:dyDescent="0.2">
      <c r="A3046" s="120" t="s">
        <v>7925</v>
      </c>
      <c r="B3046" s="120" t="s">
        <v>3532</v>
      </c>
      <c r="C3046" s="98" t="s">
        <v>3533</v>
      </c>
      <c r="D3046" s="120" t="s">
        <v>3534</v>
      </c>
      <c r="E3046" s="98">
        <v>0</v>
      </c>
      <c r="F3046" s="120">
        <v>0</v>
      </c>
      <c r="G3046" s="121">
        <v>58</v>
      </c>
      <c r="H3046" s="123">
        <v>0</v>
      </c>
      <c r="I3046" s="122">
        <v>0</v>
      </c>
      <c r="J3046" s="124">
        <f t="shared" si="47"/>
        <v>0</v>
      </c>
    </row>
    <row r="3047" spans="1:10" ht="15" customHeight="1" x14ac:dyDescent="0.2">
      <c r="A3047" s="120" t="s">
        <v>7926</v>
      </c>
      <c r="B3047" s="120" t="s">
        <v>3532</v>
      </c>
      <c r="C3047" s="98" t="s">
        <v>3533</v>
      </c>
      <c r="D3047" s="120" t="s">
        <v>3534</v>
      </c>
      <c r="E3047" s="98">
        <v>0</v>
      </c>
      <c r="F3047" s="120">
        <v>0</v>
      </c>
      <c r="G3047" s="121">
        <v>38</v>
      </c>
      <c r="H3047" s="123">
        <v>0</v>
      </c>
      <c r="I3047" s="122">
        <v>0</v>
      </c>
      <c r="J3047" s="124">
        <f t="shared" si="47"/>
        <v>0</v>
      </c>
    </row>
    <row r="3048" spans="1:10" ht="15" customHeight="1" x14ac:dyDescent="0.2">
      <c r="A3048" s="120" t="s">
        <v>7927</v>
      </c>
      <c r="B3048" s="120" t="s">
        <v>3532</v>
      </c>
      <c r="C3048" s="98" t="s">
        <v>3533</v>
      </c>
      <c r="D3048" s="120" t="s">
        <v>3534</v>
      </c>
      <c r="E3048" s="98">
        <v>0</v>
      </c>
      <c r="F3048" s="120">
        <v>0</v>
      </c>
      <c r="G3048" s="121">
        <v>11000</v>
      </c>
      <c r="H3048" s="123">
        <v>0</v>
      </c>
      <c r="I3048" s="122">
        <v>0</v>
      </c>
      <c r="J3048" s="124">
        <f t="shared" si="47"/>
        <v>0</v>
      </c>
    </row>
    <row r="3049" spans="1:10" ht="15" customHeight="1" x14ac:dyDescent="0.2">
      <c r="A3049" s="120" t="s">
        <v>7928</v>
      </c>
      <c r="B3049" s="120" t="s">
        <v>7899</v>
      </c>
      <c r="C3049" s="98" t="s">
        <v>3533</v>
      </c>
      <c r="D3049" s="120" t="s">
        <v>3534</v>
      </c>
      <c r="E3049" s="98">
        <v>0</v>
      </c>
      <c r="F3049" s="120">
        <v>0</v>
      </c>
      <c r="G3049" s="121">
        <v>11000</v>
      </c>
      <c r="H3049" s="123">
        <v>0</v>
      </c>
      <c r="I3049" s="122">
        <v>0</v>
      </c>
      <c r="J3049" s="124">
        <f t="shared" si="47"/>
        <v>0</v>
      </c>
    </row>
    <row r="3050" spans="1:10" ht="15" customHeight="1" x14ac:dyDescent="0.2">
      <c r="A3050" s="120" t="s">
        <v>7929</v>
      </c>
      <c r="B3050" s="120" t="s">
        <v>3532</v>
      </c>
      <c r="C3050" s="98" t="s">
        <v>3533</v>
      </c>
      <c r="D3050" s="120" t="s">
        <v>3534</v>
      </c>
      <c r="E3050" s="98">
        <v>0</v>
      </c>
      <c r="F3050" s="120">
        <v>0</v>
      </c>
      <c r="G3050" s="121">
        <v>302</v>
      </c>
      <c r="H3050" s="123">
        <v>0</v>
      </c>
      <c r="I3050" s="122">
        <v>0</v>
      </c>
      <c r="J3050" s="124">
        <f t="shared" si="47"/>
        <v>0</v>
      </c>
    </row>
    <row r="3051" spans="1:10" ht="15" customHeight="1" x14ac:dyDescent="0.2">
      <c r="A3051" s="120" t="s">
        <v>7930</v>
      </c>
      <c r="B3051" s="120" t="s">
        <v>3532</v>
      </c>
      <c r="C3051" s="98" t="s">
        <v>3533</v>
      </c>
      <c r="D3051" s="120" t="s">
        <v>3534</v>
      </c>
      <c r="E3051" s="98">
        <v>0</v>
      </c>
      <c r="F3051" s="120">
        <v>0</v>
      </c>
      <c r="G3051" s="121">
        <v>77</v>
      </c>
      <c r="H3051" s="123">
        <v>0</v>
      </c>
      <c r="I3051" s="122">
        <v>0</v>
      </c>
      <c r="J3051" s="124">
        <f t="shared" si="47"/>
        <v>0</v>
      </c>
    </row>
    <row r="3052" spans="1:10" ht="15" customHeight="1" x14ac:dyDescent="0.2">
      <c r="A3052" s="120" t="s">
        <v>7931</v>
      </c>
      <c r="B3052" s="120" t="s">
        <v>7899</v>
      </c>
      <c r="C3052" s="98" t="s">
        <v>3533</v>
      </c>
      <c r="D3052" s="120" t="s">
        <v>3534</v>
      </c>
      <c r="E3052" s="98">
        <v>0</v>
      </c>
      <c r="F3052" s="120">
        <v>0</v>
      </c>
      <c r="G3052" s="121">
        <v>139</v>
      </c>
      <c r="H3052" s="123">
        <v>0</v>
      </c>
      <c r="I3052" s="122">
        <v>0</v>
      </c>
      <c r="J3052" s="124">
        <f t="shared" si="47"/>
        <v>0</v>
      </c>
    </row>
    <row r="3053" spans="1:10" ht="15" customHeight="1" x14ac:dyDescent="0.2">
      <c r="A3053" s="120" t="s">
        <v>7932</v>
      </c>
      <c r="B3053" s="120" t="s">
        <v>3532</v>
      </c>
      <c r="C3053" s="98" t="s">
        <v>3533</v>
      </c>
      <c r="D3053" s="120" t="s">
        <v>3534</v>
      </c>
      <c r="E3053" s="98">
        <v>0</v>
      </c>
      <c r="F3053" s="120">
        <v>0</v>
      </c>
      <c r="G3053" s="121">
        <v>150</v>
      </c>
      <c r="H3053" s="123">
        <v>0</v>
      </c>
      <c r="I3053" s="122">
        <v>0</v>
      </c>
      <c r="J3053" s="124">
        <f t="shared" si="47"/>
        <v>0</v>
      </c>
    </row>
    <row r="3054" spans="1:10" ht="15" customHeight="1" x14ac:dyDescent="0.2">
      <c r="A3054" s="120" t="s">
        <v>7933</v>
      </c>
      <c r="B3054" s="120" t="s">
        <v>3532</v>
      </c>
      <c r="C3054" s="98" t="s">
        <v>3532</v>
      </c>
      <c r="D3054" s="120" t="s">
        <v>3534</v>
      </c>
      <c r="E3054" s="98">
        <v>0</v>
      </c>
      <c r="F3054" s="120">
        <v>0</v>
      </c>
      <c r="G3054" s="121">
        <v>0</v>
      </c>
      <c r="H3054" s="123">
        <v>0</v>
      </c>
      <c r="I3054" s="122">
        <v>0</v>
      </c>
      <c r="J3054" s="124">
        <f t="shared" si="47"/>
        <v>0</v>
      </c>
    </row>
    <row r="3055" spans="1:10" ht="15" customHeight="1" x14ac:dyDescent="0.2">
      <c r="A3055" s="120" t="s">
        <v>7934</v>
      </c>
      <c r="B3055" s="120" t="s">
        <v>3532</v>
      </c>
      <c r="C3055" s="98" t="s">
        <v>3532</v>
      </c>
      <c r="D3055" s="120" t="s">
        <v>3534</v>
      </c>
      <c r="E3055" s="98">
        <v>0</v>
      </c>
      <c r="F3055" s="120">
        <v>0</v>
      </c>
      <c r="G3055" s="121">
        <v>7700</v>
      </c>
      <c r="H3055" s="123">
        <v>0</v>
      </c>
      <c r="I3055" s="122">
        <v>0</v>
      </c>
      <c r="J3055" s="124">
        <f t="shared" si="47"/>
        <v>0</v>
      </c>
    </row>
    <row r="3056" spans="1:10" ht="15" customHeight="1" x14ac:dyDescent="0.2">
      <c r="A3056" s="120" t="s">
        <v>7935</v>
      </c>
      <c r="B3056" s="120" t="s">
        <v>3532</v>
      </c>
      <c r="C3056" s="98" t="s">
        <v>3532</v>
      </c>
      <c r="D3056" s="120" t="s">
        <v>3534</v>
      </c>
      <c r="E3056" s="98">
        <v>0</v>
      </c>
      <c r="F3056" s="120">
        <v>0</v>
      </c>
      <c r="G3056" s="121">
        <v>10150</v>
      </c>
      <c r="H3056" s="123">
        <v>0</v>
      </c>
      <c r="I3056" s="122">
        <v>0</v>
      </c>
      <c r="J3056" s="124">
        <f t="shared" si="47"/>
        <v>0</v>
      </c>
    </row>
    <row r="3057" spans="1:11" ht="15" customHeight="1" x14ac:dyDescent="0.2">
      <c r="A3057" s="120" t="s">
        <v>7936</v>
      </c>
      <c r="B3057" s="120" t="s">
        <v>3532</v>
      </c>
      <c r="C3057" s="98" t="s">
        <v>3532</v>
      </c>
      <c r="D3057" s="120" t="s">
        <v>3563</v>
      </c>
      <c r="E3057" s="98">
        <v>0</v>
      </c>
      <c r="F3057" s="120">
        <v>0</v>
      </c>
      <c r="G3057" s="121">
        <v>0</v>
      </c>
      <c r="H3057" s="123">
        <v>0</v>
      </c>
      <c r="I3057" s="122">
        <v>0</v>
      </c>
      <c r="J3057" s="124">
        <f t="shared" si="47"/>
        <v>0</v>
      </c>
    </row>
    <row r="3058" spans="1:11" ht="15" customHeight="1" x14ac:dyDescent="0.2">
      <c r="A3058" s="120" t="s">
        <v>7936</v>
      </c>
      <c r="B3058" s="120" t="s">
        <v>3532</v>
      </c>
      <c r="C3058" s="98" t="s">
        <v>3532</v>
      </c>
      <c r="D3058" s="120" t="s">
        <v>3534</v>
      </c>
      <c r="E3058" s="98">
        <v>0</v>
      </c>
      <c r="F3058" s="120">
        <v>0</v>
      </c>
      <c r="G3058" s="121">
        <v>2182</v>
      </c>
      <c r="H3058" s="123">
        <v>0</v>
      </c>
      <c r="I3058" s="122">
        <v>0</v>
      </c>
      <c r="J3058" s="124">
        <f t="shared" si="47"/>
        <v>0</v>
      </c>
    </row>
    <row r="3059" spans="1:11" ht="15" customHeight="1" x14ac:dyDescent="0.2">
      <c r="A3059" s="120" t="s">
        <v>7937</v>
      </c>
      <c r="B3059" s="120" t="s">
        <v>3532</v>
      </c>
      <c r="C3059" s="98" t="s">
        <v>3532</v>
      </c>
      <c r="D3059" s="120" t="s">
        <v>3534</v>
      </c>
      <c r="E3059" s="98">
        <v>0</v>
      </c>
      <c r="F3059" s="120">
        <v>0</v>
      </c>
      <c r="G3059" s="121">
        <v>2182</v>
      </c>
      <c r="H3059" s="123">
        <v>0</v>
      </c>
      <c r="I3059" s="122">
        <v>0</v>
      </c>
      <c r="J3059" s="124">
        <f t="shared" si="47"/>
        <v>0</v>
      </c>
    </row>
    <row r="3060" spans="1:11" ht="15" customHeight="1" x14ac:dyDescent="0.2">
      <c r="A3060" s="120" t="s">
        <v>7938</v>
      </c>
      <c r="B3060" s="120" t="s">
        <v>3532</v>
      </c>
      <c r="C3060" s="98" t="s">
        <v>3533</v>
      </c>
      <c r="D3060" s="120" t="s">
        <v>3534</v>
      </c>
      <c r="E3060" s="98">
        <v>0</v>
      </c>
      <c r="F3060" s="120">
        <v>0</v>
      </c>
      <c r="G3060" s="121">
        <v>2735</v>
      </c>
      <c r="H3060" s="123">
        <v>0</v>
      </c>
      <c r="I3060" s="122">
        <v>0</v>
      </c>
      <c r="J3060" s="124">
        <f t="shared" si="47"/>
        <v>0</v>
      </c>
    </row>
    <row r="3061" spans="1:11" ht="15" customHeight="1" x14ac:dyDescent="0.2">
      <c r="A3061" s="120" t="s">
        <v>7939</v>
      </c>
      <c r="B3061" s="120" t="s">
        <v>5814</v>
      </c>
      <c r="C3061" s="98" t="s">
        <v>3533</v>
      </c>
      <c r="D3061" s="120" t="s">
        <v>3563</v>
      </c>
      <c r="E3061" s="98">
        <v>7.9530000000000003E-2</v>
      </c>
      <c r="F3061" s="120">
        <v>0</v>
      </c>
      <c r="G3061" s="121">
        <v>2621</v>
      </c>
      <c r="H3061" s="123">
        <v>7.9530000000000003E-2</v>
      </c>
      <c r="I3061" s="122">
        <v>208.44813000000002</v>
      </c>
      <c r="J3061" s="124">
        <f t="shared" si="47"/>
        <v>79.53</v>
      </c>
      <c r="K3061" s="98" t="s">
        <v>7940</v>
      </c>
    </row>
    <row r="3062" spans="1:11" ht="15" customHeight="1" x14ac:dyDescent="0.2">
      <c r="A3062" s="120" t="s">
        <v>6067</v>
      </c>
      <c r="B3062" s="120" t="s">
        <v>5814</v>
      </c>
      <c r="C3062" s="98" t="s">
        <v>3533</v>
      </c>
      <c r="D3062" s="120" t="s">
        <v>3563</v>
      </c>
      <c r="E3062" s="98">
        <v>7.4219999999999994E-2</v>
      </c>
      <c r="F3062" s="120">
        <v>0</v>
      </c>
      <c r="G3062" s="121">
        <v>2950</v>
      </c>
      <c r="H3062" s="123">
        <v>7.4219999999999994E-2</v>
      </c>
      <c r="I3062" s="122">
        <v>218.94899999999998</v>
      </c>
      <c r="J3062" s="124">
        <f t="shared" si="47"/>
        <v>74.22</v>
      </c>
      <c r="K3062" s="98" t="s">
        <v>7941</v>
      </c>
    </row>
    <row r="3063" spans="1:11" ht="15" customHeight="1" x14ac:dyDescent="0.2">
      <c r="A3063" s="120" t="s">
        <v>6071</v>
      </c>
      <c r="B3063" s="120" t="s">
        <v>5814</v>
      </c>
      <c r="C3063" s="98" t="s">
        <v>3533</v>
      </c>
      <c r="D3063" s="120" t="s">
        <v>3563</v>
      </c>
      <c r="E3063" s="98">
        <v>4.3439999999999999E-2</v>
      </c>
      <c r="F3063" s="120">
        <v>0</v>
      </c>
      <c r="G3063" s="121">
        <v>265</v>
      </c>
      <c r="H3063" s="123">
        <v>4.3439999999999999E-2</v>
      </c>
      <c r="I3063" s="122">
        <v>11.5116</v>
      </c>
      <c r="J3063" s="124">
        <f t="shared" si="47"/>
        <v>43.44</v>
      </c>
      <c r="K3063" s="98" t="s">
        <v>7942</v>
      </c>
    </row>
    <row r="3064" spans="1:11" ht="15" customHeight="1" x14ac:dyDescent="0.2">
      <c r="A3064" s="120" t="s">
        <v>6042</v>
      </c>
      <c r="B3064" s="120" t="s">
        <v>5814</v>
      </c>
      <c r="C3064" s="98" t="s">
        <v>3533</v>
      </c>
      <c r="D3064" s="120" t="s">
        <v>3563</v>
      </c>
      <c r="E3064" s="98">
        <v>4.4260000000000001E-2</v>
      </c>
      <c r="F3064" s="120">
        <v>0</v>
      </c>
      <c r="G3064" s="121">
        <v>2520</v>
      </c>
      <c r="H3064" s="123">
        <v>4.4260000000000001E-2</v>
      </c>
      <c r="I3064" s="122">
        <v>111.5352</v>
      </c>
      <c r="J3064" s="124">
        <f t="shared" si="47"/>
        <v>44.26</v>
      </c>
    </row>
    <row r="3065" spans="1:11" ht="15" customHeight="1" x14ac:dyDescent="0.2">
      <c r="A3065" s="120" t="s">
        <v>7943</v>
      </c>
      <c r="B3065" s="120" t="s">
        <v>3532</v>
      </c>
      <c r="C3065" s="98" t="s">
        <v>3533</v>
      </c>
      <c r="D3065" s="120" t="s">
        <v>3534</v>
      </c>
      <c r="E3065" s="98">
        <v>0</v>
      </c>
      <c r="F3065" s="120">
        <v>1000</v>
      </c>
      <c r="G3065" s="121">
        <v>1107</v>
      </c>
      <c r="H3065" s="123">
        <v>0</v>
      </c>
      <c r="I3065" s="122">
        <v>0</v>
      </c>
      <c r="J3065" s="124">
        <f t="shared" si="47"/>
        <v>0</v>
      </c>
    </row>
    <row r="3066" spans="1:11" ht="15" customHeight="1" x14ac:dyDescent="0.2">
      <c r="A3066" s="120" t="s">
        <v>7944</v>
      </c>
      <c r="B3066" s="120" t="s">
        <v>3532</v>
      </c>
      <c r="C3066" s="98" t="s">
        <v>3533</v>
      </c>
      <c r="D3066" s="120" t="s">
        <v>3534</v>
      </c>
      <c r="E3066" s="98">
        <v>0</v>
      </c>
      <c r="F3066" s="120">
        <v>0</v>
      </c>
      <c r="G3066" s="121">
        <v>340</v>
      </c>
      <c r="H3066" s="123">
        <v>0</v>
      </c>
      <c r="I3066" s="122">
        <v>0</v>
      </c>
      <c r="J3066" s="124">
        <f t="shared" si="47"/>
        <v>0</v>
      </c>
    </row>
    <row r="3067" spans="1:11" ht="15" customHeight="1" x14ac:dyDescent="0.2">
      <c r="A3067" s="120" t="s">
        <v>7945</v>
      </c>
      <c r="B3067" s="120" t="s">
        <v>3532</v>
      </c>
      <c r="C3067" s="98" t="s">
        <v>3532</v>
      </c>
      <c r="D3067" s="120" t="s">
        <v>3563</v>
      </c>
      <c r="E3067" s="98">
        <v>0</v>
      </c>
      <c r="F3067" s="120">
        <v>0</v>
      </c>
      <c r="G3067" s="121">
        <v>0</v>
      </c>
      <c r="H3067" s="123">
        <v>0</v>
      </c>
      <c r="I3067" s="122">
        <v>0</v>
      </c>
      <c r="J3067" s="124">
        <f t="shared" si="47"/>
        <v>0</v>
      </c>
    </row>
    <row r="3068" spans="1:11" ht="15" customHeight="1" x14ac:dyDescent="0.2">
      <c r="A3068" s="120" t="s">
        <v>7946</v>
      </c>
      <c r="B3068" s="120" t="s">
        <v>3532</v>
      </c>
      <c r="C3068" s="98" t="s">
        <v>3532</v>
      </c>
      <c r="D3068" s="120" t="s">
        <v>3563</v>
      </c>
      <c r="E3068" s="98">
        <v>0</v>
      </c>
      <c r="F3068" s="120">
        <v>0</v>
      </c>
      <c r="G3068" s="121">
        <v>0</v>
      </c>
      <c r="H3068" s="123">
        <v>0</v>
      </c>
      <c r="I3068" s="122">
        <v>0</v>
      </c>
      <c r="J3068" s="124">
        <f t="shared" si="47"/>
        <v>0</v>
      </c>
    </row>
    <row r="3069" spans="1:11" ht="15" customHeight="1" x14ac:dyDescent="0.2">
      <c r="A3069" s="120" t="s">
        <v>7947</v>
      </c>
      <c r="B3069" s="120" t="s">
        <v>7948</v>
      </c>
      <c r="C3069" s="98" t="s">
        <v>7949</v>
      </c>
      <c r="D3069" s="120" t="s">
        <v>3563</v>
      </c>
      <c r="E3069" s="98">
        <v>0</v>
      </c>
      <c r="F3069" s="120">
        <v>0</v>
      </c>
      <c r="G3069" s="121">
        <v>0</v>
      </c>
      <c r="H3069" s="123">
        <v>0</v>
      </c>
      <c r="I3069" s="122">
        <v>0</v>
      </c>
      <c r="J3069" s="124">
        <f t="shared" si="47"/>
        <v>0</v>
      </c>
    </row>
    <row r="3070" spans="1:11" ht="15" customHeight="1" x14ac:dyDescent="0.2">
      <c r="A3070" s="120" t="s">
        <v>7950</v>
      </c>
      <c r="B3070" s="120" t="s">
        <v>3532</v>
      </c>
      <c r="C3070" s="98" t="s">
        <v>3532</v>
      </c>
      <c r="D3070" s="120" t="s">
        <v>3534</v>
      </c>
      <c r="E3070" s="98">
        <v>0</v>
      </c>
      <c r="F3070" s="120">
        <v>0</v>
      </c>
      <c r="G3070" s="121">
        <v>0</v>
      </c>
      <c r="H3070" s="123">
        <v>0</v>
      </c>
      <c r="I3070" s="122">
        <v>0</v>
      </c>
      <c r="J3070" s="124">
        <f t="shared" si="47"/>
        <v>0</v>
      </c>
    </row>
    <row r="3071" spans="1:11" ht="15" customHeight="1" x14ac:dyDescent="0.2">
      <c r="A3071" s="120" t="s">
        <v>7951</v>
      </c>
      <c r="B3071" s="120" t="s">
        <v>3532</v>
      </c>
      <c r="C3071" s="98" t="s">
        <v>3532</v>
      </c>
      <c r="D3071" s="120" t="s">
        <v>3534</v>
      </c>
      <c r="E3071" s="98">
        <v>0</v>
      </c>
      <c r="F3071" s="120">
        <v>0</v>
      </c>
      <c r="G3071" s="121">
        <v>297</v>
      </c>
      <c r="H3071" s="123">
        <v>0</v>
      </c>
      <c r="I3071" s="122">
        <v>0</v>
      </c>
      <c r="J3071" s="124">
        <f t="shared" si="47"/>
        <v>0</v>
      </c>
    </row>
    <row r="3072" spans="1:11" ht="15" customHeight="1" x14ac:dyDescent="0.2">
      <c r="A3072" s="120" t="s">
        <v>7952</v>
      </c>
      <c r="B3072" s="120" t="s">
        <v>3532</v>
      </c>
      <c r="C3072" s="98" t="s">
        <v>3532</v>
      </c>
      <c r="D3072" s="120" t="s">
        <v>3534</v>
      </c>
      <c r="E3072" s="98">
        <v>0</v>
      </c>
      <c r="F3072" s="120">
        <v>0</v>
      </c>
      <c r="G3072" s="121">
        <v>231</v>
      </c>
      <c r="H3072" s="123">
        <v>0</v>
      </c>
      <c r="I3072" s="122">
        <v>0</v>
      </c>
      <c r="J3072" s="124">
        <f t="shared" si="47"/>
        <v>0</v>
      </c>
    </row>
    <row r="3073" spans="1:10" ht="15" customHeight="1" x14ac:dyDescent="0.2">
      <c r="A3073" s="120" t="s">
        <v>7953</v>
      </c>
      <c r="B3073" s="120" t="s">
        <v>3532</v>
      </c>
      <c r="C3073" s="98" t="s">
        <v>3533</v>
      </c>
      <c r="D3073" s="120" t="s">
        <v>3563</v>
      </c>
      <c r="E3073" s="98">
        <v>0</v>
      </c>
      <c r="F3073" s="120">
        <v>0</v>
      </c>
      <c r="G3073" s="121">
        <v>0</v>
      </c>
      <c r="H3073" s="123">
        <v>0</v>
      </c>
      <c r="I3073" s="122">
        <v>0</v>
      </c>
      <c r="J3073" s="124">
        <f t="shared" si="47"/>
        <v>0</v>
      </c>
    </row>
    <row r="3074" spans="1:10" ht="15" customHeight="1" x14ac:dyDescent="0.2">
      <c r="A3074" s="120" t="s">
        <v>7954</v>
      </c>
      <c r="B3074" s="120" t="s">
        <v>3532</v>
      </c>
      <c r="C3074" s="98" t="s">
        <v>3533</v>
      </c>
      <c r="D3074" s="120" t="s">
        <v>3563</v>
      </c>
      <c r="E3074" s="98">
        <v>0</v>
      </c>
      <c r="F3074" s="120">
        <v>0</v>
      </c>
      <c r="G3074" s="121">
        <v>0</v>
      </c>
      <c r="H3074" s="123">
        <v>0</v>
      </c>
      <c r="I3074" s="122">
        <v>0</v>
      </c>
      <c r="J3074" s="124">
        <f t="shared" ref="J3074:J3137" si="48">IF(D3074="gm", E3074*1000,+E3074)</f>
        <v>0</v>
      </c>
    </row>
    <row r="3075" spans="1:10" ht="15" customHeight="1" x14ac:dyDescent="0.2">
      <c r="A3075" s="120" t="s">
        <v>7955</v>
      </c>
      <c r="B3075" s="120" t="s">
        <v>3532</v>
      </c>
      <c r="C3075" s="98" t="s">
        <v>3532</v>
      </c>
      <c r="D3075" s="120" t="s">
        <v>3534</v>
      </c>
      <c r="E3075" s="98">
        <v>0</v>
      </c>
      <c r="F3075" s="120">
        <v>0</v>
      </c>
      <c r="G3075" s="121">
        <v>0</v>
      </c>
      <c r="H3075" s="123">
        <v>0</v>
      </c>
      <c r="I3075" s="122">
        <v>0</v>
      </c>
      <c r="J3075" s="124">
        <f t="shared" si="48"/>
        <v>0</v>
      </c>
    </row>
    <row r="3076" spans="1:10" ht="15" customHeight="1" x14ac:dyDescent="0.2">
      <c r="A3076" s="120" t="s">
        <v>7956</v>
      </c>
      <c r="B3076" s="120" t="s">
        <v>3532</v>
      </c>
      <c r="C3076" s="98" t="s">
        <v>3532</v>
      </c>
      <c r="D3076" s="120" t="s">
        <v>3563</v>
      </c>
      <c r="E3076" s="98">
        <v>0</v>
      </c>
      <c r="F3076" s="120">
        <v>0</v>
      </c>
      <c r="G3076" s="121">
        <v>0</v>
      </c>
      <c r="H3076" s="123">
        <v>0</v>
      </c>
      <c r="I3076" s="122">
        <v>0</v>
      </c>
      <c r="J3076" s="124">
        <f t="shared" si="48"/>
        <v>0</v>
      </c>
    </row>
    <row r="3077" spans="1:10" ht="15" customHeight="1" x14ac:dyDescent="0.2">
      <c r="A3077" s="120" t="s">
        <v>7957</v>
      </c>
      <c r="B3077" s="120" t="s">
        <v>7958</v>
      </c>
      <c r="C3077" s="98" t="s">
        <v>3532</v>
      </c>
      <c r="D3077" s="120" t="s">
        <v>3563</v>
      </c>
      <c r="E3077" s="98">
        <v>0</v>
      </c>
      <c r="F3077" s="120">
        <v>0</v>
      </c>
      <c r="G3077" s="121">
        <v>0</v>
      </c>
      <c r="H3077" s="123">
        <v>0</v>
      </c>
      <c r="I3077" s="122">
        <v>0</v>
      </c>
      <c r="J3077" s="124">
        <f t="shared" si="48"/>
        <v>0</v>
      </c>
    </row>
    <row r="3078" spans="1:10" ht="15" customHeight="1" x14ac:dyDescent="0.2">
      <c r="A3078" s="120" t="s">
        <v>7959</v>
      </c>
      <c r="B3078" s="120" t="s">
        <v>3532</v>
      </c>
      <c r="C3078" s="98" t="s">
        <v>3533</v>
      </c>
      <c r="D3078" s="120" t="s">
        <v>3563</v>
      </c>
      <c r="E3078" s="98">
        <v>0</v>
      </c>
      <c r="F3078" s="120">
        <v>0</v>
      </c>
      <c r="G3078" s="121">
        <v>0</v>
      </c>
      <c r="H3078" s="123">
        <v>0</v>
      </c>
      <c r="I3078" s="122">
        <v>0</v>
      </c>
      <c r="J3078" s="124">
        <f t="shared" si="48"/>
        <v>0</v>
      </c>
    </row>
    <row r="3079" spans="1:10" ht="15" customHeight="1" x14ac:dyDescent="0.2">
      <c r="A3079" s="120" t="s">
        <v>4521</v>
      </c>
      <c r="B3079" s="120" t="s">
        <v>3532</v>
      </c>
      <c r="C3079" s="98" t="s">
        <v>3533</v>
      </c>
      <c r="D3079" s="120" t="s">
        <v>3534</v>
      </c>
      <c r="E3079" s="98">
        <v>0</v>
      </c>
      <c r="F3079" s="120">
        <v>0</v>
      </c>
      <c r="G3079" s="121">
        <v>0</v>
      </c>
      <c r="H3079" s="123">
        <v>0</v>
      </c>
      <c r="I3079" s="122">
        <v>0</v>
      </c>
      <c r="J3079" s="124">
        <f t="shared" si="48"/>
        <v>0</v>
      </c>
    </row>
    <row r="3080" spans="1:10" ht="15" customHeight="1" x14ac:dyDescent="0.2">
      <c r="A3080" s="120" t="s">
        <v>7960</v>
      </c>
      <c r="B3080" s="120" t="s">
        <v>3532</v>
      </c>
      <c r="C3080" s="98" t="s">
        <v>3533</v>
      </c>
      <c r="D3080" s="120" t="s">
        <v>3534</v>
      </c>
      <c r="E3080" s="98">
        <v>0</v>
      </c>
      <c r="F3080" s="120">
        <v>0</v>
      </c>
      <c r="G3080" s="121">
        <v>750000</v>
      </c>
      <c r="H3080" s="123">
        <v>0</v>
      </c>
      <c r="I3080" s="122">
        <v>0</v>
      </c>
      <c r="J3080" s="124">
        <f t="shared" si="48"/>
        <v>0</v>
      </c>
    </row>
    <row r="3081" spans="1:10" ht="15" customHeight="1" x14ac:dyDescent="0.2">
      <c r="A3081" s="120" t="s">
        <v>7961</v>
      </c>
      <c r="B3081" s="120" t="s">
        <v>3532</v>
      </c>
      <c r="C3081" s="98" t="s">
        <v>3533</v>
      </c>
      <c r="D3081" s="120" t="s">
        <v>3534</v>
      </c>
      <c r="E3081" s="98">
        <v>0</v>
      </c>
      <c r="F3081" s="120">
        <v>0</v>
      </c>
      <c r="G3081" s="121">
        <v>750000</v>
      </c>
      <c r="H3081" s="123">
        <v>0</v>
      </c>
      <c r="I3081" s="122">
        <v>0</v>
      </c>
      <c r="J3081" s="124">
        <f t="shared" si="48"/>
        <v>0</v>
      </c>
    </row>
    <row r="3082" spans="1:10" ht="15" customHeight="1" x14ac:dyDescent="0.2">
      <c r="A3082" s="120" t="s">
        <v>7962</v>
      </c>
      <c r="B3082" s="120" t="s">
        <v>3532</v>
      </c>
      <c r="C3082" s="98" t="s">
        <v>3533</v>
      </c>
      <c r="D3082" s="120" t="s">
        <v>3534</v>
      </c>
      <c r="E3082" s="98">
        <v>0</v>
      </c>
      <c r="F3082" s="120">
        <v>0</v>
      </c>
      <c r="G3082" s="121">
        <v>9007</v>
      </c>
      <c r="H3082" s="123">
        <v>0</v>
      </c>
      <c r="I3082" s="122">
        <v>0</v>
      </c>
      <c r="J3082" s="124">
        <f t="shared" si="48"/>
        <v>0</v>
      </c>
    </row>
    <row r="3083" spans="1:10" ht="15" customHeight="1" x14ac:dyDescent="0.2">
      <c r="A3083" s="120" t="s">
        <v>7963</v>
      </c>
      <c r="B3083" s="120" t="s">
        <v>3532</v>
      </c>
      <c r="C3083" s="98" t="s">
        <v>3532</v>
      </c>
      <c r="D3083" s="120" t="s">
        <v>3563</v>
      </c>
      <c r="E3083" s="98">
        <v>0</v>
      </c>
      <c r="F3083" s="120">
        <v>0</v>
      </c>
      <c r="G3083" s="121">
        <v>5000</v>
      </c>
      <c r="H3083" s="123">
        <v>0</v>
      </c>
      <c r="I3083" s="122">
        <v>0</v>
      </c>
      <c r="J3083" s="124">
        <f t="shared" si="48"/>
        <v>0</v>
      </c>
    </row>
    <row r="3084" spans="1:10" ht="15" customHeight="1" x14ac:dyDescent="0.2">
      <c r="A3084" s="120" t="s">
        <v>7964</v>
      </c>
      <c r="B3084" s="120" t="s">
        <v>7965</v>
      </c>
      <c r="C3084" s="98" t="s">
        <v>3533</v>
      </c>
      <c r="D3084" s="120" t="s">
        <v>3534</v>
      </c>
      <c r="E3084" s="98">
        <v>0</v>
      </c>
      <c r="F3084" s="120">
        <v>0</v>
      </c>
      <c r="G3084" s="121">
        <v>283</v>
      </c>
      <c r="H3084" s="123">
        <v>0</v>
      </c>
      <c r="I3084" s="122">
        <v>0</v>
      </c>
      <c r="J3084" s="124">
        <f t="shared" si="48"/>
        <v>0</v>
      </c>
    </row>
    <row r="3085" spans="1:10" ht="15" customHeight="1" x14ac:dyDescent="0.2">
      <c r="A3085" s="120" t="s">
        <v>7966</v>
      </c>
      <c r="B3085" s="120" t="s">
        <v>7965</v>
      </c>
      <c r="C3085" s="98" t="s">
        <v>3533</v>
      </c>
      <c r="D3085" s="120" t="s">
        <v>3534</v>
      </c>
      <c r="E3085" s="98">
        <v>0</v>
      </c>
      <c r="F3085" s="120">
        <v>0</v>
      </c>
      <c r="G3085" s="121">
        <v>810</v>
      </c>
      <c r="H3085" s="123">
        <v>0</v>
      </c>
      <c r="I3085" s="122">
        <v>0</v>
      </c>
      <c r="J3085" s="124">
        <f t="shared" si="48"/>
        <v>0</v>
      </c>
    </row>
    <row r="3086" spans="1:10" ht="15" customHeight="1" x14ac:dyDescent="0.2">
      <c r="A3086" s="120" t="s">
        <v>7967</v>
      </c>
      <c r="B3086" s="120" t="s">
        <v>7965</v>
      </c>
      <c r="C3086" s="98" t="s">
        <v>3533</v>
      </c>
      <c r="D3086" s="120" t="s">
        <v>3534</v>
      </c>
      <c r="E3086" s="98">
        <v>0</v>
      </c>
      <c r="F3086" s="120">
        <v>0</v>
      </c>
      <c r="G3086" s="121">
        <v>0</v>
      </c>
      <c r="H3086" s="123">
        <v>0</v>
      </c>
      <c r="I3086" s="122">
        <v>0</v>
      </c>
      <c r="J3086" s="124">
        <f t="shared" si="48"/>
        <v>0</v>
      </c>
    </row>
    <row r="3087" spans="1:10" ht="15" customHeight="1" x14ac:dyDescent="0.2">
      <c r="A3087" s="120" t="s">
        <v>7967</v>
      </c>
      <c r="B3087" s="120" t="s">
        <v>3532</v>
      </c>
      <c r="C3087" s="98" t="s">
        <v>3533</v>
      </c>
      <c r="D3087" s="120" t="s">
        <v>3534</v>
      </c>
      <c r="E3087" s="98">
        <v>0</v>
      </c>
      <c r="F3087" s="120">
        <v>0</v>
      </c>
      <c r="G3087" s="121">
        <v>640</v>
      </c>
      <c r="H3087" s="123">
        <v>0</v>
      </c>
      <c r="I3087" s="122">
        <v>0</v>
      </c>
      <c r="J3087" s="124">
        <f t="shared" si="48"/>
        <v>0</v>
      </c>
    </row>
    <row r="3088" spans="1:10" ht="15" customHeight="1" x14ac:dyDescent="0.2">
      <c r="A3088" s="120" t="s">
        <v>7968</v>
      </c>
      <c r="B3088" s="120" t="s">
        <v>3532</v>
      </c>
      <c r="C3088" s="98" t="s">
        <v>3532</v>
      </c>
      <c r="D3088" s="120" t="s">
        <v>3534</v>
      </c>
      <c r="E3088" s="98">
        <v>0</v>
      </c>
      <c r="F3088" s="120">
        <v>0</v>
      </c>
      <c r="G3088" s="121">
        <v>3348</v>
      </c>
      <c r="H3088" s="123">
        <v>0</v>
      </c>
      <c r="I3088" s="122">
        <v>0</v>
      </c>
      <c r="J3088" s="124">
        <f t="shared" si="48"/>
        <v>0</v>
      </c>
    </row>
    <row r="3089" spans="1:10" ht="15" customHeight="1" x14ac:dyDescent="0.2">
      <c r="A3089" s="120" t="s">
        <v>7969</v>
      </c>
      <c r="B3089" s="120" t="s">
        <v>3532</v>
      </c>
      <c r="C3089" s="98" t="s">
        <v>3532</v>
      </c>
      <c r="D3089" s="120" t="s">
        <v>3534</v>
      </c>
      <c r="E3089" s="98">
        <v>0</v>
      </c>
      <c r="F3089" s="120">
        <v>0</v>
      </c>
      <c r="G3089" s="121">
        <v>0</v>
      </c>
      <c r="H3089" s="123">
        <v>0</v>
      </c>
      <c r="I3089" s="122">
        <v>0</v>
      </c>
      <c r="J3089" s="124">
        <f t="shared" si="48"/>
        <v>0</v>
      </c>
    </row>
    <row r="3090" spans="1:10" ht="15" customHeight="1" x14ac:dyDescent="0.2">
      <c r="A3090" s="120" t="s">
        <v>7970</v>
      </c>
      <c r="B3090" s="120" t="s">
        <v>3532</v>
      </c>
      <c r="C3090" s="98" t="s">
        <v>3532</v>
      </c>
      <c r="D3090" s="120" t="s">
        <v>3534</v>
      </c>
      <c r="E3090" s="98">
        <v>0</v>
      </c>
      <c r="F3090" s="120">
        <v>0</v>
      </c>
      <c r="G3090" s="121">
        <v>0</v>
      </c>
      <c r="H3090" s="123">
        <v>0</v>
      </c>
      <c r="I3090" s="122">
        <v>0</v>
      </c>
      <c r="J3090" s="124">
        <f t="shared" si="48"/>
        <v>0</v>
      </c>
    </row>
    <row r="3091" spans="1:10" ht="15" customHeight="1" x14ac:dyDescent="0.2">
      <c r="A3091" s="120" t="s">
        <v>7971</v>
      </c>
      <c r="B3091" s="120" t="s">
        <v>3532</v>
      </c>
      <c r="C3091" s="98" t="s">
        <v>3532</v>
      </c>
      <c r="D3091" s="120" t="s">
        <v>3534</v>
      </c>
      <c r="E3091" s="98">
        <v>0</v>
      </c>
      <c r="F3091" s="120">
        <v>0</v>
      </c>
      <c r="G3091" s="121">
        <v>0</v>
      </c>
      <c r="H3091" s="123">
        <v>0</v>
      </c>
      <c r="I3091" s="122">
        <v>0</v>
      </c>
      <c r="J3091" s="124">
        <f t="shared" si="48"/>
        <v>0</v>
      </c>
    </row>
    <row r="3092" spans="1:10" ht="15" customHeight="1" x14ac:dyDescent="0.2">
      <c r="A3092" s="120" t="s">
        <v>7972</v>
      </c>
      <c r="B3092" s="120" t="s">
        <v>3532</v>
      </c>
      <c r="C3092" s="98" t="s">
        <v>3532</v>
      </c>
      <c r="D3092" s="120" t="s">
        <v>3534</v>
      </c>
      <c r="E3092" s="98">
        <v>0</v>
      </c>
      <c r="F3092" s="120">
        <v>0</v>
      </c>
      <c r="G3092" s="121">
        <v>0</v>
      </c>
      <c r="H3092" s="123">
        <v>0</v>
      </c>
      <c r="I3092" s="122">
        <v>0</v>
      </c>
      <c r="J3092" s="124">
        <f t="shared" si="48"/>
        <v>0</v>
      </c>
    </row>
    <row r="3093" spans="1:10" ht="15" customHeight="1" x14ac:dyDescent="0.2">
      <c r="A3093" s="120" t="s">
        <v>7973</v>
      </c>
      <c r="B3093" s="120" t="s">
        <v>3532</v>
      </c>
      <c r="C3093" s="98" t="s">
        <v>3532</v>
      </c>
      <c r="D3093" s="120" t="s">
        <v>3534</v>
      </c>
      <c r="E3093" s="98">
        <v>0</v>
      </c>
      <c r="F3093" s="120">
        <v>0</v>
      </c>
      <c r="G3093" s="121">
        <v>0</v>
      </c>
      <c r="H3093" s="123">
        <v>0</v>
      </c>
      <c r="I3093" s="122">
        <v>0</v>
      </c>
      <c r="J3093" s="124">
        <f t="shared" si="48"/>
        <v>0</v>
      </c>
    </row>
    <row r="3094" spans="1:10" ht="15" customHeight="1" x14ac:dyDescent="0.2">
      <c r="A3094" s="120" t="s">
        <v>7974</v>
      </c>
      <c r="B3094" s="120" t="s">
        <v>3532</v>
      </c>
      <c r="C3094" s="98" t="s">
        <v>3532</v>
      </c>
      <c r="D3094" s="120" t="s">
        <v>3534</v>
      </c>
      <c r="E3094" s="98">
        <v>0</v>
      </c>
      <c r="F3094" s="120">
        <v>0</v>
      </c>
      <c r="G3094" s="121">
        <v>0</v>
      </c>
      <c r="H3094" s="123">
        <v>0</v>
      </c>
      <c r="I3094" s="122">
        <v>0</v>
      </c>
      <c r="J3094" s="124">
        <f t="shared" si="48"/>
        <v>0</v>
      </c>
    </row>
    <row r="3095" spans="1:10" ht="15" customHeight="1" x14ac:dyDescent="0.2">
      <c r="A3095" s="120" t="s">
        <v>7975</v>
      </c>
      <c r="B3095" s="120" t="s">
        <v>3532</v>
      </c>
      <c r="C3095" s="98" t="s">
        <v>3532</v>
      </c>
      <c r="D3095" s="120" t="s">
        <v>3534</v>
      </c>
      <c r="E3095" s="98">
        <v>0</v>
      </c>
      <c r="F3095" s="120">
        <v>0</v>
      </c>
      <c r="G3095" s="121">
        <v>0</v>
      </c>
      <c r="H3095" s="123">
        <v>0</v>
      </c>
      <c r="I3095" s="122">
        <v>0</v>
      </c>
      <c r="J3095" s="124">
        <f t="shared" si="48"/>
        <v>0</v>
      </c>
    </row>
    <row r="3096" spans="1:10" ht="15" customHeight="1" x14ac:dyDescent="0.2">
      <c r="A3096" s="120" t="s">
        <v>7976</v>
      </c>
      <c r="B3096" s="120" t="s">
        <v>3532</v>
      </c>
      <c r="C3096" s="98" t="s">
        <v>3532</v>
      </c>
      <c r="D3096" s="120" t="s">
        <v>3534</v>
      </c>
      <c r="E3096" s="98">
        <v>0</v>
      </c>
      <c r="F3096" s="120">
        <v>0</v>
      </c>
      <c r="G3096" s="121">
        <v>0</v>
      </c>
      <c r="H3096" s="123">
        <v>0</v>
      </c>
      <c r="I3096" s="122">
        <v>0</v>
      </c>
      <c r="J3096" s="124">
        <f t="shared" si="48"/>
        <v>0</v>
      </c>
    </row>
    <row r="3097" spans="1:10" ht="15" customHeight="1" x14ac:dyDescent="0.2">
      <c r="A3097" s="120" t="s">
        <v>7977</v>
      </c>
      <c r="B3097" s="120" t="s">
        <v>3532</v>
      </c>
      <c r="C3097" s="98" t="s">
        <v>3532</v>
      </c>
      <c r="D3097" s="120" t="s">
        <v>3534</v>
      </c>
      <c r="E3097" s="98">
        <v>0</v>
      </c>
      <c r="F3097" s="120">
        <v>0</v>
      </c>
      <c r="G3097" s="121">
        <v>0</v>
      </c>
      <c r="H3097" s="123">
        <v>0</v>
      </c>
      <c r="I3097" s="122">
        <v>0</v>
      </c>
      <c r="J3097" s="124">
        <f t="shared" si="48"/>
        <v>0</v>
      </c>
    </row>
    <row r="3098" spans="1:10" ht="15" customHeight="1" x14ac:dyDescent="0.2">
      <c r="A3098" s="120" t="s">
        <v>7978</v>
      </c>
      <c r="B3098" s="120" t="s">
        <v>3532</v>
      </c>
      <c r="C3098" s="98" t="s">
        <v>3532</v>
      </c>
      <c r="D3098" s="120" t="s">
        <v>3534</v>
      </c>
      <c r="E3098" s="98">
        <v>0</v>
      </c>
      <c r="F3098" s="120">
        <v>0</v>
      </c>
      <c r="G3098" s="121">
        <v>0</v>
      </c>
      <c r="H3098" s="123">
        <v>0</v>
      </c>
      <c r="I3098" s="122">
        <v>0</v>
      </c>
      <c r="J3098" s="124">
        <f t="shared" si="48"/>
        <v>0</v>
      </c>
    </row>
    <row r="3099" spans="1:10" ht="15" customHeight="1" x14ac:dyDescent="0.2">
      <c r="A3099" s="120" t="s">
        <v>7979</v>
      </c>
      <c r="B3099" s="120" t="s">
        <v>3532</v>
      </c>
      <c r="C3099" s="98" t="s">
        <v>3532</v>
      </c>
      <c r="D3099" s="120" t="s">
        <v>3534</v>
      </c>
      <c r="E3099" s="98">
        <v>0</v>
      </c>
      <c r="F3099" s="120">
        <v>0</v>
      </c>
      <c r="G3099" s="121">
        <v>0</v>
      </c>
      <c r="H3099" s="123">
        <v>0</v>
      </c>
      <c r="I3099" s="122">
        <v>0</v>
      </c>
      <c r="J3099" s="124">
        <f t="shared" si="48"/>
        <v>0</v>
      </c>
    </row>
    <row r="3100" spans="1:10" ht="15" customHeight="1" x14ac:dyDescent="0.2">
      <c r="A3100" s="120" t="s">
        <v>7980</v>
      </c>
      <c r="B3100" s="120" t="s">
        <v>3532</v>
      </c>
      <c r="C3100" s="98" t="s">
        <v>3532</v>
      </c>
      <c r="D3100" s="120" t="s">
        <v>3534</v>
      </c>
      <c r="E3100" s="98">
        <v>0</v>
      </c>
      <c r="F3100" s="120">
        <v>0</v>
      </c>
      <c r="G3100" s="121">
        <v>0</v>
      </c>
      <c r="H3100" s="123">
        <v>0</v>
      </c>
      <c r="I3100" s="122">
        <v>0</v>
      </c>
      <c r="J3100" s="124">
        <f t="shared" si="48"/>
        <v>0</v>
      </c>
    </row>
    <row r="3101" spans="1:10" ht="15" customHeight="1" x14ac:dyDescent="0.2">
      <c r="A3101" s="120" t="s">
        <v>7981</v>
      </c>
      <c r="B3101" s="120" t="s">
        <v>3532</v>
      </c>
      <c r="C3101" s="98" t="s">
        <v>3532</v>
      </c>
      <c r="D3101" s="120" t="s">
        <v>3563</v>
      </c>
      <c r="E3101" s="98">
        <v>0</v>
      </c>
      <c r="F3101" s="120">
        <v>0</v>
      </c>
      <c r="G3101" s="121">
        <v>0</v>
      </c>
      <c r="H3101" s="123">
        <v>0</v>
      </c>
      <c r="I3101" s="122">
        <v>0</v>
      </c>
      <c r="J3101" s="124">
        <f t="shared" si="48"/>
        <v>0</v>
      </c>
    </row>
    <row r="3102" spans="1:10" ht="15" customHeight="1" x14ac:dyDescent="0.2">
      <c r="A3102" s="120" t="s">
        <v>7982</v>
      </c>
      <c r="B3102" s="120" t="s">
        <v>3532</v>
      </c>
      <c r="C3102" s="98" t="s">
        <v>3532</v>
      </c>
      <c r="D3102" s="120" t="s">
        <v>3563</v>
      </c>
      <c r="E3102" s="98">
        <v>0</v>
      </c>
      <c r="F3102" s="120">
        <v>0</v>
      </c>
      <c r="G3102" s="121">
        <v>0</v>
      </c>
      <c r="H3102" s="123">
        <v>0</v>
      </c>
      <c r="I3102" s="122">
        <v>0</v>
      </c>
      <c r="J3102" s="124">
        <f t="shared" si="48"/>
        <v>0</v>
      </c>
    </row>
    <row r="3103" spans="1:10" ht="15" customHeight="1" x14ac:dyDescent="0.2">
      <c r="A3103" s="120" t="s">
        <v>7983</v>
      </c>
      <c r="B3103" s="120" t="s">
        <v>3532</v>
      </c>
      <c r="C3103" s="98" t="s">
        <v>3532</v>
      </c>
      <c r="D3103" s="120" t="s">
        <v>3563</v>
      </c>
      <c r="E3103" s="98">
        <v>0</v>
      </c>
      <c r="F3103" s="120">
        <v>0</v>
      </c>
      <c r="G3103" s="121">
        <v>0</v>
      </c>
      <c r="H3103" s="123">
        <v>0</v>
      </c>
      <c r="I3103" s="122">
        <v>0</v>
      </c>
      <c r="J3103" s="124">
        <f t="shared" si="48"/>
        <v>0</v>
      </c>
    </row>
    <row r="3104" spans="1:10" ht="15" customHeight="1" x14ac:dyDescent="0.2">
      <c r="A3104" s="120" t="s">
        <v>7984</v>
      </c>
      <c r="B3104" s="120" t="s">
        <v>3532</v>
      </c>
      <c r="C3104" s="98" t="s">
        <v>3532</v>
      </c>
      <c r="D3104" s="120" t="s">
        <v>3563</v>
      </c>
      <c r="E3104" s="98">
        <v>0</v>
      </c>
      <c r="F3104" s="120">
        <v>0</v>
      </c>
      <c r="G3104" s="121">
        <v>0</v>
      </c>
      <c r="H3104" s="123">
        <v>0</v>
      </c>
      <c r="I3104" s="122">
        <v>0</v>
      </c>
      <c r="J3104" s="124">
        <f t="shared" si="48"/>
        <v>0</v>
      </c>
    </row>
    <row r="3105" spans="1:10" ht="15" customHeight="1" x14ac:dyDescent="0.2">
      <c r="A3105" s="120" t="s">
        <v>7985</v>
      </c>
      <c r="B3105" s="120" t="s">
        <v>3532</v>
      </c>
      <c r="C3105" s="98" t="s">
        <v>3532</v>
      </c>
      <c r="D3105" s="120" t="s">
        <v>3563</v>
      </c>
      <c r="E3105" s="98">
        <v>0</v>
      </c>
      <c r="F3105" s="120">
        <v>0</v>
      </c>
      <c r="G3105" s="121">
        <v>0</v>
      </c>
      <c r="H3105" s="123">
        <v>0</v>
      </c>
      <c r="I3105" s="122">
        <v>0</v>
      </c>
      <c r="J3105" s="124">
        <f t="shared" si="48"/>
        <v>0</v>
      </c>
    </row>
    <row r="3106" spans="1:10" ht="15" customHeight="1" x14ac:dyDescent="0.2">
      <c r="A3106" s="120" t="s">
        <v>7986</v>
      </c>
      <c r="B3106" s="120" t="s">
        <v>6547</v>
      </c>
      <c r="C3106" s="98" t="s">
        <v>3533</v>
      </c>
      <c r="D3106" s="120" t="s">
        <v>3563</v>
      </c>
      <c r="E3106" s="98">
        <v>0</v>
      </c>
      <c r="F3106" s="120">
        <v>0</v>
      </c>
      <c r="G3106" s="121">
        <v>4910</v>
      </c>
      <c r="H3106" s="123">
        <v>0</v>
      </c>
      <c r="I3106" s="122">
        <v>0</v>
      </c>
      <c r="J3106" s="124">
        <f t="shared" si="48"/>
        <v>0</v>
      </c>
    </row>
    <row r="3107" spans="1:10" ht="15" customHeight="1" x14ac:dyDescent="0.2">
      <c r="A3107" s="120" t="s">
        <v>7987</v>
      </c>
      <c r="B3107" s="120" t="s">
        <v>3532</v>
      </c>
      <c r="C3107" s="98" t="s">
        <v>3532</v>
      </c>
      <c r="D3107" s="120" t="s">
        <v>3534</v>
      </c>
      <c r="E3107" s="98">
        <v>0</v>
      </c>
      <c r="F3107" s="120">
        <v>0</v>
      </c>
      <c r="G3107" s="121">
        <v>0</v>
      </c>
      <c r="H3107" s="123">
        <v>0</v>
      </c>
      <c r="I3107" s="122">
        <v>0</v>
      </c>
      <c r="J3107" s="124">
        <f t="shared" si="48"/>
        <v>0</v>
      </c>
    </row>
    <row r="3108" spans="1:10" ht="15" customHeight="1" x14ac:dyDescent="0.2">
      <c r="A3108" s="120" t="s">
        <v>7988</v>
      </c>
      <c r="B3108" s="120" t="s">
        <v>7989</v>
      </c>
      <c r="C3108" s="98" t="s">
        <v>3533</v>
      </c>
      <c r="D3108" s="120" t="s">
        <v>3534</v>
      </c>
      <c r="E3108" s="98">
        <v>0</v>
      </c>
      <c r="F3108" s="120">
        <v>0</v>
      </c>
      <c r="G3108" s="121">
        <v>256</v>
      </c>
      <c r="H3108" s="123">
        <v>0</v>
      </c>
      <c r="I3108" s="122">
        <v>0</v>
      </c>
      <c r="J3108" s="124">
        <f t="shared" si="48"/>
        <v>0</v>
      </c>
    </row>
    <row r="3109" spans="1:10" ht="15" customHeight="1" x14ac:dyDescent="0.2">
      <c r="A3109" s="120" t="s">
        <v>7990</v>
      </c>
      <c r="B3109" s="120" t="s">
        <v>7989</v>
      </c>
      <c r="C3109" s="98" t="s">
        <v>3533</v>
      </c>
      <c r="D3109" s="120" t="s">
        <v>3534</v>
      </c>
      <c r="E3109" s="98">
        <v>0</v>
      </c>
      <c r="F3109" s="120">
        <v>0</v>
      </c>
      <c r="G3109" s="121">
        <v>320</v>
      </c>
      <c r="H3109" s="123">
        <v>0</v>
      </c>
      <c r="I3109" s="122">
        <v>0</v>
      </c>
      <c r="J3109" s="124">
        <f t="shared" si="48"/>
        <v>0</v>
      </c>
    </row>
    <row r="3110" spans="1:10" ht="15" customHeight="1" x14ac:dyDescent="0.2">
      <c r="A3110" s="120" t="s">
        <v>7991</v>
      </c>
      <c r="B3110" s="120" t="s">
        <v>7989</v>
      </c>
      <c r="C3110" s="98" t="s">
        <v>3533</v>
      </c>
      <c r="D3110" s="120" t="s">
        <v>3534</v>
      </c>
      <c r="E3110" s="98">
        <v>0</v>
      </c>
      <c r="F3110" s="120">
        <v>0</v>
      </c>
      <c r="G3110" s="121">
        <v>105</v>
      </c>
      <c r="H3110" s="123">
        <v>0</v>
      </c>
      <c r="I3110" s="122">
        <v>0</v>
      </c>
      <c r="J3110" s="124">
        <f t="shared" si="48"/>
        <v>0</v>
      </c>
    </row>
    <row r="3111" spans="1:10" ht="15" customHeight="1" x14ac:dyDescent="0.2">
      <c r="A3111" s="120" t="s">
        <v>7992</v>
      </c>
      <c r="B3111" s="120" t="s">
        <v>7989</v>
      </c>
      <c r="C3111" s="98" t="s">
        <v>3533</v>
      </c>
      <c r="D3111" s="120" t="s">
        <v>3534</v>
      </c>
      <c r="E3111" s="98">
        <v>0</v>
      </c>
      <c r="F3111" s="120">
        <v>0</v>
      </c>
      <c r="G3111" s="121">
        <v>252</v>
      </c>
      <c r="H3111" s="123">
        <v>0</v>
      </c>
      <c r="I3111" s="122">
        <v>0</v>
      </c>
      <c r="J3111" s="124">
        <f t="shared" si="48"/>
        <v>0</v>
      </c>
    </row>
    <row r="3112" spans="1:10" ht="15" customHeight="1" x14ac:dyDescent="0.2">
      <c r="A3112" s="120" t="s">
        <v>7993</v>
      </c>
      <c r="B3112" s="120" t="s">
        <v>7989</v>
      </c>
      <c r="C3112" s="98" t="s">
        <v>3533</v>
      </c>
      <c r="D3112" s="120" t="s">
        <v>3534</v>
      </c>
      <c r="E3112" s="98">
        <v>0</v>
      </c>
      <c r="F3112" s="120">
        <v>0</v>
      </c>
      <c r="G3112" s="121">
        <v>155</v>
      </c>
      <c r="H3112" s="123">
        <v>0</v>
      </c>
      <c r="I3112" s="122">
        <v>0</v>
      </c>
      <c r="J3112" s="124">
        <f t="shared" si="48"/>
        <v>0</v>
      </c>
    </row>
    <row r="3113" spans="1:10" ht="15" customHeight="1" x14ac:dyDescent="0.2">
      <c r="A3113" s="120" t="s">
        <v>7994</v>
      </c>
      <c r="B3113" s="120" t="s">
        <v>7989</v>
      </c>
      <c r="C3113" s="98" t="s">
        <v>3533</v>
      </c>
      <c r="D3113" s="120" t="s">
        <v>3534</v>
      </c>
      <c r="E3113" s="98">
        <v>0</v>
      </c>
      <c r="F3113" s="120">
        <v>0</v>
      </c>
      <c r="G3113" s="121">
        <v>34</v>
      </c>
      <c r="H3113" s="123">
        <v>0</v>
      </c>
      <c r="I3113" s="122">
        <v>0</v>
      </c>
      <c r="J3113" s="124">
        <f t="shared" si="48"/>
        <v>0</v>
      </c>
    </row>
    <row r="3114" spans="1:10" ht="15" customHeight="1" x14ac:dyDescent="0.2">
      <c r="A3114" s="120" t="s">
        <v>7995</v>
      </c>
      <c r="B3114" s="120" t="s">
        <v>7989</v>
      </c>
      <c r="C3114" s="98" t="s">
        <v>3533</v>
      </c>
      <c r="D3114" s="120" t="s">
        <v>3534</v>
      </c>
      <c r="E3114" s="98">
        <v>0</v>
      </c>
      <c r="F3114" s="120">
        <v>0</v>
      </c>
      <c r="G3114" s="121">
        <v>87</v>
      </c>
      <c r="H3114" s="123">
        <v>0</v>
      </c>
      <c r="I3114" s="122">
        <v>0</v>
      </c>
      <c r="J3114" s="124">
        <f t="shared" si="48"/>
        <v>0</v>
      </c>
    </row>
    <row r="3115" spans="1:10" ht="15" customHeight="1" x14ac:dyDescent="0.2">
      <c r="A3115" s="120" t="s">
        <v>7996</v>
      </c>
      <c r="B3115" s="120" t="s">
        <v>7989</v>
      </c>
      <c r="C3115" s="98" t="s">
        <v>3533</v>
      </c>
      <c r="D3115" s="120" t="s">
        <v>3534</v>
      </c>
      <c r="E3115" s="98">
        <v>0</v>
      </c>
      <c r="F3115" s="120">
        <v>0</v>
      </c>
      <c r="G3115" s="121">
        <v>78</v>
      </c>
      <c r="H3115" s="123">
        <v>0</v>
      </c>
      <c r="I3115" s="122">
        <v>0</v>
      </c>
      <c r="J3115" s="124">
        <f t="shared" si="48"/>
        <v>0</v>
      </c>
    </row>
    <row r="3116" spans="1:10" ht="15" customHeight="1" x14ac:dyDescent="0.2">
      <c r="A3116" s="120" t="s">
        <v>7997</v>
      </c>
      <c r="B3116" s="120" t="s">
        <v>7989</v>
      </c>
      <c r="C3116" s="98" t="s">
        <v>3533</v>
      </c>
      <c r="D3116" s="120" t="s">
        <v>3534</v>
      </c>
      <c r="E3116" s="98">
        <v>0</v>
      </c>
      <c r="F3116" s="120">
        <v>0</v>
      </c>
      <c r="G3116" s="121">
        <v>42</v>
      </c>
      <c r="H3116" s="123">
        <v>0</v>
      </c>
      <c r="I3116" s="122">
        <v>0</v>
      </c>
      <c r="J3116" s="124">
        <f t="shared" si="48"/>
        <v>0</v>
      </c>
    </row>
    <row r="3117" spans="1:10" ht="15" customHeight="1" x14ac:dyDescent="0.2">
      <c r="A3117" s="120" t="s">
        <v>7998</v>
      </c>
      <c r="B3117" s="120" t="s">
        <v>7989</v>
      </c>
      <c r="C3117" s="98" t="s">
        <v>3533</v>
      </c>
      <c r="D3117" s="120" t="s">
        <v>3534</v>
      </c>
      <c r="E3117" s="98">
        <v>0</v>
      </c>
      <c r="F3117" s="120">
        <v>0</v>
      </c>
      <c r="G3117" s="121">
        <v>63</v>
      </c>
      <c r="H3117" s="123">
        <v>0</v>
      </c>
      <c r="I3117" s="122">
        <v>0</v>
      </c>
      <c r="J3117" s="124">
        <f t="shared" si="48"/>
        <v>0</v>
      </c>
    </row>
    <row r="3118" spans="1:10" ht="15" customHeight="1" x14ac:dyDescent="0.2">
      <c r="A3118" s="120" t="s">
        <v>7999</v>
      </c>
      <c r="B3118" s="120" t="s">
        <v>7989</v>
      </c>
      <c r="C3118" s="98" t="s">
        <v>3533</v>
      </c>
      <c r="D3118" s="120" t="s">
        <v>3534</v>
      </c>
      <c r="E3118" s="98">
        <v>0</v>
      </c>
      <c r="F3118" s="120">
        <v>0</v>
      </c>
      <c r="G3118" s="121">
        <v>120</v>
      </c>
      <c r="H3118" s="123">
        <v>0</v>
      </c>
      <c r="I3118" s="122">
        <v>0</v>
      </c>
      <c r="J3118" s="124">
        <f t="shared" si="48"/>
        <v>0</v>
      </c>
    </row>
    <row r="3119" spans="1:10" ht="15" customHeight="1" x14ac:dyDescent="0.2">
      <c r="A3119" s="120" t="s">
        <v>4433</v>
      </c>
      <c r="B3119" s="120" t="s">
        <v>7989</v>
      </c>
      <c r="C3119" s="98" t="s">
        <v>3533</v>
      </c>
      <c r="D3119" s="120" t="s">
        <v>3534</v>
      </c>
      <c r="E3119" s="98">
        <v>0</v>
      </c>
      <c r="F3119" s="120">
        <v>0</v>
      </c>
      <c r="G3119" s="121">
        <v>0</v>
      </c>
      <c r="H3119" s="123">
        <v>0</v>
      </c>
      <c r="I3119" s="122">
        <v>0</v>
      </c>
      <c r="J3119" s="124">
        <f t="shared" si="48"/>
        <v>0</v>
      </c>
    </row>
    <row r="3120" spans="1:10" ht="15" customHeight="1" x14ac:dyDescent="0.2">
      <c r="A3120" s="120" t="s">
        <v>8000</v>
      </c>
      <c r="B3120" s="120" t="s">
        <v>7989</v>
      </c>
      <c r="C3120" s="98" t="s">
        <v>3533</v>
      </c>
      <c r="D3120" s="120" t="s">
        <v>3534</v>
      </c>
      <c r="E3120" s="98">
        <v>0</v>
      </c>
      <c r="F3120" s="120">
        <v>0</v>
      </c>
      <c r="G3120" s="121">
        <v>344</v>
      </c>
      <c r="H3120" s="123">
        <v>0</v>
      </c>
      <c r="I3120" s="122">
        <v>0</v>
      </c>
      <c r="J3120" s="124">
        <f t="shared" si="48"/>
        <v>0</v>
      </c>
    </row>
    <row r="3121" spans="1:11" ht="15" customHeight="1" x14ac:dyDescent="0.2">
      <c r="A3121" s="120" t="s">
        <v>8001</v>
      </c>
      <c r="B3121" s="120" t="s">
        <v>4360</v>
      </c>
      <c r="C3121" s="98" t="s">
        <v>3533</v>
      </c>
      <c r="D3121" s="120" t="s">
        <v>3534</v>
      </c>
      <c r="E3121" s="98">
        <v>1.5104166666666701</v>
      </c>
      <c r="F3121" s="120">
        <v>0</v>
      </c>
      <c r="G3121" s="121">
        <v>237.391773</v>
      </c>
      <c r="H3121" s="123">
        <v>1.5104169999999999</v>
      </c>
      <c r="I3121" s="122">
        <v>358.56056959934097</v>
      </c>
      <c r="J3121" s="124">
        <f t="shared" si="48"/>
        <v>1.5104166666666701</v>
      </c>
      <c r="K3121" s="98" t="s">
        <v>8002</v>
      </c>
    </row>
    <row r="3122" spans="1:11" ht="15" customHeight="1" x14ac:dyDescent="0.2">
      <c r="A3122" s="120" t="s">
        <v>8003</v>
      </c>
      <c r="B3122" s="120" t="s">
        <v>3532</v>
      </c>
      <c r="C3122" s="98" t="s">
        <v>3532</v>
      </c>
      <c r="D3122" s="120" t="s">
        <v>3534</v>
      </c>
      <c r="E3122" s="98">
        <v>0</v>
      </c>
      <c r="F3122" s="120">
        <v>0</v>
      </c>
      <c r="G3122" s="121">
        <v>260000</v>
      </c>
      <c r="H3122" s="123">
        <v>0</v>
      </c>
      <c r="I3122" s="122">
        <v>0</v>
      </c>
      <c r="J3122" s="124">
        <f t="shared" si="48"/>
        <v>0</v>
      </c>
    </row>
    <row r="3123" spans="1:11" ht="15" customHeight="1" x14ac:dyDescent="0.2">
      <c r="A3123" s="120" t="s">
        <v>8004</v>
      </c>
      <c r="B3123" s="120" t="s">
        <v>3532</v>
      </c>
      <c r="C3123" s="98" t="s">
        <v>3533</v>
      </c>
      <c r="D3123" s="120" t="s">
        <v>3534</v>
      </c>
      <c r="E3123" s="98">
        <v>0</v>
      </c>
      <c r="F3123" s="120">
        <v>0</v>
      </c>
      <c r="G3123" s="121">
        <v>0</v>
      </c>
      <c r="H3123" s="123">
        <v>0</v>
      </c>
      <c r="I3123" s="122">
        <v>0</v>
      </c>
      <c r="J3123" s="124">
        <f t="shared" si="48"/>
        <v>0</v>
      </c>
    </row>
    <row r="3124" spans="1:11" ht="15" customHeight="1" x14ac:dyDescent="0.2">
      <c r="A3124" s="120" t="s">
        <v>8005</v>
      </c>
      <c r="B3124" s="120" t="s">
        <v>7989</v>
      </c>
      <c r="C3124" s="98" t="s">
        <v>3533</v>
      </c>
      <c r="D3124" s="120" t="s">
        <v>3534</v>
      </c>
      <c r="E3124" s="98">
        <v>0</v>
      </c>
      <c r="F3124" s="120">
        <v>0</v>
      </c>
      <c r="G3124" s="121">
        <v>204</v>
      </c>
      <c r="H3124" s="123">
        <v>0</v>
      </c>
      <c r="I3124" s="122">
        <v>0</v>
      </c>
      <c r="J3124" s="124">
        <f t="shared" si="48"/>
        <v>0</v>
      </c>
    </row>
    <row r="3125" spans="1:11" ht="15" customHeight="1" x14ac:dyDescent="0.2">
      <c r="A3125" s="120" t="s">
        <v>8006</v>
      </c>
      <c r="B3125" s="120" t="s">
        <v>7989</v>
      </c>
      <c r="C3125" s="98" t="s">
        <v>3533</v>
      </c>
      <c r="D3125" s="120" t="s">
        <v>3534</v>
      </c>
      <c r="E3125" s="98">
        <v>0</v>
      </c>
      <c r="F3125" s="120">
        <v>0</v>
      </c>
      <c r="G3125" s="121">
        <v>98</v>
      </c>
      <c r="H3125" s="123">
        <v>0</v>
      </c>
      <c r="I3125" s="122">
        <v>0</v>
      </c>
      <c r="J3125" s="124">
        <f t="shared" si="48"/>
        <v>0</v>
      </c>
    </row>
    <row r="3126" spans="1:11" ht="15" customHeight="1" x14ac:dyDescent="0.2">
      <c r="A3126" s="120" t="s">
        <v>8007</v>
      </c>
      <c r="B3126" s="120" t="s">
        <v>7989</v>
      </c>
      <c r="C3126" s="98" t="s">
        <v>3533</v>
      </c>
      <c r="D3126" s="120" t="s">
        <v>3534</v>
      </c>
      <c r="E3126" s="98">
        <v>0</v>
      </c>
      <c r="F3126" s="120">
        <v>0</v>
      </c>
      <c r="G3126" s="121">
        <v>130</v>
      </c>
      <c r="H3126" s="123">
        <v>0</v>
      </c>
      <c r="I3126" s="122">
        <v>0</v>
      </c>
      <c r="J3126" s="124">
        <f t="shared" si="48"/>
        <v>0</v>
      </c>
    </row>
    <row r="3127" spans="1:11" ht="15" customHeight="1" x14ac:dyDescent="0.2">
      <c r="A3127" s="120" t="s">
        <v>8008</v>
      </c>
      <c r="B3127" s="120" t="s">
        <v>7989</v>
      </c>
      <c r="C3127" s="98" t="s">
        <v>3533</v>
      </c>
      <c r="D3127" s="120" t="s">
        <v>3534</v>
      </c>
      <c r="E3127" s="98">
        <v>0</v>
      </c>
      <c r="F3127" s="120">
        <v>0</v>
      </c>
      <c r="G3127" s="121">
        <v>102</v>
      </c>
      <c r="H3127" s="123">
        <v>0</v>
      </c>
      <c r="I3127" s="122">
        <v>0</v>
      </c>
      <c r="J3127" s="124">
        <f t="shared" si="48"/>
        <v>0</v>
      </c>
    </row>
    <row r="3128" spans="1:11" ht="15" customHeight="1" x14ac:dyDescent="0.2">
      <c r="A3128" s="120" t="s">
        <v>8009</v>
      </c>
      <c r="B3128" s="120" t="s">
        <v>7989</v>
      </c>
      <c r="C3128" s="98" t="s">
        <v>3533</v>
      </c>
      <c r="D3128" s="120" t="s">
        <v>3534</v>
      </c>
      <c r="E3128" s="98">
        <v>0</v>
      </c>
      <c r="F3128" s="120">
        <v>0</v>
      </c>
      <c r="G3128" s="121">
        <v>83</v>
      </c>
      <c r="H3128" s="123">
        <v>0</v>
      </c>
      <c r="I3128" s="122">
        <v>0</v>
      </c>
      <c r="J3128" s="124">
        <f t="shared" si="48"/>
        <v>0</v>
      </c>
    </row>
    <row r="3129" spans="1:11" ht="15" customHeight="1" x14ac:dyDescent="0.2">
      <c r="A3129" s="120" t="s">
        <v>8010</v>
      </c>
      <c r="B3129" s="120" t="s">
        <v>7989</v>
      </c>
      <c r="C3129" s="98" t="s">
        <v>3533</v>
      </c>
      <c r="D3129" s="120" t="s">
        <v>3534</v>
      </c>
      <c r="E3129" s="98">
        <v>0</v>
      </c>
      <c r="F3129" s="120">
        <v>0</v>
      </c>
      <c r="G3129" s="121">
        <v>46</v>
      </c>
      <c r="H3129" s="123">
        <v>0</v>
      </c>
      <c r="I3129" s="122">
        <v>0</v>
      </c>
      <c r="J3129" s="124">
        <f t="shared" si="48"/>
        <v>0</v>
      </c>
    </row>
    <row r="3130" spans="1:11" ht="15" customHeight="1" x14ac:dyDescent="0.2">
      <c r="A3130" s="120" t="s">
        <v>8011</v>
      </c>
      <c r="B3130" s="120" t="s">
        <v>7989</v>
      </c>
      <c r="C3130" s="98" t="s">
        <v>3533</v>
      </c>
      <c r="D3130" s="120" t="s">
        <v>3534</v>
      </c>
      <c r="E3130" s="98">
        <v>0</v>
      </c>
      <c r="F3130" s="120">
        <v>0</v>
      </c>
      <c r="G3130" s="121">
        <v>75</v>
      </c>
      <c r="H3130" s="123">
        <v>0</v>
      </c>
      <c r="I3130" s="122">
        <v>0</v>
      </c>
      <c r="J3130" s="124">
        <f t="shared" si="48"/>
        <v>0</v>
      </c>
    </row>
    <row r="3131" spans="1:11" ht="15" customHeight="1" x14ac:dyDescent="0.2">
      <c r="A3131" s="120" t="s">
        <v>8012</v>
      </c>
      <c r="B3131" s="120" t="s">
        <v>7989</v>
      </c>
      <c r="C3131" s="98" t="s">
        <v>3533</v>
      </c>
      <c r="D3131" s="120" t="s">
        <v>3534</v>
      </c>
      <c r="E3131" s="98">
        <v>0</v>
      </c>
      <c r="F3131" s="120">
        <v>0</v>
      </c>
      <c r="G3131" s="121">
        <v>94</v>
      </c>
      <c r="H3131" s="123">
        <v>0</v>
      </c>
      <c r="I3131" s="122">
        <v>0</v>
      </c>
      <c r="J3131" s="124">
        <f t="shared" si="48"/>
        <v>0</v>
      </c>
    </row>
    <row r="3132" spans="1:11" ht="15" customHeight="1" x14ac:dyDescent="0.2">
      <c r="A3132" s="120" t="s">
        <v>8013</v>
      </c>
      <c r="B3132" s="120" t="s">
        <v>3532</v>
      </c>
      <c r="C3132" s="98" t="s">
        <v>3533</v>
      </c>
      <c r="D3132" s="120" t="s">
        <v>3534</v>
      </c>
      <c r="E3132" s="98">
        <v>0</v>
      </c>
      <c r="F3132" s="120">
        <v>0</v>
      </c>
      <c r="G3132" s="121">
        <v>767</v>
      </c>
      <c r="H3132" s="123">
        <v>0</v>
      </c>
      <c r="I3132" s="122">
        <v>0</v>
      </c>
      <c r="J3132" s="124">
        <f t="shared" si="48"/>
        <v>0</v>
      </c>
    </row>
    <row r="3133" spans="1:11" ht="15" customHeight="1" x14ac:dyDescent="0.2">
      <c r="A3133" s="120" t="s">
        <v>8014</v>
      </c>
      <c r="B3133" s="120" t="s">
        <v>3532</v>
      </c>
      <c r="C3133" s="98" t="s">
        <v>3533</v>
      </c>
      <c r="D3133" s="120" t="s">
        <v>3534</v>
      </c>
      <c r="E3133" s="98">
        <v>0.52</v>
      </c>
      <c r="F3133" s="120">
        <v>0</v>
      </c>
      <c r="G3133" s="121">
        <v>25511</v>
      </c>
      <c r="H3133" s="123">
        <v>0.52</v>
      </c>
      <c r="I3133" s="122">
        <v>13265.720000000001</v>
      </c>
      <c r="J3133" s="124">
        <f t="shared" si="48"/>
        <v>0.52</v>
      </c>
    </row>
    <row r="3134" spans="1:11" ht="15" customHeight="1" x14ac:dyDescent="0.2">
      <c r="A3134" s="120" t="s">
        <v>8015</v>
      </c>
      <c r="B3134" s="120" t="s">
        <v>3532</v>
      </c>
      <c r="C3134" s="98" t="s">
        <v>3533</v>
      </c>
      <c r="D3134" s="120" t="s">
        <v>3534</v>
      </c>
      <c r="E3134" s="98">
        <v>1.1650504854368902</v>
      </c>
      <c r="F3134" s="120">
        <v>0</v>
      </c>
      <c r="G3134" s="121">
        <v>5150</v>
      </c>
      <c r="H3134" s="123">
        <v>1.1650499999999999</v>
      </c>
      <c r="I3134" s="122">
        <v>6000.0074999999997</v>
      </c>
      <c r="J3134" s="124">
        <f t="shared" si="48"/>
        <v>1.1650504854368902</v>
      </c>
    </row>
    <row r="3135" spans="1:11" ht="15" customHeight="1" x14ac:dyDescent="0.2">
      <c r="A3135" s="120" t="s">
        <v>8016</v>
      </c>
      <c r="B3135" s="120" t="s">
        <v>3532</v>
      </c>
      <c r="C3135" s="98" t="s">
        <v>3533</v>
      </c>
      <c r="D3135" s="120" t="s">
        <v>3534</v>
      </c>
      <c r="E3135" s="98">
        <v>0.53</v>
      </c>
      <c r="F3135" s="120">
        <v>0</v>
      </c>
      <c r="G3135" s="121">
        <v>799</v>
      </c>
      <c r="H3135" s="123">
        <v>0.53</v>
      </c>
      <c r="I3135" s="122">
        <v>423.47</v>
      </c>
      <c r="J3135" s="124">
        <f t="shared" si="48"/>
        <v>0.53</v>
      </c>
    </row>
    <row r="3136" spans="1:11" ht="15" customHeight="1" x14ac:dyDescent="0.2">
      <c r="A3136" s="120" t="s">
        <v>8017</v>
      </c>
      <c r="B3136" s="120" t="s">
        <v>3532</v>
      </c>
      <c r="C3136" s="98" t="s">
        <v>3533</v>
      </c>
      <c r="D3136" s="120" t="s">
        <v>3534</v>
      </c>
      <c r="E3136" s="98">
        <v>0.12</v>
      </c>
      <c r="F3136" s="120">
        <v>0</v>
      </c>
      <c r="G3136" s="121">
        <v>5851</v>
      </c>
      <c r="H3136" s="123">
        <v>0.12</v>
      </c>
      <c r="I3136" s="122">
        <v>702.12</v>
      </c>
      <c r="J3136" s="124">
        <f t="shared" si="48"/>
        <v>0.12</v>
      </c>
    </row>
    <row r="3137" spans="1:10" ht="15" customHeight="1" x14ac:dyDescent="0.2">
      <c r="A3137" s="120" t="s">
        <v>8018</v>
      </c>
      <c r="B3137" s="120" t="s">
        <v>3532</v>
      </c>
      <c r="C3137" s="98" t="s">
        <v>3533</v>
      </c>
      <c r="D3137" s="120" t="s">
        <v>3534</v>
      </c>
      <c r="E3137" s="98">
        <v>0</v>
      </c>
      <c r="F3137" s="120">
        <v>0</v>
      </c>
      <c r="G3137" s="121">
        <v>0</v>
      </c>
      <c r="H3137" s="123">
        <v>0</v>
      </c>
      <c r="I3137" s="122">
        <v>0</v>
      </c>
      <c r="J3137" s="124">
        <f t="shared" si="48"/>
        <v>0</v>
      </c>
    </row>
    <row r="3138" spans="1:10" ht="15" customHeight="1" x14ac:dyDescent="0.2">
      <c r="A3138" s="120" t="s">
        <v>8019</v>
      </c>
      <c r="B3138" s="120" t="s">
        <v>3532</v>
      </c>
      <c r="C3138" s="98" t="s">
        <v>3533</v>
      </c>
      <c r="D3138" s="120" t="s">
        <v>3534</v>
      </c>
      <c r="E3138" s="98">
        <v>0.11377090909090899</v>
      </c>
      <c r="F3138" s="120">
        <v>0</v>
      </c>
      <c r="G3138" s="121">
        <v>659</v>
      </c>
      <c r="H3138" s="123">
        <v>0.113771</v>
      </c>
      <c r="I3138" s="122">
        <v>74.975088999999997</v>
      </c>
      <c r="J3138" s="124">
        <f t="shared" ref="J3138:J3201" si="49">IF(D3138="gm", E3138*1000,+E3138)</f>
        <v>0.11377090909090899</v>
      </c>
    </row>
    <row r="3139" spans="1:10" ht="15" customHeight="1" x14ac:dyDescent="0.2">
      <c r="A3139" s="120" t="s">
        <v>8020</v>
      </c>
      <c r="B3139" s="120" t="s">
        <v>3532</v>
      </c>
      <c r="C3139" s="98" t="s">
        <v>3533</v>
      </c>
      <c r="D3139" s="120" t="s">
        <v>3534</v>
      </c>
      <c r="E3139" s="98">
        <v>0.78969259259259306</v>
      </c>
      <c r="F3139" s="120">
        <v>0</v>
      </c>
      <c r="G3139" s="121">
        <v>524</v>
      </c>
      <c r="H3139" s="123">
        <v>0.78969299999999998</v>
      </c>
      <c r="I3139" s="122">
        <v>413.79913199999999</v>
      </c>
      <c r="J3139" s="124">
        <f t="shared" si="49"/>
        <v>0.78969259259259306</v>
      </c>
    </row>
    <row r="3140" spans="1:10" ht="15" customHeight="1" x14ac:dyDescent="0.2">
      <c r="A3140" s="120" t="s">
        <v>8021</v>
      </c>
      <c r="B3140" s="120" t="s">
        <v>3532</v>
      </c>
      <c r="C3140" s="98" t="s">
        <v>3532</v>
      </c>
      <c r="D3140" s="120" t="s">
        <v>3534</v>
      </c>
      <c r="E3140" s="98">
        <v>0</v>
      </c>
      <c r="F3140" s="120">
        <v>0</v>
      </c>
      <c r="G3140" s="121">
        <v>0</v>
      </c>
      <c r="H3140" s="123">
        <v>0</v>
      </c>
      <c r="I3140" s="122">
        <v>0</v>
      </c>
      <c r="J3140" s="124">
        <f t="shared" si="49"/>
        <v>0</v>
      </c>
    </row>
    <row r="3141" spans="1:10" ht="15" customHeight="1" x14ac:dyDescent="0.2">
      <c r="A3141" s="120" t="s">
        <v>8022</v>
      </c>
      <c r="B3141" s="120" t="s">
        <v>8023</v>
      </c>
      <c r="C3141" s="98" t="s">
        <v>3532</v>
      </c>
      <c r="D3141" s="120" t="s">
        <v>3534</v>
      </c>
      <c r="E3141" s="98">
        <v>0</v>
      </c>
      <c r="F3141" s="120">
        <v>0</v>
      </c>
      <c r="G3141" s="121">
        <v>0</v>
      </c>
      <c r="H3141" s="123">
        <v>0</v>
      </c>
      <c r="I3141" s="122">
        <v>0</v>
      </c>
      <c r="J3141" s="124">
        <f t="shared" si="49"/>
        <v>0</v>
      </c>
    </row>
    <row r="3142" spans="1:10" ht="15" customHeight="1" x14ac:dyDescent="0.2">
      <c r="A3142" s="120" t="s">
        <v>8024</v>
      </c>
      <c r="B3142" s="120" t="s">
        <v>3532</v>
      </c>
      <c r="C3142" s="98" t="s">
        <v>3532</v>
      </c>
      <c r="D3142" s="120" t="s">
        <v>3534</v>
      </c>
      <c r="E3142" s="98">
        <v>0</v>
      </c>
      <c r="F3142" s="120">
        <v>0</v>
      </c>
      <c r="G3142" s="121">
        <v>0</v>
      </c>
      <c r="H3142" s="123">
        <v>0</v>
      </c>
      <c r="I3142" s="122">
        <v>0</v>
      </c>
      <c r="J3142" s="124">
        <f t="shared" si="49"/>
        <v>0</v>
      </c>
    </row>
    <row r="3143" spans="1:10" ht="15" customHeight="1" x14ac:dyDescent="0.2">
      <c r="A3143" s="120" t="s">
        <v>8025</v>
      </c>
      <c r="B3143" s="120" t="s">
        <v>3532</v>
      </c>
      <c r="C3143" s="98" t="s">
        <v>3532</v>
      </c>
      <c r="D3143" s="120" t="s">
        <v>3534</v>
      </c>
      <c r="E3143" s="98">
        <v>0</v>
      </c>
      <c r="F3143" s="120">
        <v>0</v>
      </c>
      <c r="G3143" s="121">
        <v>0</v>
      </c>
      <c r="H3143" s="123">
        <v>0</v>
      </c>
      <c r="I3143" s="122">
        <v>0</v>
      </c>
      <c r="J3143" s="124">
        <f t="shared" si="49"/>
        <v>0</v>
      </c>
    </row>
    <row r="3144" spans="1:10" ht="15" customHeight="1" x14ac:dyDescent="0.2">
      <c r="A3144" s="120" t="s">
        <v>8026</v>
      </c>
      <c r="B3144" s="120" t="s">
        <v>8023</v>
      </c>
      <c r="C3144" s="98" t="s">
        <v>3532</v>
      </c>
      <c r="D3144" s="120" t="s">
        <v>3563</v>
      </c>
      <c r="E3144" s="98">
        <v>0</v>
      </c>
      <c r="F3144" s="120">
        <v>0</v>
      </c>
      <c r="G3144" s="121">
        <v>0</v>
      </c>
      <c r="H3144" s="123">
        <v>0</v>
      </c>
      <c r="I3144" s="122">
        <v>0</v>
      </c>
      <c r="J3144" s="124">
        <f t="shared" si="49"/>
        <v>0</v>
      </c>
    </row>
    <row r="3145" spans="1:10" ht="15" customHeight="1" x14ac:dyDescent="0.2">
      <c r="A3145" s="120" t="s">
        <v>8027</v>
      </c>
      <c r="B3145" s="120" t="s">
        <v>3532</v>
      </c>
      <c r="C3145" s="98" t="s">
        <v>3532</v>
      </c>
      <c r="D3145" s="120" t="s">
        <v>3563</v>
      </c>
      <c r="E3145" s="98">
        <v>0</v>
      </c>
      <c r="F3145" s="120">
        <v>0</v>
      </c>
      <c r="G3145" s="121">
        <v>0</v>
      </c>
      <c r="H3145" s="123">
        <v>0</v>
      </c>
      <c r="I3145" s="122">
        <v>0</v>
      </c>
      <c r="J3145" s="124">
        <f t="shared" si="49"/>
        <v>0</v>
      </c>
    </row>
    <row r="3146" spans="1:10" ht="15" customHeight="1" x14ac:dyDescent="0.2">
      <c r="A3146" s="120" t="s">
        <v>8028</v>
      </c>
      <c r="B3146" s="120" t="s">
        <v>8023</v>
      </c>
      <c r="C3146" s="98" t="s">
        <v>3532</v>
      </c>
      <c r="D3146" s="120" t="s">
        <v>3563</v>
      </c>
      <c r="E3146" s="98">
        <v>0</v>
      </c>
      <c r="F3146" s="120">
        <v>0</v>
      </c>
      <c r="G3146" s="121">
        <v>0</v>
      </c>
      <c r="H3146" s="123">
        <v>0</v>
      </c>
      <c r="I3146" s="122">
        <v>0</v>
      </c>
      <c r="J3146" s="124">
        <f t="shared" si="49"/>
        <v>0</v>
      </c>
    </row>
    <row r="3147" spans="1:10" ht="15" customHeight="1" x14ac:dyDescent="0.2">
      <c r="A3147" s="120" t="s">
        <v>8029</v>
      </c>
      <c r="B3147" s="120" t="s">
        <v>8023</v>
      </c>
      <c r="C3147" s="98" t="s">
        <v>3532</v>
      </c>
      <c r="D3147" s="120" t="s">
        <v>3563</v>
      </c>
      <c r="E3147" s="98">
        <v>0</v>
      </c>
      <c r="F3147" s="120">
        <v>0</v>
      </c>
      <c r="G3147" s="121">
        <v>0</v>
      </c>
      <c r="H3147" s="123">
        <v>0</v>
      </c>
      <c r="I3147" s="122">
        <v>0</v>
      </c>
      <c r="J3147" s="124">
        <f t="shared" si="49"/>
        <v>0</v>
      </c>
    </row>
    <row r="3148" spans="1:10" ht="15" customHeight="1" x14ac:dyDescent="0.2">
      <c r="A3148" s="120" t="s">
        <v>8030</v>
      </c>
      <c r="B3148" s="120" t="s">
        <v>3532</v>
      </c>
      <c r="C3148" s="98" t="s">
        <v>3533</v>
      </c>
      <c r="D3148" s="120" t="s">
        <v>3534</v>
      </c>
      <c r="E3148" s="98">
        <v>0</v>
      </c>
      <c r="F3148" s="120">
        <v>0</v>
      </c>
      <c r="G3148" s="121">
        <v>376</v>
      </c>
      <c r="H3148" s="123">
        <v>0</v>
      </c>
      <c r="I3148" s="122">
        <v>0</v>
      </c>
      <c r="J3148" s="124">
        <f t="shared" si="49"/>
        <v>0</v>
      </c>
    </row>
    <row r="3149" spans="1:10" ht="15" customHeight="1" x14ac:dyDescent="0.2">
      <c r="A3149" s="120" t="s">
        <v>8031</v>
      </c>
      <c r="B3149" s="120" t="s">
        <v>3532</v>
      </c>
      <c r="C3149" s="98" t="s">
        <v>3533</v>
      </c>
      <c r="D3149" s="120" t="s">
        <v>3534</v>
      </c>
      <c r="E3149" s="98">
        <v>0</v>
      </c>
      <c r="F3149" s="120">
        <v>0</v>
      </c>
      <c r="G3149" s="121">
        <v>1991</v>
      </c>
      <c r="H3149" s="123">
        <v>0</v>
      </c>
      <c r="I3149" s="122">
        <v>0</v>
      </c>
      <c r="J3149" s="124">
        <f t="shared" si="49"/>
        <v>0</v>
      </c>
    </row>
    <row r="3150" spans="1:10" ht="15" customHeight="1" x14ac:dyDescent="0.2">
      <c r="A3150" s="120" t="s">
        <v>8032</v>
      </c>
      <c r="B3150" s="120" t="s">
        <v>3532</v>
      </c>
      <c r="C3150" s="98" t="s">
        <v>3533</v>
      </c>
      <c r="D3150" s="120" t="s">
        <v>3534</v>
      </c>
      <c r="E3150" s="98">
        <v>0</v>
      </c>
      <c r="F3150" s="120">
        <v>0</v>
      </c>
      <c r="G3150" s="121">
        <v>0</v>
      </c>
      <c r="H3150" s="123">
        <v>0</v>
      </c>
      <c r="I3150" s="122">
        <v>0</v>
      </c>
      <c r="J3150" s="124">
        <f t="shared" si="49"/>
        <v>0</v>
      </c>
    </row>
    <row r="3151" spans="1:10" ht="15" customHeight="1" x14ac:dyDescent="0.2">
      <c r="A3151" s="120" t="s">
        <v>8033</v>
      </c>
      <c r="B3151" s="120" t="s">
        <v>4584</v>
      </c>
      <c r="C3151" s="98" t="s">
        <v>3533</v>
      </c>
      <c r="D3151" s="120" t="s">
        <v>3534</v>
      </c>
      <c r="E3151" s="98">
        <v>0</v>
      </c>
      <c r="F3151" s="120">
        <v>0</v>
      </c>
      <c r="G3151" s="121">
        <v>27</v>
      </c>
      <c r="H3151" s="123">
        <v>0</v>
      </c>
      <c r="I3151" s="122">
        <v>0</v>
      </c>
      <c r="J3151" s="124">
        <f t="shared" si="49"/>
        <v>0</v>
      </c>
    </row>
    <row r="3152" spans="1:10" ht="15" customHeight="1" x14ac:dyDescent="0.2">
      <c r="A3152" s="120" t="s">
        <v>8034</v>
      </c>
      <c r="B3152" s="120" t="s">
        <v>3532</v>
      </c>
      <c r="C3152" s="98" t="s">
        <v>3533</v>
      </c>
      <c r="D3152" s="120" t="s">
        <v>3534</v>
      </c>
      <c r="E3152" s="98">
        <v>0</v>
      </c>
      <c r="F3152" s="120">
        <v>0</v>
      </c>
      <c r="G3152" s="121">
        <v>0</v>
      </c>
      <c r="H3152" s="123">
        <v>0</v>
      </c>
      <c r="I3152" s="122">
        <v>0</v>
      </c>
      <c r="J3152" s="124">
        <f t="shared" si="49"/>
        <v>0</v>
      </c>
    </row>
    <row r="3153" spans="1:10" ht="15" customHeight="1" x14ac:dyDescent="0.2">
      <c r="A3153" s="120" t="s">
        <v>8035</v>
      </c>
      <c r="B3153" s="120" t="s">
        <v>3532</v>
      </c>
      <c r="C3153" s="98" t="s">
        <v>3533</v>
      </c>
      <c r="D3153" s="120" t="s">
        <v>3534</v>
      </c>
      <c r="E3153" s="98">
        <v>0</v>
      </c>
      <c r="F3153" s="120">
        <v>0</v>
      </c>
      <c r="G3153" s="121">
        <v>0</v>
      </c>
      <c r="H3153" s="123">
        <v>0</v>
      </c>
      <c r="I3153" s="122">
        <v>0</v>
      </c>
      <c r="J3153" s="124">
        <f t="shared" si="49"/>
        <v>0</v>
      </c>
    </row>
    <row r="3154" spans="1:10" ht="15" customHeight="1" x14ac:dyDescent="0.2">
      <c r="A3154" s="120" t="s">
        <v>8036</v>
      </c>
      <c r="B3154" s="120" t="s">
        <v>3532</v>
      </c>
      <c r="C3154" s="98" t="s">
        <v>3533</v>
      </c>
      <c r="D3154" s="120" t="s">
        <v>3534</v>
      </c>
      <c r="E3154" s="98">
        <v>0</v>
      </c>
      <c r="F3154" s="120">
        <v>0</v>
      </c>
      <c r="G3154" s="121">
        <v>0</v>
      </c>
      <c r="H3154" s="123">
        <v>0</v>
      </c>
      <c r="I3154" s="122">
        <v>0</v>
      </c>
      <c r="J3154" s="124">
        <f t="shared" si="49"/>
        <v>0</v>
      </c>
    </row>
    <row r="3155" spans="1:10" ht="15" customHeight="1" x14ac:dyDescent="0.2">
      <c r="A3155" s="120" t="s">
        <v>8037</v>
      </c>
      <c r="B3155" s="120" t="s">
        <v>3532</v>
      </c>
      <c r="C3155" s="98" t="s">
        <v>3533</v>
      </c>
      <c r="D3155" s="120" t="s">
        <v>3534</v>
      </c>
      <c r="E3155" s="98">
        <v>0</v>
      </c>
      <c r="F3155" s="120">
        <v>0</v>
      </c>
      <c r="G3155" s="121">
        <v>0</v>
      </c>
      <c r="H3155" s="123">
        <v>0</v>
      </c>
      <c r="I3155" s="122">
        <v>0</v>
      </c>
      <c r="J3155" s="124">
        <f t="shared" si="49"/>
        <v>0</v>
      </c>
    </row>
    <row r="3156" spans="1:10" ht="15" customHeight="1" x14ac:dyDescent="0.2">
      <c r="A3156" s="120" t="s">
        <v>8038</v>
      </c>
      <c r="B3156" s="120" t="s">
        <v>3532</v>
      </c>
      <c r="C3156" s="98" t="s">
        <v>3533</v>
      </c>
      <c r="D3156" s="120" t="s">
        <v>3534</v>
      </c>
      <c r="E3156" s="98">
        <v>0</v>
      </c>
      <c r="F3156" s="120">
        <v>0</v>
      </c>
      <c r="G3156" s="121">
        <v>0</v>
      </c>
      <c r="H3156" s="123">
        <v>0</v>
      </c>
      <c r="I3156" s="122">
        <v>0</v>
      </c>
      <c r="J3156" s="124">
        <f t="shared" si="49"/>
        <v>0</v>
      </c>
    </row>
    <row r="3157" spans="1:10" ht="15" customHeight="1" x14ac:dyDescent="0.2">
      <c r="A3157" s="120" t="s">
        <v>8039</v>
      </c>
      <c r="B3157" s="120" t="s">
        <v>3532</v>
      </c>
      <c r="C3157" s="98" t="s">
        <v>3533</v>
      </c>
      <c r="D3157" s="120" t="s">
        <v>3534</v>
      </c>
      <c r="E3157" s="98">
        <v>0</v>
      </c>
      <c r="F3157" s="120">
        <v>0</v>
      </c>
      <c r="G3157" s="121">
        <v>0</v>
      </c>
      <c r="H3157" s="123">
        <v>0</v>
      </c>
      <c r="I3157" s="122">
        <v>0</v>
      </c>
      <c r="J3157" s="124">
        <f t="shared" si="49"/>
        <v>0</v>
      </c>
    </row>
    <row r="3158" spans="1:10" ht="15" customHeight="1" x14ac:dyDescent="0.2">
      <c r="A3158" s="120" t="s">
        <v>8040</v>
      </c>
      <c r="B3158" s="120" t="s">
        <v>3532</v>
      </c>
      <c r="C3158" s="98" t="s">
        <v>3533</v>
      </c>
      <c r="D3158" s="120" t="s">
        <v>3534</v>
      </c>
      <c r="E3158" s="98">
        <v>0</v>
      </c>
      <c r="F3158" s="120">
        <v>0</v>
      </c>
      <c r="G3158" s="121">
        <v>0</v>
      </c>
      <c r="H3158" s="123">
        <v>0</v>
      </c>
      <c r="I3158" s="122">
        <v>0</v>
      </c>
      <c r="J3158" s="124">
        <f t="shared" si="49"/>
        <v>0</v>
      </c>
    </row>
    <row r="3159" spans="1:10" ht="15" customHeight="1" x14ac:dyDescent="0.2">
      <c r="A3159" s="120" t="s">
        <v>8041</v>
      </c>
      <c r="B3159" s="120" t="s">
        <v>3532</v>
      </c>
      <c r="C3159" s="98" t="s">
        <v>3533</v>
      </c>
      <c r="D3159" s="120" t="s">
        <v>3534</v>
      </c>
      <c r="E3159" s="98">
        <v>0</v>
      </c>
      <c r="F3159" s="120">
        <v>0</v>
      </c>
      <c r="G3159" s="121">
        <v>0</v>
      </c>
      <c r="H3159" s="123">
        <v>0</v>
      </c>
      <c r="I3159" s="122">
        <v>0</v>
      </c>
      <c r="J3159" s="124">
        <f t="shared" si="49"/>
        <v>0</v>
      </c>
    </row>
    <row r="3160" spans="1:10" ht="15" customHeight="1" x14ac:dyDescent="0.2">
      <c r="A3160" s="120" t="s">
        <v>8042</v>
      </c>
      <c r="B3160" s="120" t="s">
        <v>3532</v>
      </c>
      <c r="C3160" s="98" t="s">
        <v>3533</v>
      </c>
      <c r="D3160" s="120" t="s">
        <v>3534</v>
      </c>
      <c r="E3160" s="98">
        <v>0</v>
      </c>
      <c r="F3160" s="120">
        <v>0</v>
      </c>
      <c r="G3160" s="121">
        <v>0</v>
      </c>
      <c r="H3160" s="123">
        <v>0</v>
      </c>
      <c r="I3160" s="122">
        <v>0</v>
      </c>
      <c r="J3160" s="124">
        <f t="shared" si="49"/>
        <v>0</v>
      </c>
    </row>
    <row r="3161" spans="1:10" ht="15" customHeight="1" x14ac:dyDescent="0.2">
      <c r="A3161" s="120" t="s">
        <v>8043</v>
      </c>
      <c r="B3161" s="120" t="s">
        <v>3532</v>
      </c>
      <c r="C3161" s="98" t="s">
        <v>3533</v>
      </c>
      <c r="D3161" s="120" t="s">
        <v>3534</v>
      </c>
      <c r="E3161" s="98">
        <v>0</v>
      </c>
      <c r="F3161" s="120">
        <v>0</v>
      </c>
      <c r="G3161" s="121">
        <v>0</v>
      </c>
      <c r="H3161" s="123">
        <v>0</v>
      </c>
      <c r="I3161" s="122">
        <v>0</v>
      </c>
      <c r="J3161" s="124">
        <f t="shared" si="49"/>
        <v>0</v>
      </c>
    </row>
    <row r="3162" spans="1:10" ht="15" customHeight="1" x14ac:dyDescent="0.2">
      <c r="A3162" s="120" t="s">
        <v>8044</v>
      </c>
      <c r="B3162" s="120" t="s">
        <v>3532</v>
      </c>
      <c r="C3162" s="98" t="s">
        <v>3533</v>
      </c>
      <c r="D3162" s="120" t="s">
        <v>3534</v>
      </c>
      <c r="E3162" s="98">
        <v>0</v>
      </c>
      <c r="F3162" s="120">
        <v>0</v>
      </c>
      <c r="G3162" s="121">
        <v>440</v>
      </c>
      <c r="H3162" s="123">
        <v>0</v>
      </c>
      <c r="I3162" s="122">
        <v>0</v>
      </c>
      <c r="J3162" s="124">
        <f t="shared" si="49"/>
        <v>0</v>
      </c>
    </row>
    <row r="3163" spans="1:10" ht="15" customHeight="1" x14ac:dyDescent="0.2">
      <c r="A3163" s="120" t="s">
        <v>8045</v>
      </c>
      <c r="B3163" s="120" t="s">
        <v>3532</v>
      </c>
      <c r="C3163" s="98" t="s">
        <v>3532</v>
      </c>
      <c r="D3163" s="120" t="s">
        <v>3534</v>
      </c>
      <c r="E3163" s="98">
        <v>0</v>
      </c>
      <c r="F3163" s="120">
        <v>0</v>
      </c>
      <c r="G3163" s="121">
        <v>0</v>
      </c>
      <c r="H3163" s="123">
        <v>0</v>
      </c>
      <c r="I3163" s="122">
        <v>0</v>
      </c>
      <c r="J3163" s="124">
        <f t="shared" si="49"/>
        <v>0</v>
      </c>
    </row>
    <row r="3164" spans="1:10" ht="15" customHeight="1" x14ac:dyDescent="0.2">
      <c r="A3164" s="120" t="s">
        <v>8046</v>
      </c>
      <c r="B3164" s="120" t="s">
        <v>8047</v>
      </c>
      <c r="C3164" s="98" t="s">
        <v>3533</v>
      </c>
      <c r="D3164" s="120" t="s">
        <v>3534</v>
      </c>
      <c r="E3164" s="98">
        <v>0</v>
      </c>
      <c r="F3164" s="120">
        <v>0</v>
      </c>
      <c r="G3164" s="121">
        <v>275</v>
      </c>
      <c r="H3164" s="123">
        <v>0</v>
      </c>
      <c r="I3164" s="122">
        <v>0</v>
      </c>
      <c r="J3164" s="124">
        <f t="shared" si="49"/>
        <v>0</v>
      </c>
    </row>
    <row r="3165" spans="1:10" ht="15" customHeight="1" x14ac:dyDescent="0.2">
      <c r="A3165" s="120" t="s">
        <v>8048</v>
      </c>
      <c r="B3165" s="120" t="s">
        <v>3532</v>
      </c>
      <c r="C3165" s="98" t="s">
        <v>3533</v>
      </c>
      <c r="D3165" s="120" t="s">
        <v>3534</v>
      </c>
      <c r="E3165" s="98">
        <v>0</v>
      </c>
      <c r="F3165" s="120">
        <v>0</v>
      </c>
      <c r="G3165" s="121">
        <v>0</v>
      </c>
      <c r="H3165" s="123">
        <v>0</v>
      </c>
      <c r="I3165" s="122">
        <v>0</v>
      </c>
      <c r="J3165" s="124">
        <f t="shared" si="49"/>
        <v>0</v>
      </c>
    </row>
    <row r="3166" spans="1:10" ht="15" customHeight="1" x14ac:dyDescent="0.2">
      <c r="A3166" s="120" t="s">
        <v>8049</v>
      </c>
      <c r="B3166" s="120" t="s">
        <v>3532</v>
      </c>
      <c r="C3166" s="98" t="s">
        <v>3533</v>
      </c>
      <c r="D3166" s="120" t="s">
        <v>3534</v>
      </c>
      <c r="E3166" s="98">
        <v>0</v>
      </c>
      <c r="F3166" s="120">
        <v>0</v>
      </c>
      <c r="G3166" s="121">
        <v>0</v>
      </c>
      <c r="H3166" s="123">
        <v>0</v>
      </c>
      <c r="I3166" s="122">
        <v>0</v>
      </c>
      <c r="J3166" s="124">
        <f t="shared" si="49"/>
        <v>0</v>
      </c>
    </row>
    <row r="3167" spans="1:10" ht="15" customHeight="1" x14ac:dyDescent="0.2">
      <c r="A3167" s="120" t="s">
        <v>8050</v>
      </c>
      <c r="B3167" s="120" t="s">
        <v>3532</v>
      </c>
      <c r="C3167" s="98" t="s">
        <v>3533</v>
      </c>
      <c r="D3167" s="120" t="s">
        <v>3534</v>
      </c>
      <c r="E3167" s="98">
        <v>0</v>
      </c>
      <c r="F3167" s="120">
        <v>0</v>
      </c>
      <c r="G3167" s="121">
        <v>0</v>
      </c>
      <c r="H3167" s="123">
        <v>0</v>
      </c>
      <c r="I3167" s="122">
        <v>0</v>
      </c>
      <c r="J3167" s="124">
        <f t="shared" si="49"/>
        <v>0</v>
      </c>
    </row>
    <row r="3168" spans="1:10" ht="15" customHeight="1" x14ac:dyDescent="0.2">
      <c r="A3168" s="120" t="s">
        <v>8051</v>
      </c>
      <c r="B3168" s="120" t="s">
        <v>3532</v>
      </c>
      <c r="C3168" s="98" t="s">
        <v>3532</v>
      </c>
      <c r="D3168" s="120" t="s">
        <v>3534</v>
      </c>
      <c r="E3168" s="98">
        <v>0</v>
      </c>
      <c r="F3168" s="120">
        <v>0</v>
      </c>
      <c r="G3168" s="121">
        <v>0</v>
      </c>
      <c r="H3168" s="123">
        <v>0</v>
      </c>
      <c r="I3168" s="122">
        <v>0</v>
      </c>
      <c r="J3168" s="124">
        <f t="shared" si="49"/>
        <v>0</v>
      </c>
    </row>
    <row r="3169" spans="1:10" ht="15" customHeight="1" x14ac:dyDescent="0.2">
      <c r="A3169" s="120" t="s">
        <v>8052</v>
      </c>
      <c r="B3169" s="120" t="s">
        <v>3532</v>
      </c>
      <c r="C3169" s="98" t="s">
        <v>3532</v>
      </c>
      <c r="D3169" s="120" t="s">
        <v>3534</v>
      </c>
      <c r="E3169" s="98">
        <v>0</v>
      </c>
      <c r="F3169" s="120">
        <v>0</v>
      </c>
      <c r="G3169" s="121">
        <v>0</v>
      </c>
      <c r="H3169" s="123">
        <v>0</v>
      </c>
      <c r="I3169" s="122">
        <v>0</v>
      </c>
      <c r="J3169" s="124">
        <f t="shared" si="49"/>
        <v>0</v>
      </c>
    </row>
    <row r="3170" spans="1:10" ht="15" customHeight="1" x14ac:dyDescent="0.2">
      <c r="A3170" s="120" t="s">
        <v>8053</v>
      </c>
      <c r="B3170" s="120" t="s">
        <v>3532</v>
      </c>
      <c r="C3170" s="98" t="s">
        <v>3532</v>
      </c>
      <c r="D3170" s="120" t="s">
        <v>3534</v>
      </c>
      <c r="E3170" s="98">
        <v>0</v>
      </c>
      <c r="F3170" s="120">
        <v>0</v>
      </c>
      <c r="G3170" s="121">
        <v>0</v>
      </c>
      <c r="H3170" s="123">
        <v>0</v>
      </c>
      <c r="I3170" s="122">
        <v>0</v>
      </c>
      <c r="J3170" s="124">
        <f t="shared" si="49"/>
        <v>0</v>
      </c>
    </row>
    <row r="3171" spans="1:10" ht="15" customHeight="1" x14ac:dyDescent="0.2">
      <c r="A3171" s="120" t="s">
        <v>8054</v>
      </c>
      <c r="B3171" s="120" t="s">
        <v>3532</v>
      </c>
      <c r="C3171" s="98" t="s">
        <v>3533</v>
      </c>
      <c r="D3171" s="120" t="s">
        <v>3534</v>
      </c>
      <c r="E3171" s="98">
        <v>0</v>
      </c>
      <c r="F3171" s="120">
        <v>0</v>
      </c>
      <c r="G3171" s="121">
        <v>0</v>
      </c>
      <c r="H3171" s="123">
        <v>0</v>
      </c>
      <c r="I3171" s="122">
        <v>0</v>
      </c>
      <c r="J3171" s="124">
        <f t="shared" si="49"/>
        <v>0</v>
      </c>
    </row>
    <row r="3172" spans="1:10" ht="15" customHeight="1" x14ac:dyDescent="0.2">
      <c r="A3172" s="120" t="s">
        <v>8055</v>
      </c>
      <c r="B3172" s="120" t="s">
        <v>3532</v>
      </c>
      <c r="C3172" s="98" t="s">
        <v>3533</v>
      </c>
      <c r="D3172" s="120" t="s">
        <v>3534</v>
      </c>
      <c r="E3172" s="98">
        <v>0</v>
      </c>
      <c r="F3172" s="120">
        <v>0</v>
      </c>
      <c r="G3172" s="121">
        <v>0</v>
      </c>
      <c r="H3172" s="123">
        <v>0</v>
      </c>
      <c r="I3172" s="122">
        <v>0</v>
      </c>
      <c r="J3172" s="124">
        <f t="shared" si="49"/>
        <v>0</v>
      </c>
    </row>
    <row r="3173" spans="1:10" ht="15" customHeight="1" x14ac:dyDescent="0.2">
      <c r="A3173" s="120" t="s">
        <v>8056</v>
      </c>
      <c r="B3173" s="120" t="s">
        <v>7575</v>
      </c>
      <c r="C3173" s="98" t="s">
        <v>3533</v>
      </c>
      <c r="D3173" s="120" t="s">
        <v>3534</v>
      </c>
      <c r="E3173" s="98">
        <v>0.1</v>
      </c>
      <c r="F3173" s="120">
        <v>0</v>
      </c>
      <c r="G3173" s="121">
        <v>0</v>
      </c>
      <c r="H3173" s="123">
        <v>0.1</v>
      </c>
      <c r="I3173" s="122">
        <v>0</v>
      </c>
      <c r="J3173" s="124">
        <f t="shared" si="49"/>
        <v>0.1</v>
      </c>
    </row>
    <row r="3174" spans="1:10" ht="15" customHeight="1" x14ac:dyDescent="0.2">
      <c r="A3174" s="120" t="s">
        <v>8057</v>
      </c>
      <c r="B3174" s="120" t="s">
        <v>7575</v>
      </c>
      <c r="C3174" s="98" t="s">
        <v>3533</v>
      </c>
      <c r="D3174" s="120" t="s">
        <v>3534</v>
      </c>
      <c r="E3174" s="98">
        <v>0.18099123461395</v>
      </c>
      <c r="F3174" s="120">
        <v>0</v>
      </c>
      <c r="G3174" s="121">
        <v>0</v>
      </c>
      <c r="H3174" s="123">
        <v>0.18099100000000001</v>
      </c>
      <c r="I3174" s="122">
        <v>0</v>
      </c>
      <c r="J3174" s="124">
        <f t="shared" si="49"/>
        <v>0.18099123461395</v>
      </c>
    </row>
    <row r="3175" spans="1:10" ht="15" customHeight="1" x14ac:dyDescent="0.2">
      <c r="A3175" s="120" t="s">
        <v>8058</v>
      </c>
      <c r="B3175" s="120" t="s">
        <v>7575</v>
      </c>
      <c r="C3175" s="98" t="s">
        <v>3533</v>
      </c>
      <c r="D3175" s="120" t="s">
        <v>3534</v>
      </c>
      <c r="E3175" s="98">
        <v>0.17792481607751698</v>
      </c>
      <c r="F3175" s="120">
        <v>0</v>
      </c>
      <c r="G3175" s="121">
        <v>0</v>
      </c>
      <c r="H3175" s="123">
        <v>0.177925</v>
      </c>
      <c r="I3175" s="122">
        <v>0</v>
      </c>
      <c r="J3175" s="124">
        <f t="shared" si="49"/>
        <v>0.17792481607751698</v>
      </c>
    </row>
    <row r="3176" spans="1:10" ht="15" customHeight="1" x14ac:dyDescent="0.2">
      <c r="A3176" s="120" t="s">
        <v>8059</v>
      </c>
      <c r="B3176" s="120" t="s">
        <v>7575</v>
      </c>
      <c r="C3176" s="98" t="s">
        <v>3533</v>
      </c>
      <c r="D3176" s="120" t="s">
        <v>3534</v>
      </c>
      <c r="E3176" s="98">
        <v>0.18279641631719398</v>
      </c>
      <c r="F3176" s="120">
        <v>0</v>
      </c>
      <c r="G3176" s="121">
        <v>0</v>
      </c>
      <c r="H3176" s="123">
        <v>0.18279599999999999</v>
      </c>
      <c r="I3176" s="122">
        <v>0</v>
      </c>
      <c r="J3176" s="124">
        <f t="shared" si="49"/>
        <v>0.18279641631719398</v>
      </c>
    </row>
    <row r="3177" spans="1:10" ht="15" customHeight="1" x14ac:dyDescent="0.2">
      <c r="A3177" s="120" t="s">
        <v>8060</v>
      </c>
      <c r="B3177" s="120" t="s">
        <v>7575</v>
      </c>
      <c r="C3177" s="98" t="s">
        <v>3533</v>
      </c>
      <c r="D3177" s="120" t="s">
        <v>3534</v>
      </c>
      <c r="E3177" s="98">
        <v>0.18205346179276499</v>
      </c>
      <c r="F3177" s="120">
        <v>0</v>
      </c>
      <c r="G3177" s="121">
        <v>0</v>
      </c>
      <c r="H3177" s="123">
        <v>0.18205299999999999</v>
      </c>
      <c r="I3177" s="122">
        <v>0</v>
      </c>
      <c r="J3177" s="124">
        <f t="shared" si="49"/>
        <v>0.18205346179276499</v>
      </c>
    </row>
    <row r="3178" spans="1:10" ht="15" customHeight="1" x14ac:dyDescent="0.2">
      <c r="A3178" s="120" t="s">
        <v>8061</v>
      </c>
      <c r="B3178" s="120" t="s">
        <v>7575</v>
      </c>
      <c r="C3178" s="98" t="s">
        <v>3533</v>
      </c>
      <c r="D3178" s="120" t="s">
        <v>3534</v>
      </c>
      <c r="E3178" s="98">
        <v>0.18091734575087298</v>
      </c>
      <c r="F3178" s="120">
        <v>0</v>
      </c>
      <c r="G3178" s="121">
        <v>0</v>
      </c>
      <c r="H3178" s="123">
        <v>0.18091699999999999</v>
      </c>
      <c r="I3178" s="122">
        <v>0</v>
      </c>
      <c r="J3178" s="124">
        <f t="shared" si="49"/>
        <v>0.18091734575087298</v>
      </c>
    </row>
    <row r="3179" spans="1:10" ht="15" customHeight="1" x14ac:dyDescent="0.2">
      <c r="A3179" s="120" t="s">
        <v>8062</v>
      </c>
      <c r="B3179" s="120" t="s">
        <v>7575</v>
      </c>
      <c r="C3179" s="98" t="s">
        <v>3533</v>
      </c>
      <c r="D3179" s="120" t="s">
        <v>3534</v>
      </c>
      <c r="E3179" s="98">
        <v>0.17915279741005902</v>
      </c>
      <c r="F3179" s="120">
        <v>0</v>
      </c>
      <c r="G3179" s="121">
        <v>0</v>
      </c>
      <c r="H3179" s="123">
        <v>0.17915300000000001</v>
      </c>
      <c r="I3179" s="122">
        <v>0</v>
      </c>
      <c r="J3179" s="124">
        <f t="shared" si="49"/>
        <v>0.17915279741005902</v>
      </c>
    </row>
    <row r="3180" spans="1:10" ht="15" customHeight="1" x14ac:dyDescent="0.2">
      <c r="A3180" s="120" t="s">
        <v>8063</v>
      </c>
      <c r="B3180" s="120" t="s">
        <v>7575</v>
      </c>
      <c r="C3180" s="98" t="s">
        <v>3533</v>
      </c>
      <c r="D3180" s="120" t="s">
        <v>3534</v>
      </c>
      <c r="E3180" s="98">
        <v>0.179069873371595</v>
      </c>
      <c r="F3180" s="120">
        <v>0</v>
      </c>
      <c r="G3180" s="121">
        <v>0</v>
      </c>
      <c r="H3180" s="123">
        <v>0.17907000000000001</v>
      </c>
      <c r="I3180" s="122">
        <v>0</v>
      </c>
      <c r="J3180" s="124">
        <f t="shared" si="49"/>
        <v>0.179069873371595</v>
      </c>
    </row>
    <row r="3181" spans="1:10" ht="15" customHeight="1" x14ac:dyDescent="0.2">
      <c r="A3181" s="120" t="s">
        <v>8064</v>
      </c>
      <c r="B3181" s="120" t="s">
        <v>3532</v>
      </c>
      <c r="C3181" s="98" t="s">
        <v>3533</v>
      </c>
      <c r="D3181" s="120" t="s">
        <v>3534</v>
      </c>
      <c r="E3181" s="98">
        <v>0</v>
      </c>
      <c r="F3181" s="120">
        <v>0</v>
      </c>
      <c r="G3181" s="121">
        <v>0</v>
      </c>
      <c r="H3181" s="123">
        <v>0</v>
      </c>
      <c r="I3181" s="122">
        <v>0</v>
      </c>
      <c r="J3181" s="124">
        <f t="shared" si="49"/>
        <v>0</v>
      </c>
    </row>
    <row r="3182" spans="1:10" ht="15" customHeight="1" x14ac:dyDescent="0.2">
      <c r="A3182" s="120" t="s">
        <v>8065</v>
      </c>
      <c r="B3182" s="120" t="s">
        <v>3532</v>
      </c>
      <c r="C3182" s="98" t="s">
        <v>3532</v>
      </c>
      <c r="D3182" s="120" t="s">
        <v>3534</v>
      </c>
      <c r="E3182" s="98">
        <v>0</v>
      </c>
      <c r="F3182" s="120">
        <v>0</v>
      </c>
      <c r="G3182" s="121">
        <v>0</v>
      </c>
      <c r="H3182" s="123">
        <v>0</v>
      </c>
      <c r="I3182" s="122">
        <v>0</v>
      </c>
      <c r="J3182" s="124">
        <f t="shared" si="49"/>
        <v>0</v>
      </c>
    </row>
    <row r="3183" spans="1:10" ht="15" customHeight="1" x14ac:dyDescent="0.2">
      <c r="A3183" s="120" t="s">
        <v>8066</v>
      </c>
      <c r="B3183" s="120" t="s">
        <v>7575</v>
      </c>
      <c r="C3183" s="98" t="s">
        <v>3533</v>
      </c>
      <c r="D3183" s="120" t="s">
        <v>3534</v>
      </c>
      <c r="E3183" s="98">
        <v>0.1</v>
      </c>
      <c r="F3183" s="120">
        <v>0</v>
      </c>
      <c r="G3183" s="121">
        <v>0</v>
      </c>
      <c r="H3183" s="123">
        <v>0.1</v>
      </c>
      <c r="I3183" s="122">
        <v>0</v>
      </c>
      <c r="J3183" s="124">
        <f t="shared" si="49"/>
        <v>0.1</v>
      </c>
    </row>
    <row r="3184" spans="1:10" ht="15" customHeight="1" x14ac:dyDescent="0.2">
      <c r="A3184" s="120" t="s">
        <v>8067</v>
      </c>
      <c r="B3184" s="120" t="s">
        <v>3532</v>
      </c>
      <c r="C3184" s="98" t="s">
        <v>3540</v>
      </c>
      <c r="D3184" s="120" t="s">
        <v>3534</v>
      </c>
      <c r="E3184" s="98">
        <v>0</v>
      </c>
      <c r="F3184" s="120">
        <v>0</v>
      </c>
      <c r="G3184" s="121">
        <v>0</v>
      </c>
      <c r="H3184" s="123">
        <v>0</v>
      </c>
      <c r="I3184" s="122">
        <v>0</v>
      </c>
      <c r="J3184" s="124">
        <f t="shared" si="49"/>
        <v>0</v>
      </c>
    </row>
    <row r="3185" spans="1:11" ht="15" customHeight="1" x14ac:dyDescent="0.2">
      <c r="A3185" s="120" t="s">
        <v>8068</v>
      </c>
      <c r="B3185" s="120" t="s">
        <v>3532</v>
      </c>
      <c r="C3185" s="98" t="s">
        <v>3533</v>
      </c>
      <c r="D3185" s="120" t="s">
        <v>3534</v>
      </c>
      <c r="E3185" s="98">
        <v>0</v>
      </c>
      <c r="F3185" s="120">
        <v>0</v>
      </c>
      <c r="G3185" s="121">
        <v>0</v>
      </c>
      <c r="H3185" s="123">
        <v>0</v>
      </c>
      <c r="I3185" s="122">
        <v>0</v>
      </c>
      <c r="J3185" s="124">
        <f t="shared" si="49"/>
        <v>0</v>
      </c>
    </row>
    <row r="3186" spans="1:11" ht="15" customHeight="1" x14ac:dyDescent="0.2">
      <c r="A3186" s="120" t="s">
        <v>8069</v>
      </c>
      <c r="B3186" s="120" t="s">
        <v>3532</v>
      </c>
      <c r="C3186" s="98" t="s">
        <v>3533</v>
      </c>
      <c r="D3186" s="120" t="s">
        <v>3534</v>
      </c>
      <c r="E3186" s="98">
        <v>0</v>
      </c>
      <c r="F3186" s="120">
        <v>0</v>
      </c>
      <c r="G3186" s="121">
        <v>1931</v>
      </c>
      <c r="H3186" s="123">
        <v>0</v>
      </c>
      <c r="I3186" s="122">
        <v>0</v>
      </c>
      <c r="J3186" s="124">
        <f t="shared" si="49"/>
        <v>0</v>
      </c>
    </row>
    <row r="3187" spans="1:11" ht="15" customHeight="1" x14ac:dyDescent="0.2">
      <c r="A3187" s="120" t="s">
        <v>8070</v>
      </c>
      <c r="B3187" s="120" t="s">
        <v>3532</v>
      </c>
      <c r="C3187" s="98" t="s">
        <v>3533</v>
      </c>
      <c r="D3187" s="120" t="s">
        <v>3534</v>
      </c>
      <c r="E3187" s="98">
        <v>0</v>
      </c>
      <c r="F3187" s="120">
        <v>0</v>
      </c>
      <c r="G3187" s="121">
        <v>0</v>
      </c>
      <c r="H3187" s="123">
        <v>0</v>
      </c>
      <c r="I3187" s="122">
        <v>0</v>
      </c>
      <c r="J3187" s="124">
        <f t="shared" si="49"/>
        <v>0</v>
      </c>
    </row>
    <row r="3188" spans="1:11" ht="15" customHeight="1" x14ac:dyDescent="0.2">
      <c r="A3188" s="120" t="s">
        <v>8071</v>
      </c>
      <c r="B3188" s="120" t="s">
        <v>8072</v>
      </c>
      <c r="C3188" s="98" t="s">
        <v>3566</v>
      </c>
      <c r="D3188" s="120" t="s">
        <v>3534</v>
      </c>
      <c r="E3188" s="98">
        <v>0</v>
      </c>
      <c r="F3188" s="120">
        <v>0</v>
      </c>
      <c r="G3188" s="121">
        <v>0</v>
      </c>
      <c r="H3188" s="123">
        <v>0</v>
      </c>
      <c r="I3188" s="122">
        <v>0</v>
      </c>
      <c r="J3188" s="124">
        <f t="shared" si="49"/>
        <v>0</v>
      </c>
    </row>
    <row r="3189" spans="1:11" ht="15" customHeight="1" x14ac:dyDescent="0.2">
      <c r="A3189" s="120" t="s">
        <v>8073</v>
      </c>
      <c r="B3189" s="120" t="s">
        <v>8072</v>
      </c>
      <c r="C3189" s="98" t="s">
        <v>3533</v>
      </c>
      <c r="D3189" s="120" t="s">
        <v>3534</v>
      </c>
      <c r="E3189" s="98">
        <v>0</v>
      </c>
      <c r="F3189" s="120">
        <v>0</v>
      </c>
      <c r="G3189" s="121">
        <v>848</v>
      </c>
      <c r="H3189" s="123">
        <v>0</v>
      </c>
      <c r="I3189" s="122">
        <v>0</v>
      </c>
      <c r="J3189" s="124">
        <f t="shared" si="49"/>
        <v>0</v>
      </c>
      <c r="K3189" s="98" t="s">
        <v>3643</v>
      </c>
    </row>
    <row r="3190" spans="1:11" ht="15" customHeight="1" x14ac:dyDescent="0.2">
      <c r="A3190" s="120" t="s">
        <v>8074</v>
      </c>
      <c r="B3190" s="120" t="s">
        <v>3532</v>
      </c>
      <c r="C3190" s="98" t="s">
        <v>3532</v>
      </c>
      <c r="D3190" s="120" t="s">
        <v>3534</v>
      </c>
      <c r="E3190" s="98">
        <v>0</v>
      </c>
      <c r="F3190" s="120">
        <v>0</v>
      </c>
      <c r="G3190" s="121">
        <v>0</v>
      </c>
      <c r="H3190" s="123">
        <v>0</v>
      </c>
      <c r="I3190" s="122">
        <v>0</v>
      </c>
      <c r="J3190" s="124">
        <f t="shared" si="49"/>
        <v>0</v>
      </c>
    </row>
    <row r="3191" spans="1:11" ht="15" customHeight="1" x14ac:dyDescent="0.2">
      <c r="A3191" s="120" t="s">
        <v>8075</v>
      </c>
      <c r="B3191" s="120" t="s">
        <v>8072</v>
      </c>
      <c r="C3191" s="98" t="s">
        <v>3533</v>
      </c>
      <c r="D3191" s="120" t="s">
        <v>3534</v>
      </c>
      <c r="E3191" s="98">
        <v>0</v>
      </c>
      <c r="F3191" s="120">
        <v>0</v>
      </c>
      <c r="G3191" s="121">
        <v>1616</v>
      </c>
      <c r="H3191" s="123">
        <v>0</v>
      </c>
      <c r="I3191" s="122">
        <v>0</v>
      </c>
      <c r="J3191" s="124">
        <f t="shared" si="49"/>
        <v>0</v>
      </c>
      <c r="K3191" s="98" t="s">
        <v>8076</v>
      </c>
    </row>
    <row r="3192" spans="1:11" ht="15" customHeight="1" x14ac:dyDescent="0.2">
      <c r="A3192" s="120" t="s">
        <v>8077</v>
      </c>
      <c r="B3192" s="120" t="s">
        <v>8072</v>
      </c>
      <c r="C3192" s="98" t="s">
        <v>3533</v>
      </c>
      <c r="D3192" s="120" t="s">
        <v>3534</v>
      </c>
      <c r="E3192" s="98">
        <v>0</v>
      </c>
      <c r="F3192" s="120">
        <v>0</v>
      </c>
      <c r="G3192" s="121">
        <v>828</v>
      </c>
      <c r="H3192" s="123">
        <v>0</v>
      </c>
      <c r="I3192" s="122">
        <v>0</v>
      </c>
      <c r="J3192" s="124">
        <f t="shared" si="49"/>
        <v>0</v>
      </c>
    </row>
    <row r="3193" spans="1:11" ht="15" customHeight="1" x14ac:dyDescent="0.2">
      <c r="A3193" s="120" t="s">
        <v>8078</v>
      </c>
      <c r="B3193" s="120" t="s">
        <v>8072</v>
      </c>
      <c r="C3193" s="98" t="s">
        <v>3540</v>
      </c>
      <c r="D3193" s="120" t="s">
        <v>3563</v>
      </c>
      <c r="E3193" s="98">
        <v>0</v>
      </c>
      <c r="F3193" s="120">
        <v>0</v>
      </c>
      <c r="G3193" s="121">
        <v>0</v>
      </c>
      <c r="H3193" s="123">
        <v>0</v>
      </c>
      <c r="I3193" s="122">
        <v>0</v>
      </c>
      <c r="J3193" s="124">
        <f t="shared" si="49"/>
        <v>0</v>
      </c>
    </row>
    <row r="3194" spans="1:11" ht="15" customHeight="1" x14ac:dyDescent="0.2">
      <c r="A3194" s="120" t="s">
        <v>8079</v>
      </c>
      <c r="B3194" s="120" t="s">
        <v>8072</v>
      </c>
      <c r="C3194" s="98" t="s">
        <v>3540</v>
      </c>
      <c r="D3194" s="120" t="s">
        <v>3563</v>
      </c>
      <c r="E3194" s="98">
        <v>0</v>
      </c>
      <c r="F3194" s="120">
        <v>0</v>
      </c>
      <c r="G3194" s="121">
        <v>0</v>
      </c>
      <c r="H3194" s="123">
        <v>0</v>
      </c>
      <c r="I3194" s="122">
        <v>0</v>
      </c>
      <c r="J3194" s="124">
        <f t="shared" si="49"/>
        <v>0</v>
      </c>
    </row>
    <row r="3195" spans="1:11" ht="15" customHeight="1" x14ac:dyDescent="0.2">
      <c r="A3195" s="120" t="s">
        <v>8080</v>
      </c>
      <c r="B3195" s="120" t="s">
        <v>3532</v>
      </c>
      <c r="C3195" s="98" t="s">
        <v>3533</v>
      </c>
      <c r="D3195" s="120" t="s">
        <v>3534</v>
      </c>
      <c r="E3195" s="98">
        <v>0</v>
      </c>
      <c r="F3195" s="120">
        <v>0</v>
      </c>
      <c r="G3195" s="121">
        <v>0</v>
      </c>
      <c r="H3195" s="123">
        <v>0</v>
      </c>
      <c r="I3195" s="122">
        <v>0</v>
      </c>
      <c r="J3195" s="124">
        <f t="shared" si="49"/>
        <v>0</v>
      </c>
    </row>
    <row r="3196" spans="1:11" ht="15" customHeight="1" x14ac:dyDescent="0.2">
      <c r="A3196" s="120" t="s">
        <v>8081</v>
      </c>
      <c r="B3196" s="120" t="s">
        <v>3532</v>
      </c>
      <c r="C3196" s="98" t="s">
        <v>3533</v>
      </c>
      <c r="D3196" s="120" t="s">
        <v>3534</v>
      </c>
      <c r="E3196" s="98">
        <v>0</v>
      </c>
      <c r="F3196" s="120">
        <v>0</v>
      </c>
      <c r="G3196" s="121">
        <v>0</v>
      </c>
      <c r="H3196" s="123">
        <v>0</v>
      </c>
      <c r="I3196" s="122">
        <v>0</v>
      </c>
      <c r="J3196" s="124">
        <f t="shared" si="49"/>
        <v>0</v>
      </c>
    </row>
    <row r="3197" spans="1:11" ht="15" customHeight="1" x14ac:dyDescent="0.2">
      <c r="A3197" s="120" t="s">
        <v>8082</v>
      </c>
      <c r="B3197" s="120" t="s">
        <v>3532</v>
      </c>
      <c r="C3197" s="98" t="s">
        <v>3532</v>
      </c>
      <c r="D3197" s="120" t="s">
        <v>3534</v>
      </c>
      <c r="E3197" s="98">
        <v>0</v>
      </c>
      <c r="F3197" s="120">
        <v>0</v>
      </c>
      <c r="G3197" s="121">
        <v>0</v>
      </c>
      <c r="H3197" s="123">
        <v>0</v>
      </c>
      <c r="I3197" s="122">
        <v>0</v>
      </c>
      <c r="J3197" s="124">
        <f t="shared" si="49"/>
        <v>0</v>
      </c>
    </row>
    <row r="3198" spans="1:11" ht="15" customHeight="1" x14ac:dyDescent="0.2">
      <c r="A3198" s="120" t="s">
        <v>8083</v>
      </c>
      <c r="B3198" s="120" t="s">
        <v>3532</v>
      </c>
      <c r="C3198" s="98" t="s">
        <v>3533</v>
      </c>
      <c r="D3198" s="120" t="s">
        <v>3534</v>
      </c>
      <c r="E3198" s="98">
        <v>0</v>
      </c>
      <c r="F3198" s="120">
        <v>0</v>
      </c>
      <c r="G3198" s="121">
        <v>0</v>
      </c>
      <c r="H3198" s="123">
        <v>0</v>
      </c>
      <c r="I3198" s="122">
        <v>0</v>
      </c>
      <c r="J3198" s="124">
        <f t="shared" si="49"/>
        <v>0</v>
      </c>
    </row>
    <row r="3199" spans="1:11" ht="15" customHeight="1" x14ac:dyDescent="0.2">
      <c r="A3199" s="120" t="s">
        <v>8084</v>
      </c>
      <c r="B3199" s="120" t="s">
        <v>3532</v>
      </c>
      <c r="C3199" s="98" t="s">
        <v>3533</v>
      </c>
      <c r="D3199" s="120" t="s">
        <v>3534</v>
      </c>
      <c r="E3199" s="98">
        <v>0</v>
      </c>
      <c r="F3199" s="120">
        <v>0</v>
      </c>
      <c r="G3199" s="121">
        <v>0</v>
      </c>
      <c r="H3199" s="123">
        <v>0</v>
      </c>
      <c r="I3199" s="122">
        <v>0</v>
      </c>
      <c r="J3199" s="124">
        <f t="shared" si="49"/>
        <v>0</v>
      </c>
    </row>
    <row r="3200" spans="1:11" ht="15" customHeight="1" x14ac:dyDescent="0.2">
      <c r="A3200" s="120" t="s">
        <v>8085</v>
      </c>
      <c r="B3200" s="120" t="s">
        <v>3532</v>
      </c>
      <c r="C3200" s="98" t="s">
        <v>3533</v>
      </c>
      <c r="D3200" s="120" t="s">
        <v>3534</v>
      </c>
      <c r="E3200" s="98">
        <v>0</v>
      </c>
      <c r="F3200" s="120">
        <v>0</v>
      </c>
      <c r="G3200" s="121">
        <v>0</v>
      </c>
      <c r="H3200" s="123">
        <v>0</v>
      </c>
      <c r="I3200" s="122">
        <v>0</v>
      </c>
      <c r="J3200" s="124">
        <f t="shared" si="49"/>
        <v>0</v>
      </c>
    </row>
    <row r="3201" spans="1:10" ht="15" customHeight="1" x14ac:dyDescent="0.2">
      <c r="A3201" s="120" t="s">
        <v>8086</v>
      </c>
      <c r="B3201" s="120" t="s">
        <v>3532</v>
      </c>
      <c r="C3201" s="98" t="s">
        <v>3533</v>
      </c>
      <c r="D3201" s="120" t="s">
        <v>3534</v>
      </c>
      <c r="E3201" s="98">
        <v>0</v>
      </c>
      <c r="F3201" s="120">
        <v>0</v>
      </c>
      <c r="G3201" s="121">
        <v>0</v>
      </c>
      <c r="H3201" s="123">
        <v>0</v>
      </c>
      <c r="I3201" s="122">
        <v>0</v>
      </c>
      <c r="J3201" s="124">
        <f t="shared" si="49"/>
        <v>0</v>
      </c>
    </row>
    <row r="3202" spans="1:10" ht="15" customHeight="1" x14ac:dyDescent="0.2">
      <c r="A3202" s="120" t="s">
        <v>8087</v>
      </c>
      <c r="B3202" s="120" t="s">
        <v>3532</v>
      </c>
      <c r="C3202" s="98" t="s">
        <v>3532</v>
      </c>
      <c r="D3202" s="120" t="s">
        <v>3534</v>
      </c>
      <c r="E3202" s="98">
        <v>0</v>
      </c>
      <c r="F3202" s="120">
        <v>0</v>
      </c>
      <c r="G3202" s="121">
        <v>52309</v>
      </c>
      <c r="H3202" s="123">
        <v>0</v>
      </c>
      <c r="I3202" s="122">
        <v>0</v>
      </c>
      <c r="J3202" s="124">
        <f t="shared" ref="J3202:J3265" si="50">IF(D3202="gm", E3202*1000,+E3202)</f>
        <v>0</v>
      </c>
    </row>
    <row r="3203" spans="1:10" ht="15" customHeight="1" x14ac:dyDescent="0.2">
      <c r="A3203" s="120" t="s">
        <v>8088</v>
      </c>
      <c r="B3203" s="120" t="s">
        <v>3532</v>
      </c>
      <c r="C3203" s="98" t="s">
        <v>3533</v>
      </c>
      <c r="D3203" s="120" t="s">
        <v>3534</v>
      </c>
      <c r="E3203" s="98">
        <v>0</v>
      </c>
      <c r="F3203" s="120">
        <v>0</v>
      </c>
      <c r="G3203" s="121">
        <v>1250.473242</v>
      </c>
      <c r="H3203" s="123">
        <v>0</v>
      </c>
      <c r="I3203" s="122">
        <v>0</v>
      </c>
      <c r="J3203" s="124">
        <f t="shared" si="50"/>
        <v>0</v>
      </c>
    </row>
    <row r="3204" spans="1:10" ht="15" customHeight="1" x14ac:dyDescent="0.2">
      <c r="A3204" s="120" t="s">
        <v>8087</v>
      </c>
      <c r="B3204" s="120" t="s">
        <v>3532</v>
      </c>
      <c r="C3204" s="98" t="s">
        <v>3532</v>
      </c>
      <c r="D3204" s="120" t="s">
        <v>3534</v>
      </c>
      <c r="E3204" s="98">
        <v>0</v>
      </c>
      <c r="F3204" s="120">
        <v>0</v>
      </c>
      <c r="G3204" s="121">
        <v>0</v>
      </c>
      <c r="H3204" s="123">
        <v>0</v>
      </c>
      <c r="I3204" s="122">
        <v>0</v>
      </c>
      <c r="J3204" s="124">
        <f t="shared" si="50"/>
        <v>0</v>
      </c>
    </row>
    <row r="3205" spans="1:10" ht="15" customHeight="1" x14ac:dyDescent="0.2">
      <c r="A3205" s="120" t="s">
        <v>8089</v>
      </c>
      <c r="B3205" s="120" t="s">
        <v>3532</v>
      </c>
      <c r="C3205" s="98" t="s">
        <v>8090</v>
      </c>
      <c r="D3205" s="120" t="s">
        <v>3534</v>
      </c>
      <c r="E3205" s="98">
        <v>0</v>
      </c>
      <c r="F3205" s="120">
        <v>0</v>
      </c>
      <c r="G3205" s="121">
        <v>17834</v>
      </c>
      <c r="H3205" s="123">
        <v>0</v>
      </c>
      <c r="I3205" s="122">
        <v>0</v>
      </c>
      <c r="J3205" s="124">
        <f t="shared" si="50"/>
        <v>0</v>
      </c>
    </row>
    <row r="3206" spans="1:10" ht="15" customHeight="1" x14ac:dyDescent="0.2">
      <c r="A3206" s="120" t="s">
        <v>4582</v>
      </c>
      <c r="B3206" s="120" t="s">
        <v>3532</v>
      </c>
      <c r="C3206" s="98" t="s">
        <v>3533</v>
      </c>
      <c r="D3206" s="120" t="s">
        <v>3534</v>
      </c>
      <c r="E3206" s="98">
        <v>0</v>
      </c>
      <c r="F3206" s="120">
        <v>0</v>
      </c>
      <c r="G3206" s="121">
        <v>46406</v>
      </c>
      <c r="H3206" s="123">
        <v>0</v>
      </c>
      <c r="I3206" s="122">
        <v>0</v>
      </c>
      <c r="J3206" s="124">
        <f t="shared" si="50"/>
        <v>0</v>
      </c>
    </row>
    <row r="3207" spans="1:10" ht="15" customHeight="1" x14ac:dyDescent="0.2">
      <c r="A3207" s="120" t="s">
        <v>8091</v>
      </c>
      <c r="B3207" s="120" t="s">
        <v>3532</v>
      </c>
      <c r="C3207" s="98" t="s">
        <v>3533</v>
      </c>
      <c r="D3207" s="120" t="s">
        <v>3534</v>
      </c>
      <c r="E3207" s="98">
        <v>0</v>
      </c>
      <c r="F3207" s="120">
        <v>0</v>
      </c>
      <c r="G3207" s="121">
        <v>27181</v>
      </c>
      <c r="H3207" s="123">
        <v>0</v>
      </c>
      <c r="I3207" s="122">
        <v>0</v>
      </c>
      <c r="J3207" s="124">
        <f t="shared" si="50"/>
        <v>0</v>
      </c>
    </row>
    <row r="3208" spans="1:10" ht="15" customHeight="1" x14ac:dyDescent="0.2">
      <c r="A3208" s="120" t="s">
        <v>8092</v>
      </c>
      <c r="B3208" s="120" t="s">
        <v>3532</v>
      </c>
      <c r="C3208" s="98" t="s">
        <v>3532</v>
      </c>
      <c r="D3208" s="120" t="s">
        <v>3534</v>
      </c>
      <c r="E3208" s="98">
        <v>0</v>
      </c>
      <c r="F3208" s="120">
        <v>0</v>
      </c>
      <c r="G3208" s="121">
        <v>5182</v>
      </c>
      <c r="H3208" s="123">
        <v>0</v>
      </c>
      <c r="I3208" s="122">
        <v>0</v>
      </c>
      <c r="J3208" s="124">
        <f t="shared" si="50"/>
        <v>0</v>
      </c>
    </row>
    <row r="3209" spans="1:10" ht="15" customHeight="1" x14ac:dyDescent="0.2">
      <c r="A3209" s="120" t="s">
        <v>8093</v>
      </c>
      <c r="B3209" s="120" t="s">
        <v>3532</v>
      </c>
      <c r="C3209" s="98" t="s">
        <v>3533</v>
      </c>
      <c r="D3209" s="120" t="s">
        <v>3534</v>
      </c>
      <c r="E3209" s="98">
        <v>0</v>
      </c>
      <c r="F3209" s="120">
        <v>0</v>
      </c>
      <c r="G3209" s="121">
        <v>0</v>
      </c>
      <c r="H3209" s="123">
        <v>0</v>
      </c>
      <c r="I3209" s="122">
        <v>0</v>
      </c>
      <c r="J3209" s="124">
        <f t="shared" si="50"/>
        <v>0</v>
      </c>
    </row>
    <row r="3210" spans="1:10" ht="15" customHeight="1" x14ac:dyDescent="0.2">
      <c r="A3210" s="120" t="s">
        <v>8094</v>
      </c>
      <c r="B3210" s="120" t="s">
        <v>3532</v>
      </c>
      <c r="C3210" s="98" t="s">
        <v>3532</v>
      </c>
      <c r="D3210" s="120" t="s">
        <v>3534</v>
      </c>
      <c r="E3210" s="98">
        <v>0</v>
      </c>
      <c r="F3210" s="120">
        <v>0</v>
      </c>
      <c r="G3210" s="121">
        <v>2987</v>
      </c>
      <c r="H3210" s="123">
        <v>0</v>
      </c>
      <c r="I3210" s="122">
        <v>0</v>
      </c>
      <c r="J3210" s="124">
        <f t="shared" si="50"/>
        <v>0</v>
      </c>
    </row>
    <row r="3211" spans="1:10" ht="15" customHeight="1" x14ac:dyDescent="0.2">
      <c r="A3211" s="120" t="s">
        <v>8095</v>
      </c>
      <c r="B3211" s="120" t="s">
        <v>3532</v>
      </c>
      <c r="C3211" s="98" t="s">
        <v>3532</v>
      </c>
      <c r="D3211" s="120" t="s">
        <v>3534</v>
      </c>
      <c r="E3211" s="98">
        <v>0</v>
      </c>
      <c r="F3211" s="120">
        <v>0</v>
      </c>
      <c r="G3211" s="121">
        <v>0</v>
      </c>
      <c r="H3211" s="123">
        <v>0</v>
      </c>
      <c r="I3211" s="122">
        <v>0</v>
      </c>
      <c r="J3211" s="124">
        <f t="shared" si="50"/>
        <v>0</v>
      </c>
    </row>
    <row r="3212" spans="1:10" ht="15" customHeight="1" x14ac:dyDescent="0.2">
      <c r="A3212" s="120" t="s">
        <v>8096</v>
      </c>
      <c r="B3212" s="120" t="s">
        <v>3532</v>
      </c>
      <c r="C3212" s="98" t="s">
        <v>3533</v>
      </c>
      <c r="D3212" s="120" t="s">
        <v>3534</v>
      </c>
      <c r="E3212" s="98">
        <v>0</v>
      </c>
      <c r="F3212" s="120">
        <v>0</v>
      </c>
      <c r="G3212" s="121">
        <v>183</v>
      </c>
      <c r="H3212" s="123">
        <v>0</v>
      </c>
      <c r="I3212" s="122">
        <v>0</v>
      </c>
      <c r="J3212" s="124">
        <f t="shared" si="50"/>
        <v>0</v>
      </c>
    </row>
    <row r="3213" spans="1:10" ht="15" customHeight="1" x14ac:dyDescent="0.2">
      <c r="A3213" s="120" t="s">
        <v>8097</v>
      </c>
      <c r="B3213" s="120" t="s">
        <v>3532</v>
      </c>
      <c r="C3213" s="98" t="s">
        <v>3532</v>
      </c>
      <c r="D3213" s="120" t="s">
        <v>3534</v>
      </c>
      <c r="E3213" s="98">
        <v>0</v>
      </c>
      <c r="F3213" s="120">
        <v>0</v>
      </c>
      <c r="G3213" s="121">
        <v>0</v>
      </c>
      <c r="H3213" s="123">
        <v>0</v>
      </c>
      <c r="I3213" s="122">
        <v>0</v>
      </c>
      <c r="J3213" s="124">
        <f t="shared" si="50"/>
        <v>0</v>
      </c>
    </row>
    <row r="3214" spans="1:10" ht="15" customHeight="1" x14ac:dyDescent="0.2">
      <c r="A3214" s="120" t="s">
        <v>8098</v>
      </c>
      <c r="B3214" s="120" t="s">
        <v>3532</v>
      </c>
      <c r="C3214" s="98" t="s">
        <v>3532</v>
      </c>
      <c r="D3214" s="120" t="s">
        <v>3534</v>
      </c>
      <c r="E3214" s="98">
        <v>0</v>
      </c>
      <c r="F3214" s="120">
        <v>0</v>
      </c>
      <c r="G3214" s="121">
        <v>6516</v>
      </c>
      <c r="H3214" s="123">
        <v>0</v>
      </c>
      <c r="I3214" s="122">
        <v>0</v>
      </c>
      <c r="J3214" s="124">
        <f t="shared" si="50"/>
        <v>0</v>
      </c>
    </row>
    <row r="3215" spans="1:10" ht="15" customHeight="1" x14ac:dyDescent="0.2">
      <c r="A3215" s="120" t="s">
        <v>8099</v>
      </c>
      <c r="B3215" s="120" t="s">
        <v>3532</v>
      </c>
      <c r="C3215" s="98" t="s">
        <v>3533</v>
      </c>
      <c r="D3215" s="120" t="s">
        <v>3534</v>
      </c>
      <c r="E3215" s="98">
        <v>0</v>
      </c>
      <c r="F3215" s="120">
        <v>0</v>
      </c>
      <c r="G3215" s="121">
        <v>6868</v>
      </c>
      <c r="H3215" s="123">
        <v>0</v>
      </c>
      <c r="I3215" s="122">
        <v>0</v>
      </c>
      <c r="J3215" s="124">
        <f t="shared" si="50"/>
        <v>0</v>
      </c>
    </row>
    <row r="3216" spans="1:10" ht="15" customHeight="1" x14ac:dyDescent="0.2">
      <c r="A3216" s="120" t="s">
        <v>8100</v>
      </c>
      <c r="B3216" s="120" t="s">
        <v>3532</v>
      </c>
      <c r="C3216" s="98" t="s">
        <v>3532</v>
      </c>
      <c r="D3216" s="120" t="s">
        <v>3534</v>
      </c>
      <c r="E3216" s="98">
        <v>0</v>
      </c>
      <c r="F3216" s="120">
        <v>0</v>
      </c>
      <c r="G3216" s="121">
        <v>3072</v>
      </c>
      <c r="H3216" s="123">
        <v>0</v>
      </c>
      <c r="I3216" s="122">
        <v>0</v>
      </c>
      <c r="J3216" s="124">
        <f t="shared" si="50"/>
        <v>0</v>
      </c>
    </row>
    <row r="3217" spans="1:10" ht="15" customHeight="1" x14ac:dyDescent="0.2">
      <c r="A3217" s="120" t="s">
        <v>8101</v>
      </c>
      <c r="B3217" s="120" t="s">
        <v>3532</v>
      </c>
      <c r="C3217" s="98" t="s">
        <v>3533</v>
      </c>
      <c r="D3217" s="120" t="s">
        <v>3534</v>
      </c>
      <c r="E3217" s="98">
        <v>0</v>
      </c>
      <c r="F3217" s="120">
        <v>0</v>
      </c>
      <c r="G3217" s="121">
        <v>877</v>
      </c>
      <c r="H3217" s="123">
        <v>0</v>
      </c>
      <c r="I3217" s="122">
        <v>0</v>
      </c>
      <c r="J3217" s="124">
        <f t="shared" si="50"/>
        <v>0</v>
      </c>
    </row>
    <row r="3218" spans="1:10" ht="15" customHeight="1" x14ac:dyDescent="0.2">
      <c r="A3218" s="120" t="s">
        <v>8102</v>
      </c>
      <c r="B3218" s="120" t="s">
        <v>3532</v>
      </c>
      <c r="C3218" s="98" t="s">
        <v>3540</v>
      </c>
      <c r="D3218" s="120" t="s">
        <v>3534</v>
      </c>
      <c r="E3218" s="98">
        <v>0</v>
      </c>
      <c r="F3218" s="120">
        <v>0</v>
      </c>
      <c r="G3218" s="121">
        <v>0</v>
      </c>
      <c r="H3218" s="123">
        <v>0</v>
      </c>
      <c r="I3218" s="122">
        <v>0</v>
      </c>
      <c r="J3218" s="124">
        <f t="shared" si="50"/>
        <v>0</v>
      </c>
    </row>
    <row r="3219" spans="1:10" ht="15" customHeight="1" x14ac:dyDescent="0.2">
      <c r="A3219" s="120" t="s">
        <v>8103</v>
      </c>
      <c r="B3219" s="120" t="s">
        <v>8104</v>
      </c>
      <c r="C3219" s="98" t="s">
        <v>3540</v>
      </c>
      <c r="D3219" s="120" t="s">
        <v>3534</v>
      </c>
      <c r="E3219" s="98">
        <v>0</v>
      </c>
      <c r="F3219" s="120">
        <v>0</v>
      </c>
      <c r="G3219" s="121">
        <v>0</v>
      </c>
      <c r="H3219" s="123">
        <v>0</v>
      </c>
      <c r="I3219" s="122">
        <v>0</v>
      </c>
      <c r="J3219" s="124">
        <f t="shared" si="50"/>
        <v>0</v>
      </c>
    </row>
    <row r="3220" spans="1:10" ht="15" customHeight="1" x14ac:dyDescent="0.2">
      <c r="A3220" s="120" t="s">
        <v>8105</v>
      </c>
      <c r="B3220" s="120" t="s">
        <v>3532</v>
      </c>
      <c r="C3220" s="98" t="s">
        <v>3540</v>
      </c>
      <c r="D3220" s="120" t="s">
        <v>3534</v>
      </c>
      <c r="E3220" s="98">
        <v>0.16700000000000001</v>
      </c>
      <c r="F3220" s="120">
        <v>0</v>
      </c>
      <c r="G3220" s="121">
        <v>0</v>
      </c>
      <c r="H3220" s="123">
        <v>0.16700000000000001</v>
      </c>
      <c r="I3220" s="122">
        <v>0</v>
      </c>
      <c r="J3220" s="124">
        <f t="shared" si="50"/>
        <v>0.16700000000000001</v>
      </c>
    </row>
    <row r="3221" spans="1:10" ht="15" customHeight="1" x14ac:dyDescent="0.2">
      <c r="A3221" s="120" t="s">
        <v>8106</v>
      </c>
      <c r="B3221" s="120" t="s">
        <v>7131</v>
      </c>
      <c r="C3221" s="98" t="s">
        <v>3936</v>
      </c>
      <c r="D3221" s="120" t="s">
        <v>3534</v>
      </c>
      <c r="E3221" s="98">
        <v>1.4</v>
      </c>
      <c r="F3221" s="120">
        <v>0</v>
      </c>
      <c r="G3221" s="121">
        <v>0</v>
      </c>
      <c r="H3221" s="123">
        <v>1.4</v>
      </c>
      <c r="I3221" s="122">
        <v>0</v>
      </c>
      <c r="J3221" s="124">
        <f t="shared" si="50"/>
        <v>1.4</v>
      </c>
    </row>
    <row r="3222" spans="1:10" ht="15" customHeight="1" x14ac:dyDescent="0.2">
      <c r="A3222" s="120" t="s">
        <v>8107</v>
      </c>
      <c r="B3222" s="120" t="s">
        <v>3900</v>
      </c>
      <c r="C3222" s="98" t="s">
        <v>3566</v>
      </c>
      <c r="D3222" s="120" t="s">
        <v>3534</v>
      </c>
      <c r="E3222" s="98">
        <v>0.40315000000000001</v>
      </c>
      <c r="F3222" s="120">
        <v>0</v>
      </c>
      <c r="G3222" s="121">
        <v>0</v>
      </c>
      <c r="H3222" s="123">
        <v>0.40315000000000001</v>
      </c>
      <c r="I3222" s="122">
        <v>0</v>
      </c>
      <c r="J3222" s="124">
        <f t="shared" si="50"/>
        <v>0.40315000000000001</v>
      </c>
    </row>
    <row r="3223" spans="1:10" ht="15" customHeight="1" x14ac:dyDescent="0.2">
      <c r="A3223" s="120" t="s">
        <v>8108</v>
      </c>
      <c r="B3223" s="120" t="s">
        <v>3609</v>
      </c>
      <c r="C3223" s="98" t="s">
        <v>4066</v>
      </c>
      <c r="D3223" s="120" t="s">
        <v>3534</v>
      </c>
      <c r="E3223" s="98">
        <v>0</v>
      </c>
      <c r="F3223" s="120">
        <v>0</v>
      </c>
      <c r="G3223" s="121">
        <v>0</v>
      </c>
      <c r="H3223" s="123">
        <v>0</v>
      </c>
      <c r="I3223" s="122">
        <v>0</v>
      </c>
      <c r="J3223" s="124">
        <f t="shared" si="50"/>
        <v>0</v>
      </c>
    </row>
    <row r="3224" spans="1:10" ht="15" customHeight="1" x14ac:dyDescent="0.2">
      <c r="A3224" s="120" t="s">
        <v>8109</v>
      </c>
      <c r="B3224" s="120" t="s">
        <v>3609</v>
      </c>
      <c r="C3224" s="98" t="s">
        <v>3936</v>
      </c>
      <c r="D3224" s="120" t="s">
        <v>3534</v>
      </c>
      <c r="E3224" s="98">
        <v>0</v>
      </c>
      <c r="F3224" s="120">
        <v>0</v>
      </c>
      <c r="G3224" s="121">
        <v>0</v>
      </c>
      <c r="H3224" s="123">
        <v>0</v>
      </c>
      <c r="I3224" s="122">
        <v>0</v>
      </c>
      <c r="J3224" s="124">
        <f t="shared" si="50"/>
        <v>0</v>
      </c>
    </row>
    <row r="3225" spans="1:10" ht="15" customHeight="1" x14ac:dyDescent="0.2">
      <c r="A3225" s="120" t="s">
        <v>8110</v>
      </c>
      <c r="B3225" s="120" t="s">
        <v>8111</v>
      </c>
      <c r="C3225" s="98" t="s">
        <v>3533</v>
      </c>
      <c r="D3225" s="120" t="s">
        <v>3534</v>
      </c>
      <c r="E3225" s="98">
        <v>0</v>
      </c>
      <c r="F3225" s="120">
        <v>0</v>
      </c>
      <c r="G3225" s="121">
        <v>0</v>
      </c>
      <c r="H3225" s="123">
        <v>0</v>
      </c>
      <c r="I3225" s="122">
        <v>0</v>
      </c>
      <c r="J3225" s="124">
        <f t="shared" si="50"/>
        <v>0</v>
      </c>
    </row>
    <row r="3226" spans="1:10" ht="15" customHeight="1" x14ac:dyDescent="0.2">
      <c r="A3226" s="120" t="s">
        <v>8112</v>
      </c>
      <c r="B3226" s="120" t="s">
        <v>3532</v>
      </c>
      <c r="C3226" s="98" t="s">
        <v>3532</v>
      </c>
      <c r="D3226" s="120" t="s">
        <v>3534</v>
      </c>
      <c r="E3226" s="98">
        <v>0</v>
      </c>
      <c r="F3226" s="120">
        <v>0</v>
      </c>
      <c r="G3226" s="121">
        <v>121</v>
      </c>
      <c r="H3226" s="123">
        <v>0</v>
      </c>
      <c r="I3226" s="122">
        <v>0</v>
      </c>
      <c r="J3226" s="124">
        <f t="shared" si="50"/>
        <v>0</v>
      </c>
    </row>
    <row r="3227" spans="1:10" ht="15" customHeight="1" x14ac:dyDescent="0.2">
      <c r="A3227" s="120" t="s">
        <v>8113</v>
      </c>
      <c r="B3227" s="120" t="s">
        <v>8114</v>
      </c>
      <c r="C3227" s="98" t="s">
        <v>3533</v>
      </c>
      <c r="D3227" s="120" t="s">
        <v>3534</v>
      </c>
      <c r="E3227" s="98">
        <v>0</v>
      </c>
      <c r="F3227" s="120">
        <v>0</v>
      </c>
      <c r="G3227" s="121">
        <v>160</v>
      </c>
      <c r="H3227" s="123">
        <v>0</v>
      </c>
      <c r="I3227" s="122">
        <v>0</v>
      </c>
      <c r="J3227" s="124">
        <f t="shared" si="50"/>
        <v>0</v>
      </c>
    </row>
    <row r="3228" spans="1:10" ht="15" customHeight="1" x14ac:dyDescent="0.2">
      <c r="A3228" s="120" t="s">
        <v>8115</v>
      </c>
      <c r="B3228" s="120" t="s">
        <v>3532</v>
      </c>
      <c r="C3228" s="98" t="s">
        <v>3532</v>
      </c>
      <c r="D3228" s="120" t="s">
        <v>3534</v>
      </c>
      <c r="E3228" s="98">
        <v>0</v>
      </c>
      <c r="F3228" s="120">
        <v>0</v>
      </c>
      <c r="G3228" s="121">
        <v>446</v>
      </c>
      <c r="H3228" s="123">
        <v>0</v>
      </c>
      <c r="I3228" s="122">
        <v>0</v>
      </c>
      <c r="J3228" s="124">
        <f t="shared" si="50"/>
        <v>0</v>
      </c>
    </row>
    <row r="3229" spans="1:10" ht="15" customHeight="1" x14ac:dyDescent="0.2">
      <c r="A3229" s="120" t="s">
        <v>8116</v>
      </c>
      <c r="B3229" s="120" t="s">
        <v>8117</v>
      </c>
      <c r="C3229" s="98" t="s">
        <v>3532</v>
      </c>
      <c r="D3229" s="120" t="s">
        <v>3563</v>
      </c>
      <c r="E3229" s="98">
        <v>0</v>
      </c>
      <c r="F3229" s="120">
        <v>0</v>
      </c>
      <c r="G3229" s="121">
        <v>0</v>
      </c>
      <c r="H3229" s="123">
        <v>0</v>
      </c>
      <c r="I3229" s="122">
        <v>0</v>
      </c>
      <c r="J3229" s="124">
        <f t="shared" si="50"/>
        <v>0</v>
      </c>
    </row>
    <row r="3230" spans="1:10" ht="15" customHeight="1" x14ac:dyDescent="0.2">
      <c r="A3230" s="120" t="s">
        <v>8118</v>
      </c>
      <c r="B3230" s="120" t="s">
        <v>8119</v>
      </c>
      <c r="C3230" s="98" t="s">
        <v>3533</v>
      </c>
      <c r="D3230" s="120" t="s">
        <v>3534</v>
      </c>
      <c r="E3230" s="98">
        <v>0</v>
      </c>
      <c r="F3230" s="120">
        <v>0</v>
      </c>
      <c r="G3230" s="121">
        <v>135</v>
      </c>
      <c r="H3230" s="123">
        <v>0</v>
      </c>
      <c r="I3230" s="122">
        <v>0</v>
      </c>
      <c r="J3230" s="124">
        <f t="shared" si="50"/>
        <v>0</v>
      </c>
    </row>
    <row r="3231" spans="1:10" ht="15" customHeight="1" x14ac:dyDescent="0.2">
      <c r="A3231" s="120" t="s">
        <v>8120</v>
      </c>
      <c r="B3231" s="120" t="s">
        <v>8119</v>
      </c>
      <c r="C3231" s="98" t="s">
        <v>3533</v>
      </c>
      <c r="D3231" s="120" t="s">
        <v>3534</v>
      </c>
      <c r="E3231" s="98">
        <v>0</v>
      </c>
      <c r="F3231" s="120">
        <v>0</v>
      </c>
      <c r="G3231" s="121">
        <v>44</v>
      </c>
      <c r="H3231" s="123">
        <v>0</v>
      </c>
      <c r="I3231" s="122">
        <v>0</v>
      </c>
      <c r="J3231" s="124">
        <f t="shared" si="50"/>
        <v>0</v>
      </c>
    </row>
    <row r="3232" spans="1:10" ht="15" customHeight="1" x14ac:dyDescent="0.2">
      <c r="A3232" s="120" t="s">
        <v>8121</v>
      </c>
      <c r="B3232" s="120" t="s">
        <v>8119</v>
      </c>
      <c r="C3232" s="98" t="s">
        <v>3533</v>
      </c>
      <c r="D3232" s="120" t="s">
        <v>3534</v>
      </c>
      <c r="E3232" s="98">
        <v>0</v>
      </c>
      <c r="F3232" s="120">
        <v>0</v>
      </c>
      <c r="G3232" s="121">
        <v>0</v>
      </c>
      <c r="H3232" s="123">
        <v>0</v>
      </c>
      <c r="I3232" s="122">
        <v>0</v>
      </c>
      <c r="J3232" s="124">
        <f t="shared" si="50"/>
        <v>0</v>
      </c>
    </row>
    <row r="3233" spans="1:10" ht="15" customHeight="1" x14ac:dyDescent="0.2">
      <c r="A3233" s="120" t="s">
        <v>8122</v>
      </c>
      <c r="B3233" s="120" t="s">
        <v>8119</v>
      </c>
      <c r="C3233" s="98" t="s">
        <v>3533</v>
      </c>
      <c r="D3233" s="120" t="s">
        <v>3534</v>
      </c>
      <c r="E3233" s="98">
        <v>0</v>
      </c>
      <c r="F3233" s="120">
        <v>0</v>
      </c>
      <c r="G3233" s="121">
        <v>0</v>
      </c>
      <c r="H3233" s="123">
        <v>0</v>
      </c>
      <c r="I3233" s="122">
        <v>0</v>
      </c>
      <c r="J3233" s="124">
        <f t="shared" si="50"/>
        <v>0</v>
      </c>
    </row>
    <row r="3234" spans="1:10" ht="15" customHeight="1" x14ac:dyDescent="0.2">
      <c r="A3234" s="120" t="s">
        <v>8123</v>
      </c>
      <c r="B3234" s="120" t="s">
        <v>3532</v>
      </c>
      <c r="C3234" s="98" t="s">
        <v>3532</v>
      </c>
      <c r="D3234" s="120" t="s">
        <v>3534</v>
      </c>
      <c r="E3234" s="98">
        <v>0</v>
      </c>
      <c r="F3234" s="120">
        <v>0</v>
      </c>
      <c r="G3234" s="121">
        <v>506</v>
      </c>
      <c r="H3234" s="123">
        <v>0</v>
      </c>
      <c r="I3234" s="122">
        <v>0</v>
      </c>
      <c r="J3234" s="124">
        <f t="shared" si="50"/>
        <v>0</v>
      </c>
    </row>
    <row r="3235" spans="1:10" ht="15" customHeight="1" x14ac:dyDescent="0.2">
      <c r="A3235" s="120" t="s">
        <v>8124</v>
      </c>
      <c r="B3235" s="120" t="s">
        <v>8119</v>
      </c>
      <c r="C3235" s="98" t="s">
        <v>3540</v>
      </c>
      <c r="D3235" s="120" t="s">
        <v>3534</v>
      </c>
      <c r="E3235" s="98">
        <v>0</v>
      </c>
      <c r="F3235" s="120">
        <v>0</v>
      </c>
      <c r="G3235" s="121">
        <v>510</v>
      </c>
      <c r="H3235" s="123">
        <v>0</v>
      </c>
      <c r="I3235" s="122">
        <v>0</v>
      </c>
      <c r="J3235" s="124">
        <f t="shared" si="50"/>
        <v>0</v>
      </c>
    </row>
    <row r="3236" spans="1:10" ht="15" customHeight="1" x14ac:dyDescent="0.2">
      <c r="A3236" s="120" t="s">
        <v>8125</v>
      </c>
      <c r="B3236" s="120" t="s">
        <v>8119</v>
      </c>
      <c r="C3236" s="98" t="s">
        <v>3540</v>
      </c>
      <c r="D3236" s="120" t="s">
        <v>3534</v>
      </c>
      <c r="E3236" s="98">
        <v>0</v>
      </c>
      <c r="F3236" s="120">
        <v>0</v>
      </c>
      <c r="G3236" s="121">
        <v>0</v>
      </c>
      <c r="H3236" s="123">
        <v>0</v>
      </c>
      <c r="I3236" s="122">
        <v>0</v>
      </c>
      <c r="J3236" s="124">
        <f t="shared" si="50"/>
        <v>0</v>
      </c>
    </row>
    <row r="3237" spans="1:10" ht="15" customHeight="1" x14ac:dyDescent="0.2">
      <c r="A3237" s="120" t="s">
        <v>8126</v>
      </c>
      <c r="B3237" s="120" t="s">
        <v>8119</v>
      </c>
      <c r="C3237" s="98" t="s">
        <v>3533</v>
      </c>
      <c r="D3237" s="120" t="s">
        <v>3534</v>
      </c>
      <c r="E3237" s="98">
        <v>0</v>
      </c>
      <c r="F3237" s="120">
        <v>0</v>
      </c>
      <c r="G3237" s="121">
        <v>1826</v>
      </c>
      <c r="H3237" s="123">
        <v>0</v>
      </c>
      <c r="I3237" s="122">
        <v>0</v>
      </c>
      <c r="J3237" s="124">
        <f t="shared" si="50"/>
        <v>0</v>
      </c>
    </row>
    <row r="3238" spans="1:10" ht="15" customHeight="1" x14ac:dyDescent="0.2">
      <c r="A3238" s="120" t="s">
        <v>8127</v>
      </c>
      <c r="B3238" s="120" t="s">
        <v>3532</v>
      </c>
      <c r="C3238" s="98" t="s">
        <v>3566</v>
      </c>
      <c r="D3238" s="120" t="s">
        <v>3534</v>
      </c>
      <c r="E3238" s="98">
        <v>0</v>
      </c>
      <c r="F3238" s="120">
        <v>0</v>
      </c>
      <c r="G3238" s="121">
        <v>0</v>
      </c>
      <c r="H3238" s="123">
        <v>0</v>
      </c>
      <c r="I3238" s="122">
        <v>0</v>
      </c>
      <c r="J3238" s="124">
        <f t="shared" si="50"/>
        <v>0</v>
      </c>
    </row>
    <row r="3239" spans="1:10" ht="15" customHeight="1" x14ac:dyDescent="0.2">
      <c r="A3239" s="120" t="s">
        <v>8128</v>
      </c>
      <c r="B3239" s="120" t="s">
        <v>8129</v>
      </c>
      <c r="C3239" s="98" t="s">
        <v>3533</v>
      </c>
      <c r="D3239" s="120" t="s">
        <v>3534</v>
      </c>
      <c r="E3239" s="98">
        <v>0</v>
      </c>
      <c r="F3239" s="120">
        <v>0</v>
      </c>
      <c r="G3239" s="121">
        <v>0</v>
      </c>
      <c r="H3239" s="123">
        <v>0</v>
      </c>
      <c r="I3239" s="122">
        <v>0</v>
      </c>
      <c r="J3239" s="124">
        <f t="shared" si="50"/>
        <v>0</v>
      </c>
    </row>
    <row r="3240" spans="1:10" ht="15" customHeight="1" x14ac:dyDescent="0.2">
      <c r="A3240" s="120" t="s">
        <v>8130</v>
      </c>
      <c r="B3240" s="120" t="s">
        <v>3532</v>
      </c>
      <c r="C3240" s="98" t="s">
        <v>3532</v>
      </c>
      <c r="D3240" s="120" t="s">
        <v>3534</v>
      </c>
      <c r="E3240" s="98">
        <v>0</v>
      </c>
      <c r="F3240" s="120">
        <v>0</v>
      </c>
      <c r="G3240" s="121">
        <v>0</v>
      </c>
      <c r="H3240" s="123">
        <v>0</v>
      </c>
      <c r="I3240" s="122">
        <v>0</v>
      </c>
      <c r="J3240" s="124">
        <f t="shared" si="50"/>
        <v>0</v>
      </c>
    </row>
    <row r="3241" spans="1:10" ht="15" customHeight="1" x14ac:dyDescent="0.2">
      <c r="A3241" s="120" t="s">
        <v>8131</v>
      </c>
      <c r="B3241" s="120" t="s">
        <v>3532</v>
      </c>
      <c r="C3241" s="98" t="s">
        <v>3532</v>
      </c>
      <c r="D3241" s="120" t="s">
        <v>3534</v>
      </c>
      <c r="E3241" s="98">
        <v>0</v>
      </c>
      <c r="F3241" s="120">
        <v>0</v>
      </c>
      <c r="G3241" s="121">
        <v>0</v>
      </c>
      <c r="H3241" s="123">
        <v>0</v>
      </c>
      <c r="I3241" s="122">
        <v>0</v>
      </c>
      <c r="J3241" s="124">
        <f t="shared" si="50"/>
        <v>0</v>
      </c>
    </row>
    <row r="3242" spans="1:10" ht="15" customHeight="1" x14ac:dyDescent="0.2">
      <c r="A3242" s="120" t="s">
        <v>8132</v>
      </c>
      <c r="B3242" s="120" t="s">
        <v>3532</v>
      </c>
      <c r="C3242" s="98" t="s">
        <v>3540</v>
      </c>
      <c r="D3242" s="120" t="s">
        <v>3534</v>
      </c>
      <c r="E3242" s="98">
        <v>0</v>
      </c>
      <c r="F3242" s="120">
        <v>0</v>
      </c>
      <c r="G3242" s="121">
        <v>0</v>
      </c>
      <c r="H3242" s="123">
        <v>0</v>
      </c>
      <c r="I3242" s="122">
        <v>0</v>
      </c>
      <c r="J3242" s="124">
        <f t="shared" si="50"/>
        <v>0</v>
      </c>
    </row>
    <row r="3243" spans="1:10" ht="15" customHeight="1" x14ac:dyDescent="0.2">
      <c r="A3243" s="120" t="s">
        <v>8133</v>
      </c>
      <c r="B3243" s="120" t="s">
        <v>8129</v>
      </c>
      <c r="C3243" s="98" t="s">
        <v>3533</v>
      </c>
      <c r="D3243" s="120" t="s">
        <v>3534</v>
      </c>
      <c r="E3243" s="98">
        <v>0</v>
      </c>
      <c r="F3243" s="120">
        <v>0</v>
      </c>
      <c r="G3243" s="121">
        <v>0</v>
      </c>
      <c r="H3243" s="123">
        <v>0</v>
      </c>
      <c r="I3243" s="122">
        <v>0</v>
      </c>
      <c r="J3243" s="124">
        <f t="shared" si="50"/>
        <v>0</v>
      </c>
    </row>
    <row r="3244" spans="1:10" ht="15" customHeight="1" x14ac:dyDescent="0.2">
      <c r="A3244" s="120" t="s">
        <v>8134</v>
      </c>
      <c r="B3244" s="120" t="s">
        <v>3532</v>
      </c>
      <c r="C3244" s="98" t="s">
        <v>3533</v>
      </c>
      <c r="D3244" s="120" t="s">
        <v>3534</v>
      </c>
      <c r="E3244" s="98">
        <v>0</v>
      </c>
      <c r="F3244" s="120">
        <v>0</v>
      </c>
      <c r="G3244" s="121">
        <v>0</v>
      </c>
      <c r="H3244" s="123">
        <v>0</v>
      </c>
      <c r="I3244" s="122">
        <v>0</v>
      </c>
      <c r="J3244" s="124">
        <f t="shared" si="50"/>
        <v>0</v>
      </c>
    </row>
    <row r="3245" spans="1:10" ht="15" customHeight="1" x14ac:dyDescent="0.2">
      <c r="A3245" s="120" t="s">
        <v>8135</v>
      </c>
      <c r="B3245" s="120" t="s">
        <v>3532</v>
      </c>
      <c r="C3245" s="98" t="s">
        <v>3533</v>
      </c>
      <c r="D3245" s="120" t="s">
        <v>3534</v>
      </c>
      <c r="E3245" s="98">
        <v>0</v>
      </c>
      <c r="F3245" s="120">
        <v>0</v>
      </c>
      <c r="G3245" s="121">
        <v>0</v>
      </c>
      <c r="H3245" s="123">
        <v>0</v>
      </c>
      <c r="I3245" s="122">
        <v>0</v>
      </c>
      <c r="J3245" s="124">
        <f t="shared" si="50"/>
        <v>0</v>
      </c>
    </row>
    <row r="3246" spans="1:10" ht="15" customHeight="1" x14ac:dyDescent="0.2">
      <c r="A3246" s="120" t="s">
        <v>8136</v>
      </c>
      <c r="B3246" s="120" t="s">
        <v>3532</v>
      </c>
      <c r="C3246" s="98" t="s">
        <v>3533</v>
      </c>
      <c r="D3246" s="120" t="s">
        <v>3534</v>
      </c>
      <c r="E3246" s="98">
        <v>0</v>
      </c>
      <c r="F3246" s="120">
        <v>0</v>
      </c>
      <c r="G3246" s="121">
        <v>0</v>
      </c>
      <c r="H3246" s="123">
        <v>0</v>
      </c>
      <c r="I3246" s="122">
        <v>0</v>
      </c>
      <c r="J3246" s="124">
        <f t="shared" si="50"/>
        <v>0</v>
      </c>
    </row>
    <row r="3247" spans="1:10" ht="15" customHeight="1" x14ac:dyDescent="0.2">
      <c r="A3247" s="120" t="s">
        <v>8137</v>
      </c>
      <c r="B3247" s="120" t="s">
        <v>3532</v>
      </c>
      <c r="C3247" s="98" t="s">
        <v>3533</v>
      </c>
      <c r="D3247" s="120" t="s">
        <v>3534</v>
      </c>
      <c r="E3247" s="98">
        <v>0</v>
      </c>
      <c r="F3247" s="120">
        <v>0</v>
      </c>
      <c r="G3247" s="121">
        <v>5016</v>
      </c>
      <c r="H3247" s="123">
        <v>0</v>
      </c>
      <c r="I3247" s="122">
        <v>0</v>
      </c>
      <c r="J3247" s="124">
        <f t="shared" si="50"/>
        <v>0</v>
      </c>
    </row>
    <row r="3248" spans="1:10" ht="15" customHeight="1" x14ac:dyDescent="0.2">
      <c r="A3248" s="120" t="s">
        <v>8138</v>
      </c>
      <c r="B3248" s="120" t="s">
        <v>3532</v>
      </c>
      <c r="C3248" s="98" t="s">
        <v>3533</v>
      </c>
      <c r="D3248" s="120" t="s">
        <v>3534</v>
      </c>
      <c r="E3248" s="98">
        <v>0</v>
      </c>
      <c r="F3248" s="120">
        <v>0</v>
      </c>
      <c r="G3248" s="121">
        <v>32150</v>
      </c>
      <c r="H3248" s="123">
        <v>0</v>
      </c>
      <c r="I3248" s="122">
        <v>0</v>
      </c>
      <c r="J3248" s="124">
        <f t="shared" si="50"/>
        <v>0</v>
      </c>
    </row>
    <row r="3249" spans="1:11" ht="15" customHeight="1" x14ac:dyDescent="0.2">
      <c r="A3249" s="120" t="s">
        <v>8139</v>
      </c>
      <c r="B3249" s="120" t="s">
        <v>3532</v>
      </c>
      <c r="C3249" s="98" t="s">
        <v>3533</v>
      </c>
      <c r="D3249" s="120" t="s">
        <v>3534</v>
      </c>
      <c r="E3249" s="98">
        <v>0</v>
      </c>
      <c r="F3249" s="120">
        <v>0</v>
      </c>
      <c r="G3249" s="121">
        <v>0</v>
      </c>
      <c r="H3249" s="123">
        <v>0</v>
      </c>
      <c r="I3249" s="122">
        <v>0</v>
      </c>
      <c r="J3249" s="124">
        <f t="shared" si="50"/>
        <v>0</v>
      </c>
    </row>
    <row r="3250" spans="1:11" ht="15" customHeight="1" x14ac:dyDescent="0.2">
      <c r="A3250" s="120" t="s">
        <v>8140</v>
      </c>
      <c r="B3250" s="120" t="s">
        <v>8141</v>
      </c>
      <c r="C3250" s="98" t="s">
        <v>3540</v>
      </c>
      <c r="D3250" s="120" t="s">
        <v>3534</v>
      </c>
      <c r="E3250" s="98">
        <v>0</v>
      </c>
      <c r="F3250" s="120">
        <v>0</v>
      </c>
      <c r="G3250" s="121">
        <v>0</v>
      </c>
      <c r="H3250" s="123">
        <v>0</v>
      </c>
      <c r="I3250" s="122">
        <v>0</v>
      </c>
      <c r="J3250" s="124">
        <f t="shared" si="50"/>
        <v>0</v>
      </c>
    </row>
    <row r="3251" spans="1:11" ht="15" customHeight="1" x14ac:dyDescent="0.2">
      <c r="A3251" s="120" t="s">
        <v>8142</v>
      </c>
      <c r="B3251" s="120" t="s">
        <v>8141</v>
      </c>
      <c r="C3251" s="98" t="s">
        <v>3540</v>
      </c>
      <c r="D3251" s="120" t="s">
        <v>3534</v>
      </c>
      <c r="E3251" s="98">
        <v>0</v>
      </c>
      <c r="F3251" s="120">
        <v>0</v>
      </c>
      <c r="G3251" s="121">
        <v>0</v>
      </c>
      <c r="H3251" s="123">
        <v>0</v>
      </c>
      <c r="I3251" s="122">
        <v>0</v>
      </c>
      <c r="J3251" s="124">
        <f t="shared" si="50"/>
        <v>0</v>
      </c>
    </row>
    <row r="3252" spans="1:11" ht="15" customHeight="1" x14ac:dyDescent="0.2">
      <c r="A3252" s="120" t="s">
        <v>8143</v>
      </c>
      <c r="B3252" s="120" t="s">
        <v>3532</v>
      </c>
      <c r="C3252" s="98" t="s">
        <v>3532</v>
      </c>
      <c r="D3252" s="120" t="s">
        <v>3534</v>
      </c>
      <c r="E3252" s="98">
        <v>0</v>
      </c>
      <c r="F3252" s="120">
        <v>0</v>
      </c>
      <c r="G3252" s="121">
        <v>187</v>
      </c>
      <c r="H3252" s="123">
        <v>0</v>
      </c>
      <c r="I3252" s="122">
        <v>0</v>
      </c>
      <c r="J3252" s="124">
        <f t="shared" si="50"/>
        <v>0</v>
      </c>
    </row>
    <row r="3253" spans="1:11" ht="15" customHeight="1" x14ac:dyDescent="0.2">
      <c r="A3253" s="120" t="s">
        <v>8144</v>
      </c>
      <c r="B3253" s="120" t="s">
        <v>3532</v>
      </c>
      <c r="C3253" s="98" t="s">
        <v>3532</v>
      </c>
      <c r="D3253" s="120" t="s">
        <v>3534</v>
      </c>
      <c r="E3253" s="98">
        <v>0</v>
      </c>
      <c r="F3253" s="120">
        <v>0</v>
      </c>
      <c r="G3253" s="121">
        <v>0</v>
      </c>
      <c r="H3253" s="123">
        <v>0</v>
      </c>
      <c r="I3253" s="122">
        <v>0</v>
      </c>
      <c r="J3253" s="124">
        <f t="shared" si="50"/>
        <v>0</v>
      </c>
    </row>
    <row r="3254" spans="1:11" ht="15" customHeight="1" x14ac:dyDescent="0.2">
      <c r="A3254" s="120" t="s">
        <v>8145</v>
      </c>
      <c r="B3254" s="120" t="s">
        <v>3532</v>
      </c>
      <c r="C3254" s="98" t="s">
        <v>3532</v>
      </c>
      <c r="D3254" s="120" t="s">
        <v>3534</v>
      </c>
      <c r="E3254" s="98">
        <v>0</v>
      </c>
      <c r="F3254" s="120">
        <v>0</v>
      </c>
      <c r="G3254" s="121">
        <v>0</v>
      </c>
      <c r="H3254" s="123">
        <v>0</v>
      </c>
      <c r="I3254" s="122">
        <v>0</v>
      </c>
      <c r="J3254" s="124">
        <f t="shared" si="50"/>
        <v>0</v>
      </c>
    </row>
    <row r="3255" spans="1:11" ht="15" customHeight="1" x14ac:dyDescent="0.2">
      <c r="A3255" s="120" t="s">
        <v>8146</v>
      </c>
      <c r="B3255" s="120" t="s">
        <v>3532</v>
      </c>
      <c r="C3255" s="98" t="s">
        <v>3533</v>
      </c>
      <c r="D3255" s="120" t="s">
        <v>3534</v>
      </c>
      <c r="E3255" s="98">
        <v>0</v>
      </c>
      <c r="F3255" s="120">
        <v>0</v>
      </c>
      <c r="G3255" s="121">
        <v>508</v>
      </c>
      <c r="H3255" s="123">
        <v>0</v>
      </c>
      <c r="I3255" s="122">
        <v>0</v>
      </c>
      <c r="J3255" s="124">
        <f t="shared" si="50"/>
        <v>0</v>
      </c>
    </row>
    <row r="3256" spans="1:11" ht="15" customHeight="1" x14ac:dyDescent="0.2">
      <c r="A3256" s="120" t="s">
        <v>8147</v>
      </c>
      <c r="B3256" s="120" t="s">
        <v>8141</v>
      </c>
      <c r="C3256" s="98" t="s">
        <v>3533</v>
      </c>
      <c r="D3256" s="120" t="s">
        <v>3534</v>
      </c>
      <c r="E3256" s="98">
        <v>0</v>
      </c>
      <c r="F3256" s="120">
        <v>0</v>
      </c>
      <c r="G3256" s="121">
        <v>599</v>
      </c>
      <c r="H3256" s="123">
        <v>0</v>
      </c>
      <c r="I3256" s="122">
        <v>0</v>
      </c>
      <c r="J3256" s="124">
        <f t="shared" si="50"/>
        <v>0</v>
      </c>
    </row>
    <row r="3257" spans="1:11" ht="15" customHeight="1" x14ac:dyDescent="0.2">
      <c r="A3257" s="120" t="s">
        <v>8148</v>
      </c>
      <c r="B3257" s="120" t="s">
        <v>8141</v>
      </c>
      <c r="C3257" s="98" t="s">
        <v>3533</v>
      </c>
      <c r="D3257" s="120" t="s">
        <v>3534</v>
      </c>
      <c r="E3257" s="98">
        <v>0</v>
      </c>
      <c r="F3257" s="120">
        <v>0</v>
      </c>
      <c r="G3257" s="121">
        <v>45</v>
      </c>
      <c r="H3257" s="123">
        <v>0</v>
      </c>
      <c r="I3257" s="122">
        <v>0</v>
      </c>
      <c r="J3257" s="124">
        <f t="shared" si="50"/>
        <v>0</v>
      </c>
      <c r="K3257" s="98" t="s">
        <v>8149</v>
      </c>
    </row>
    <row r="3258" spans="1:11" ht="15" customHeight="1" x14ac:dyDescent="0.2">
      <c r="A3258" s="120" t="s">
        <v>8150</v>
      </c>
      <c r="B3258" s="120" t="s">
        <v>8141</v>
      </c>
      <c r="C3258" s="98" t="s">
        <v>3533</v>
      </c>
      <c r="D3258" s="120" t="s">
        <v>3534</v>
      </c>
      <c r="E3258" s="98">
        <v>0</v>
      </c>
      <c r="F3258" s="120">
        <v>0</v>
      </c>
      <c r="G3258" s="121">
        <v>629</v>
      </c>
      <c r="H3258" s="123">
        <v>0</v>
      </c>
      <c r="I3258" s="122">
        <v>0</v>
      </c>
      <c r="J3258" s="124">
        <f t="shared" si="50"/>
        <v>0</v>
      </c>
    </row>
    <row r="3259" spans="1:11" ht="15" customHeight="1" x14ac:dyDescent="0.2">
      <c r="A3259" s="120" t="s">
        <v>8151</v>
      </c>
      <c r="B3259" s="120" t="s">
        <v>3532</v>
      </c>
      <c r="C3259" s="98" t="s">
        <v>3533</v>
      </c>
      <c r="D3259" s="120" t="s">
        <v>3534</v>
      </c>
      <c r="E3259" s="98">
        <v>0</v>
      </c>
      <c r="F3259" s="120">
        <v>0</v>
      </c>
      <c r="G3259" s="121">
        <v>1525</v>
      </c>
      <c r="H3259" s="123">
        <v>0</v>
      </c>
      <c r="I3259" s="122">
        <v>0</v>
      </c>
      <c r="J3259" s="124">
        <f t="shared" si="50"/>
        <v>0</v>
      </c>
    </row>
    <row r="3260" spans="1:11" ht="15" customHeight="1" x14ac:dyDescent="0.2">
      <c r="A3260" s="120" t="s">
        <v>8152</v>
      </c>
      <c r="B3260" s="120" t="s">
        <v>8141</v>
      </c>
      <c r="C3260" s="98" t="s">
        <v>3533</v>
      </c>
      <c r="D3260" s="120" t="s">
        <v>3534</v>
      </c>
      <c r="E3260" s="98">
        <v>0</v>
      </c>
      <c r="F3260" s="120">
        <v>0</v>
      </c>
      <c r="G3260" s="121">
        <v>400</v>
      </c>
      <c r="H3260" s="123">
        <v>0</v>
      </c>
      <c r="I3260" s="122">
        <v>0</v>
      </c>
      <c r="J3260" s="124">
        <f t="shared" si="50"/>
        <v>0</v>
      </c>
    </row>
    <row r="3261" spans="1:11" ht="15" customHeight="1" x14ac:dyDescent="0.2">
      <c r="A3261" s="120" t="s">
        <v>8153</v>
      </c>
      <c r="B3261" s="120" t="s">
        <v>8141</v>
      </c>
      <c r="C3261" s="98" t="s">
        <v>3532</v>
      </c>
      <c r="D3261" s="120" t="s">
        <v>3534</v>
      </c>
      <c r="E3261" s="98">
        <v>0</v>
      </c>
      <c r="F3261" s="120">
        <v>0</v>
      </c>
      <c r="G3261" s="121">
        <v>0</v>
      </c>
      <c r="H3261" s="123">
        <v>0</v>
      </c>
      <c r="I3261" s="122">
        <v>0</v>
      </c>
      <c r="J3261" s="124">
        <f t="shared" si="50"/>
        <v>0</v>
      </c>
    </row>
    <row r="3262" spans="1:11" ht="15" customHeight="1" x14ac:dyDescent="0.2">
      <c r="A3262" s="120" t="s">
        <v>8154</v>
      </c>
      <c r="B3262" s="120" t="s">
        <v>8141</v>
      </c>
      <c r="C3262" s="98" t="s">
        <v>3533</v>
      </c>
      <c r="D3262" s="120" t="s">
        <v>3534</v>
      </c>
      <c r="E3262" s="98">
        <v>0</v>
      </c>
      <c r="F3262" s="120">
        <v>0</v>
      </c>
      <c r="G3262" s="121">
        <v>140</v>
      </c>
      <c r="H3262" s="123">
        <v>0</v>
      </c>
      <c r="I3262" s="122">
        <v>0</v>
      </c>
      <c r="J3262" s="124">
        <f t="shared" si="50"/>
        <v>0</v>
      </c>
    </row>
    <row r="3263" spans="1:11" ht="15" customHeight="1" x14ac:dyDescent="0.2">
      <c r="A3263" s="120" t="s">
        <v>8155</v>
      </c>
      <c r="B3263" s="120" t="s">
        <v>3532</v>
      </c>
      <c r="C3263" s="98" t="s">
        <v>3532</v>
      </c>
      <c r="D3263" s="120" t="s">
        <v>3534</v>
      </c>
      <c r="E3263" s="98">
        <v>0</v>
      </c>
      <c r="F3263" s="120">
        <v>0</v>
      </c>
      <c r="G3263" s="121">
        <v>762</v>
      </c>
      <c r="H3263" s="123">
        <v>0</v>
      </c>
      <c r="I3263" s="122">
        <v>0</v>
      </c>
      <c r="J3263" s="124">
        <f t="shared" si="50"/>
        <v>0</v>
      </c>
    </row>
    <row r="3264" spans="1:11" ht="15" customHeight="1" x14ac:dyDescent="0.2">
      <c r="A3264" s="120" t="s">
        <v>8156</v>
      </c>
      <c r="B3264" s="120" t="s">
        <v>8141</v>
      </c>
      <c r="C3264" s="98" t="s">
        <v>3533</v>
      </c>
      <c r="D3264" s="120" t="s">
        <v>3534</v>
      </c>
      <c r="E3264" s="98">
        <v>0</v>
      </c>
      <c r="F3264" s="120">
        <v>0</v>
      </c>
      <c r="G3264" s="121">
        <v>227</v>
      </c>
      <c r="H3264" s="123">
        <v>0</v>
      </c>
      <c r="I3264" s="122">
        <v>0</v>
      </c>
      <c r="J3264" s="124">
        <f t="shared" si="50"/>
        <v>0</v>
      </c>
    </row>
    <row r="3265" spans="1:10" ht="15" customHeight="1" x14ac:dyDescent="0.2">
      <c r="A3265" s="120" t="s">
        <v>8157</v>
      </c>
      <c r="B3265" s="120" t="s">
        <v>8141</v>
      </c>
      <c r="C3265" s="98" t="s">
        <v>3533</v>
      </c>
      <c r="D3265" s="120" t="s">
        <v>3534</v>
      </c>
      <c r="E3265" s="98">
        <v>0</v>
      </c>
      <c r="F3265" s="120">
        <v>0</v>
      </c>
      <c r="G3265" s="121">
        <v>275</v>
      </c>
      <c r="H3265" s="123">
        <v>0</v>
      </c>
      <c r="I3265" s="122">
        <v>0</v>
      </c>
      <c r="J3265" s="124">
        <f t="shared" si="50"/>
        <v>0</v>
      </c>
    </row>
    <row r="3266" spans="1:10" ht="15" customHeight="1" x14ac:dyDescent="0.2">
      <c r="A3266" s="120" t="s">
        <v>8158</v>
      </c>
      <c r="B3266" s="120" t="s">
        <v>8141</v>
      </c>
      <c r="C3266" s="98" t="s">
        <v>3533</v>
      </c>
      <c r="D3266" s="120" t="s">
        <v>3534</v>
      </c>
      <c r="E3266" s="98">
        <v>0</v>
      </c>
      <c r="F3266" s="120">
        <v>0</v>
      </c>
      <c r="G3266" s="121">
        <v>208</v>
      </c>
      <c r="H3266" s="123">
        <v>0</v>
      </c>
      <c r="I3266" s="122">
        <v>0</v>
      </c>
      <c r="J3266" s="124">
        <f t="shared" ref="J3266:J3329" si="51">IF(D3266="gm", E3266*1000,+E3266)</f>
        <v>0</v>
      </c>
    </row>
    <row r="3267" spans="1:10" ht="15" customHeight="1" x14ac:dyDescent="0.2">
      <c r="A3267" s="120" t="s">
        <v>8159</v>
      </c>
      <c r="B3267" s="120" t="s">
        <v>3532</v>
      </c>
      <c r="C3267" s="98" t="s">
        <v>3532</v>
      </c>
      <c r="D3267" s="120" t="s">
        <v>3534</v>
      </c>
      <c r="E3267" s="98">
        <v>0</v>
      </c>
      <c r="F3267" s="120">
        <v>0</v>
      </c>
      <c r="G3267" s="121">
        <v>355</v>
      </c>
      <c r="H3267" s="123">
        <v>0</v>
      </c>
      <c r="I3267" s="122">
        <v>0</v>
      </c>
      <c r="J3267" s="124">
        <f t="shared" si="51"/>
        <v>0</v>
      </c>
    </row>
    <row r="3268" spans="1:10" ht="15" customHeight="1" x14ac:dyDescent="0.2">
      <c r="A3268" s="120" t="s">
        <v>8160</v>
      </c>
      <c r="B3268" s="120" t="s">
        <v>3532</v>
      </c>
      <c r="C3268" s="98" t="s">
        <v>3533</v>
      </c>
      <c r="D3268" s="120" t="s">
        <v>3534</v>
      </c>
      <c r="E3268" s="98">
        <v>0</v>
      </c>
      <c r="F3268" s="120">
        <v>0</v>
      </c>
      <c r="G3268" s="121">
        <v>0</v>
      </c>
      <c r="H3268" s="123">
        <v>0</v>
      </c>
      <c r="I3268" s="122">
        <v>0</v>
      </c>
      <c r="J3268" s="124">
        <f t="shared" si="51"/>
        <v>0</v>
      </c>
    </row>
    <row r="3269" spans="1:10" ht="15" customHeight="1" x14ac:dyDescent="0.2">
      <c r="A3269" s="120" t="s">
        <v>8160</v>
      </c>
      <c r="B3269" s="120" t="s">
        <v>3532</v>
      </c>
      <c r="C3269" s="98" t="s">
        <v>3533</v>
      </c>
      <c r="D3269" s="120" t="s">
        <v>3534</v>
      </c>
      <c r="E3269" s="98">
        <v>0</v>
      </c>
      <c r="F3269" s="120">
        <v>0</v>
      </c>
      <c r="G3269" s="121">
        <v>3000</v>
      </c>
      <c r="H3269" s="123">
        <v>0</v>
      </c>
      <c r="I3269" s="122">
        <v>0</v>
      </c>
      <c r="J3269" s="124">
        <f t="shared" si="51"/>
        <v>0</v>
      </c>
    </row>
    <row r="3270" spans="1:10" ht="15" customHeight="1" x14ac:dyDescent="0.2">
      <c r="A3270" s="120" t="s">
        <v>8161</v>
      </c>
      <c r="B3270" s="120" t="s">
        <v>3532</v>
      </c>
      <c r="C3270" s="98" t="s">
        <v>3533</v>
      </c>
      <c r="D3270" s="120" t="s">
        <v>3534</v>
      </c>
      <c r="E3270" s="98">
        <v>0</v>
      </c>
      <c r="F3270" s="120">
        <v>0</v>
      </c>
      <c r="G3270" s="121">
        <v>1147</v>
      </c>
      <c r="H3270" s="123">
        <v>0</v>
      </c>
      <c r="I3270" s="122">
        <v>0</v>
      </c>
      <c r="J3270" s="124">
        <f t="shared" si="51"/>
        <v>0</v>
      </c>
    </row>
    <row r="3271" spans="1:10" ht="15" customHeight="1" x14ac:dyDescent="0.2">
      <c r="A3271" s="120" t="s">
        <v>8162</v>
      </c>
      <c r="B3271" s="120" t="s">
        <v>8141</v>
      </c>
      <c r="C3271" s="98" t="s">
        <v>3533</v>
      </c>
      <c r="D3271" s="120" t="s">
        <v>3534</v>
      </c>
      <c r="E3271" s="98">
        <v>0</v>
      </c>
      <c r="F3271" s="120">
        <v>0</v>
      </c>
      <c r="G3271" s="121">
        <v>0</v>
      </c>
      <c r="H3271" s="123">
        <v>0</v>
      </c>
      <c r="I3271" s="122">
        <v>0</v>
      </c>
      <c r="J3271" s="124">
        <f t="shared" si="51"/>
        <v>0</v>
      </c>
    </row>
    <row r="3272" spans="1:10" ht="15" customHeight="1" x14ac:dyDescent="0.2">
      <c r="A3272" s="120" t="s">
        <v>8163</v>
      </c>
      <c r="B3272" s="120" t="s">
        <v>8164</v>
      </c>
      <c r="C3272" s="98" t="s">
        <v>3533</v>
      </c>
      <c r="D3272" s="120" t="s">
        <v>3534</v>
      </c>
      <c r="E3272" s="98">
        <v>0</v>
      </c>
      <c r="F3272" s="120">
        <v>0</v>
      </c>
      <c r="G3272" s="121">
        <v>560</v>
      </c>
      <c r="H3272" s="123">
        <v>0</v>
      </c>
      <c r="I3272" s="122">
        <v>0</v>
      </c>
      <c r="J3272" s="124">
        <f t="shared" si="51"/>
        <v>0</v>
      </c>
    </row>
    <row r="3273" spans="1:10" ht="15" customHeight="1" x14ac:dyDescent="0.2">
      <c r="A3273" s="120" t="s">
        <v>8165</v>
      </c>
      <c r="B3273" s="120" t="s">
        <v>3532</v>
      </c>
      <c r="C3273" s="98" t="s">
        <v>3532</v>
      </c>
      <c r="D3273" s="120" t="s">
        <v>3534</v>
      </c>
      <c r="E3273" s="98">
        <v>0</v>
      </c>
      <c r="F3273" s="120">
        <v>0</v>
      </c>
      <c r="G3273" s="121">
        <v>0</v>
      </c>
      <c r="H3273" s="123">
        <v>0</v>
      </c>
      <c r="I3273" s="122">
        <v>0</v>
      </c>
      <c r="J3273" s="124">
        <f t="shared" si="51"/>
        <v>0</v>
      </c>
    </row>
    <row r="3274" spans="1:10" ht="15" customHeight="1" x14ac:dyDescent="0.2">
      <c r="A3274" s="120" t="s">
        <v>8166</v>
      </c>
      <c r="B3274" s="120" t="s">
        <v>3532</v>
      </c>
      <c r="C3274" s="98" t="s">
        <v>3532</v>
      </c>
      <c r="D3274" s="120" t="s">
        <v>3534</v>
      </c>
      <c r="E3274" s="98">
        <v>0</v>
      </c>
      <c r="F3274" s="120">
        <v>0</v>
      </c>
      <c r="G3274" s="121">
        <v>0</v>
      </c>
      <c r="H3274" s="123">
        <v>0</v>
      </c>
      <c r="I3274" s="122">
        <v>0</v>
      </c>
      <c r="J3274" s="124">
        <f t="shared" si="51"/>
        <v>0</v>
      </c>
    </row>
    <row r="3275" spans="1:10" ht="15" customHeight="1" x14ac:dyDescent="0.2">
      <c r="A3275" s="120" t="s">
        <v>8167</v>
      </c>
      <c r="B3275" s="120" t="s">
        <v>3532</v>
      </c>
      <c r="C3275" s="98" t="s">
        <v>3532</v>
      </c>
      <c r="D3275" s="120" t="s">
        <v>3534</v>
      </c>
      <c r="E3275" s="98">
        <v>0</v>
      </c>
      <c r="F3275" s="120">
        <v>0</v>
      </c>
      <c r="G3275" s="121">
        <v>0</v>
      </c>
      <c r="H3275" s="123">
        <v>0</v>
      </c>
      <c r="I3275" s="122">
        <v>0</v>
      </c>
      <c r="J3275" s="124">
        <f t="shared" si="51"/>
        <v>0</v>
      </c>
    </row>
    <row r="3276" spans="1:10" ht="15" customHeight="1" x14ac:dyDescent="0.2">
      <c r="A3276" s="120" t="s">
        <v>8168</v>
      </c>
      <c r="B3276" s="120" t="s">
        <v>3532</v>
      </c>
      <c r="C3276" s="98" t="s">
        <v>3532</v>
      </c>
      <c r="D3276" s="120" t="s">
        <v>3534</v>
      </c>
      <c r="E3276" s="98">
        <v>0</v>
      </c>
      <c r="F3276" s="120">
        <v>0</v>
      </c>
      <c r="G3276" s="121">
        <v>0</v>
      </c>
      <c r="H3276" s="123">
        <v>0</v>
      </c>
      <c r="I3276" s="122">
        <v>0</v>
      </c>
      <c r="J3276" s="124">
        <f t="shared" si="51"/>
        <v>0</v>
      </c>
    </row>
    <row r="3277" spans="1:10" ht="15" customHeight="1" x14ac:dyDescent="0.2">
      <c r="A3277" s="120" t="s">
        <v>8169</v>
      </c>
      <c r="B3277" s="120" t="s">
        <v>3532</v>
      </c>
      <c r="C3277" s="98" t="s">
        <v>3532</v>
      </c>
      <c r="D3277" s="120" t="s">
        <v>3563</v>
      </c>
      <c r="E3277" s="98">
        <v>0</v>
      </c>
      <c r="F3277" s="120">
        <v>0</v>
      </c>
      <c r="G3277" s="121">
        <v>0</v>
      </c>
      <c r="H3277" s="123">
        <v>0</v>
      </c>
      <c r="I3277" s="122">
        <v>0</v>
      </c>
      <c r="J3277" s="124">
        <f t="shared" si="51"/>
        <v>0</v>
      </c>
    </row>
    <row r="3278" spans="1:10" ht="15" customHeight="1" x14ac:dyDescent="0.2">
      <c r="A3278" s="120" t="s">
        <v>8170</v>
      </c>
      <c r="B3278" s="120" t="s">
        <v>8171</v>
      </c>
      <c r="C3278" s="98" t="s">
        <v>3533</v>
      </c>
      <c r="D3278" s="120" t="s">
        <v>3534</v>
      </c>
      <c r="E3278" s="98">
        <v>0</v>
      </c>
      <c r="F3278" s="120">
        <v>0</v>
      </c>
      <c r="G3278" s="121">
        <v>45</v>
      </c>
      <c r="H3278" s="123">
        <v>0</v>
      </c>
      <c r="I3278" s="122">
        <v>0</v>
      </c>
      <c r="J3278" s="124">
        <f t="shared" si="51"/>
        <v>0</v>
      </c>
    </row>
    <row r="3279" spans="1:10" ht="15" customHeight="1" x14ac:dyDescent="0.2">
      <c r="A3279" s="120" t="s">
        <v>8172</v>
      </c>
      <c r="B3279" s="120" t="s">
        <v>3532</v>
      </c>
      <c r="C3279" s="98" t="s">
        <v>3532</v>
      </c>
      <c r="D3279" s="120" t="s">
        <v>3534</v>
      </c>
      <c r="E3279" s="98">
        <v>0</v>
      </c>
      <c r="F3279" s="120">
        <v>0</v>
      </c>
      <c r="G3279" s="121">
        <v>56</v>
      </c>
      <c r="H3279" s="123">
        <v>0</v>
      </c>
      <c r="I3279" s="122">
        <v>0</v>
      </c>
      <c r="J3279" s="124">
        <f t="shared" si="51"/>
        <v>0</v>
      </c>
    </row>
    <row r="3280" spans="1:10" ht="15" customHeight="1" x14ac:dyDescent="0.2">
      <c r="A3280" s="120" t="s">
        <v>8173</v>
      </c>
      <c r="B3280" s="120" t="s">
        <v>3532</v>
      </c>
      <c r="C3280" s="98" t="s">
        <v>3532</v>
      </c>
      <c r="D3280" s="120" t="s">
        <v>3534</v>
      </c>
      <c r="E3280" s="98">
        <v>0</v>
      </c>
      <c r="F3280" s="120">
        <v>0</v>
      </c>
      <c r="G3280" s="121">
        <v>0</v>
      </c>
      <c r="H3280" s="123">
        <v>0</v>
      </c>
      <c r="I3280" s="122">
        <v>0</v>
      </c>
      <c r="J3280" s="124">
        <f t="shared" si="51"/>
        <v>0</v>
      </c>
    </row>
    <row r="3281" spans="1:10" ht="15" customHeight="1" x14ac:dyDescent="0.2">
      <c r="A3281" s="120" t="s">
        <v>8174</v>
      </c>
      <c r="B3281" s="120" t="s">
        <v>3532</v>
      </c>
      <c r="C3281" s="98" t="s">
        <v>3533</v>
      </c>
      <c r="D3281" s="120" t="s">
        <v>3534</v>
      </c>
      <c r="E3281" s="98">
        <v>0</v>
      </c>
      <c r="F3281" s="120">
        <v>0</v>
      </c>
      <c r="G3281" s="121">
        <v>77</v>
      </c>
      <c r="H3281" s="123">
        <v>0</v>
      </c>
      <c r="I3281" s="122">
        <v>0</v>
      </c>
      <c r="J3281" s="124">
        <f t="shared" si="51"/>
        <v>0</v>
      </c>
    </row>
    <row r="3282" spans="1:10" ht="15" customHeight="1" x14ac:dyDescent="0.2">
      <c r="A3282" s="120" t="s">
        <v>8175</v>
      </c>
      <c r="B3282" s="120" t="s">
        <v>3532</v>
      </c>
      <c r="C3282" s="98" t="s">
        <v>3533</v>
      </c>
      <c r="D3282" s="120" t="s">
        <v>3563</v>
      </c>
      <c r="E3282" s="98">
        <v>0</v>
      </c>
      <c r="F3282" s="120">
        <v>0</v>
      </c>
      <c r="G3282" s="121">
        <v>0</v>
      </c>
      <c r="H3282" s="123">
        <v>0</v>
      </c>
      <c r="I3282" s="122">
        <v>0</v>
      </c>
      <c r="J3282" s="124">
        <f t="shared" si="51"/>
        <v>0</v>
      </c>
    </row>
    <row r="3283" spans="1:10" ht="15" customHeight="1" x14ac:dyDescent="0.2">
      <c r="A3283" s="120" t="s">
        <v>6802</v>
      </c>
      <c r="B3283" s="120" t="s">
        <v>8171</v>
      </c>
      <c r="C3283" s="98" t="s">
        <v>3533</v>
      </c>
      <c r="D3283" s="120" t="s">
        <v>3563</v>
      </c>
      <c r="E3283" s="98">
        <v>0</v>
      </c>
      <c r="F3283" s="120">
        <v>0</v>
      </c>
      <c r="G3283" s="121">
        <v>0</v>
      </c>
      <c r="H3283" s="123">
        <v>0</v>
      </c>
      <c r="I3283" s="122">
        <v>0</v>
      </c>
      <c r="J3283" s="124">
        <f t="shared" si="51"/>
        <v>0</v>
      </c>
    </row>
    <row r="3284" spans="1:10" ht="15" customHeight="1" x14ac:dyDescent="0.2">
      <c r="A3284" s="120" t="s">
        <v>6959</v>
      </c>
      <c r="B3284" s="120" t="s">
        <v>3532</v>
      </c>
      <c r="C3284" s="98" t="s">
        <v>3533</v>
      </c>
      <c r="D3284" s="120" t="s">
        <v>3563</v>
      </c>
      <c r="E3284" s="98">
        <v>0</v>
      </c>
      <c r="F3284" s="120">
        <v>0</v>
      </c>
      <c r="G3284" s="121">
        <v>6840</v>
      </c>
      <c r="H3284" s="123">
        <v>0</v>
      </c>
      <c r="I3284" s="122">
        <v>0</v>
      </c>
      <c r="J3284" s="124">
        <f t="shared" si="51"/>
        <v>0</v>
      </c>
    </row>
    <row r="3285" spans="1:10" ht="15" customHeight="1" x14ac:dyDescent="0.2">
      <c r="A3285" s="120" t="s">
        <v>8176</v>
      </c>
      <c r="B3285" s="120" t="s">
        <v>3532</v>
      </c>
      <c r="C3285" s="98" t="s">
        <v>3533</v>
      </c>
      <c r="D3285" s="120" t="s">
        <v>3563</v>
      </c>
      <c r="E3285" s="98">
        <v>0</v>
      </c>
      <c r="F3285" s="120">
        <v>0</v>
      </c>
      <c r="G3285" s="121">
        <v>0</v>
      </c>
      <c r="H3285" s="123">
        <v>0</v>
      </c>
      <c r="I3285" s="122">
        <v>0</v>
      </c>
      <c r="J3285" s="124">
        <f t="shared" si="51"/>
        <v>0</v>
      </c>
    </row>
    <row r="3286" spans="1:10" ht="15" customHeight="1" x14ac:dyDescent="0.2">
      <c r="A3286" s="120" t="s">
        <v>8177</v>
      </c>
      <c r="B3286" s="120" t="s">
        <v>3532</v>
      </c>
      <c r="C3286" s="98" t="s">
        <v>3533</v>
      </c>
      <c r="D3286" s="120" t="s">
        <v>3563</v>
      </c>
      <c r="E3286" s="98">
        <v>0</v>
      </c>
      <c r="F3286" s="120">
        <v>0</v>
      </c>
      <c r="G3286" s="121">
        <v>8076</v>
      </c>
      <c r="H3286" s="123">
        <v>0</v>
      </c>
      <c r="I3286" s="122">
        <v>0</v>
      </c>
      <c r="J3286" s="124">
        <f t="shared" si="51"/>
        <v>0</v>
      </c>
    </row>
    <row r="3287" spans="1:10" ht="15" customHeight="1" x14ac:dyDescent="0.2">
      <c r="A3287" s="120" t="s">
        <v>8178</v>
      </c>
      <c r="B3287" s="120" t="s">
        <v>3532</v>
      </c>
      <c r="C3287" s="98" t="s">
        <v>3533</v>
      </c>
      <c r="D3287" s="120" t="s">
        <v>3563</v>
      </c>
      <c r="E3287" s="98">
        <v>0</v>
      </c>
      <c r="F3287" s="120">
        <v>0</v>
      </c>
      <c r="G3287" s="121">
        <v>10580</v>
      </c>
      <c r="H3287" s="123">
        <v>0</v>
      </c>
      <c r="I3287" s="122">
        <v>0</v>
      </c>
      <c r="J3287" s="124">
        <f t="shared" si="51"/>
        <v>0</v>
      </c>
    </row>
    <row r="3288" spans="1:10" ht="15" customHeight="1" x14ac:dyDescent="0.2">
      <c r="A3288" s="120" t="s">
        <v>8179</v>
      </c>
      <c r="B3288" s="120" t="s">
        <v>3532</v>
      </c>
      <c r="C3288" s="98" t="s">
        <v>3532</v>
      </c>
      <c r="D3288" s="120" t="s">
        <v>3563</v>
      </c>
      <c r="E3288" s="98">
        <v>0</v>
      </c>
      <c r="F3288" s="120">
        <v>0</v>
      </c>
      <c r="G3288" s="121">
        <v>0</v>
      </c>
      <c r="H3288" s="123">
        <v>0</v>
      </c>
      <c r="I3288" s="122">
        <v>0</v>
      </c>
      <c r="J3288" s="124">
        <f t="shared" si="51"/>
        <v>0</v>
      </c>
    </row>
    <row r="3289" spans="1:10" ht="15" customHeight="1" x14ac:dyDescent="0.2">
      <c r="A3289" s="120" t="s">
        <v>8180</v>
      </c>
      <c r="B3289" s="120" t="s">
        <v>3532</v>
      </c>
      <c r="C3289" s="98" t="s">
        <v>3533</v>
      </c>
      <c r="D3289" s="120" t="s">
        <v>3534</v>
      </c>
      <c r="E3289" s="98">
        <v>0</v>
      </c>
      <c r="F3289" s="120">
        <v>0</v>
      </c>
      <c r="G3289" s="121">
        <v>249</v>
      </c>
      <c r="H3289" s="123">
        <v>0</v>
      </c>
      <c r="I3289" s="122">
        <v>0</v>
      </c>
      <c r="J3289" s="124">
        <f t="shared" si="51"/>
        <v>0</v>
      </c>
    </row>
    <row r="3290" spans="1:10" ht="15" customHeight="1" x14ac:dyDescent="0.2">
      <c r="A3290" s="120" t="s">
        <v>8181</v>
      </c>
      <c r="B3290" s="120" t="s">
        <v>3532</v>
      </c>
      <c r="C3290" s="98" t="s">
        <v>3532</v>
      </c>
      <c r="D3290" s="120" t="s">
        <v>3534</v>
      </c>
      <c r="E3290" s="98">
        <v>0</v>
      </c>
      <c r="F3290" s="120">
        <v>0</v>
      </c>
      <c r="G3290" s="121">
        <v>0</v>
      </c>
      <c r="H3290" s="123">
        <v>0</v>
      </c>
      <c r="I3290" s="122">
        <v>0</v>
      </c>
      <c r="J3290" s="124">
        <f t="shared" si="51"/>
        <v>0</v>
      </c>
    </row>
    <row r="3291" spans="1:10" ht="15" customHeight="1" x14ac:dyDescent="0.2">
      <c r="A3291" s="120" t="s">
        <v>8182</v>
      </c>
      <c r="B3291" s="120" t="s">
        <v>3532</v>
      </c>
      <c r="C3291" s="98" t="s">
        <v>3532</v>
      </c>
      <c r="D3291" s="120" t="s">
        <v>3534</v>
      </c>
      <c r="E3291" s="98">
        <v>0</v>
      </c>
      <c r="F3291" s="120">
        <v>0</v>
      </c>
      <c r="G3291" s="121">
        <v>0</v>
      </c>
      <c r="H3291" s="123">
        <v>0</v>
      </c>
      <c r="I3291" s="122">
        <v>0</v>
      </c>
      <c r="J3291" s="124">
        <f t="shared" si="51"/>
        <v>0</v>
      </c>
    </row>
    <row r="3292" spans="1:10" ht="15" customHeight="1" x14ac:dyDescent="0.2">
      <c r="A3292" s="120" t="s">
        <v>8183</v>
      </c>
      <c r="B3292" s="120" t="s">
        <v>3532</v>
      </c>
      <c r="C3292" s="98" t="s">
        <v>3532</v>
      </c>
      <c r="D3292" s="120" t="s">
        <v>3534</v>
      </c>
      <c r="E3292" s="98">
        <v>0</v>
      </c>
      <c r="F3292" s="120">
        <v>0</v>
      </c>
      <c r="G3292" s="121">
        <v>0</v>
      </c>
      <c r="H3292" s="123">
        <v>0</v>
      </c>
      <c r="I3292" s="122">
        <v>0</v>
      </c>
      <c r="J3292" s="124">
        <f t="shared" si="51"/>
        <v>0</v>
      </c>
    </row>
    <row r="3293" spans="1:10" ht="15" customHeight="1" x14ac:dyDescent="0.2">
      <c r="A3293" s="120" t="s">
        <v>8184</v>
      </c>
      <c r="B3293" s="120" t="s">
        <v>8185</v>
      </c>
      <c r="C3293" s="98" t="s">
        <v>3566</v>
      </c>
      <c r="D3293" s="120" t="s">
        <v>3534</v>
      </c>
      <c r="E3293" s="98">
        <v>0</v>
      </c>
      <c r="F3293" s="120">
        <v>0</v>
      </c>
      <c r="G3293" s="121">
        <v>0</v>
      </c>
      <c r="H3293" s="123">
        <v>0</v>
      </c>
      <c r="I3293" s="122">
        <v>0</v>
      </c>
      <c r="J3293" s="124">
        <f t="shared" si="51"/>
        <v>0</v>
      </c>
    </row>
    <row r="3294" spans="1:10" ht="15" customHeight="1" x14ac:dyDescent="0.2">
      <c r="A3294" s="120" t="s">
        <v>8186</v>
      </c>
      <c r="B3294" s="120" t="s">
        <v>8187</v>
      </c>
      <c r="C3294" s="98" t="s">
        <v>3533</v>
      </c>
      <c r="D3294" s="120" t="s">
        <v>3534</v>
      </c>
      <c r="E3294" s="98">
        <v>0</v>
      </c>
      <c r="F3294" s="120">
        <v>0</v>
      </c>
      <c r="G3294" s="121">
        <v>0</v>
      </c>
      <c r="H3294" s="123">
        <v>0</v>
      </c>
      <c r="I3294" s="122">
        <v>0</v>
      </c>
      <c r="J3294" s="124">
        <f t="shared" si="51"/>
        <v>0</v>
      </c>
    </row>
    <row r="3295" spans="1:10" ht="15" customHeight="1" x14ac:dyDescent="0.2">
      <c r="A3295" s="120" t="s">
        <v>8188</v>
      </c>
      <c r="B3295" s="120" t="s">
        <v>3532</v>
      </c>
      <c r="C3295" s="98" t="s">
        <v>3533</v>
      </c>
      <c r="D3295" s="120" t="s">
        <v>3534</v>
      </c>
      <c r="E3295" s="98">
        <v>0</v>
      </c>
      <c r="F3295" s="120">
        <v>0</v>
      </c>
      <c r="G3295" s="121">
        <v>0</v>
      </c>
      <c r="H3295" s="123">
        <v>0</v>
      </c>
      <c r="I3295" s="122">
        <v>0</v>
      </c>
      <c r="J3295" s="124">
        <f t="shared" si="51"/>
        <v>0</v>
      </c>
    </row>
    <row r="3296" spans="1:10" ht="15" customHeight="1" x14ac:dyDescent="0.2">
      <c r="A3296" s="120" t="s">
        <v>8189</v>
      </c>
      <c r="B3296" s="120" t="s">
        <v>8185</v>
      </c>
      <c r="C3296" s="98" t="s">
        <v>3533</v>
      </c>
      <c r="D3296" s="120" t="s">
        <v>3563</v>
      </c>
      <c r="E3296" s="98">
        <v>0</v>
      </c>
      <c r="F3296" s="120">
        <v>0</v>
      </c>
      <c r="G3296" s="121">
        <v>0</v>
      </c>
      <c r="H3296" s="123">
        <v>0</v>
      </c>
      <c r="I3296" s="122">
        <v>0</v>
      </c>
      <c r="J3296" s="124">
        <f t="shared" si="51"/>
        <v>0</v>
      </c>
    </row>
    <row r="3297" spans="1:10" ht="15" customHeight="1" x14ac:dyDescent="0.2">
      <c r="A3297" s="120" t="s">
        <v>8190</v>
      </c>
      <c r="B3297" s="120" t="s">
        <v>3532</v>
      </c>
      <c r="C3297" s="98" t="s">
        <v>3533</v>
      </c>
      <c r="D3297" s="120" t="s">
        <v>3563</v>
      </c>
      <c r="E3297" s="98">
        <v>0</v>
      </c>
      <c r="F3297" s="120">
        <v>0</v>
      </c>
      <c r="G3297" s="121">
        <v>0</v>
      </c>
      <c r="H3297" s="123">
        <v>0</v>
      </c>
      <c r="I3297" s="122">
        <v>0</v>
      </c>
      <c r="J3297" s="124">
        <f t="shared" si="51"/>
        <v>0</v>
      </c>
    </row>
    <row r="3298" spans="1:10" ht="15" customHeight="1" x14ac:dyDescent="0.2">
      <c r="A3298" s="120" t="s">
        <v>8191</v>
      </c>
      <c r="B3298" s="120" t="s">
        <v>8185</v>
      </c>
      <c r="C3298" s="98" t="s">
        <v>3532</v>
      </c>
      <c r="D3298" s="120" t="s">
        <v>3534</v>
      </c>
      <c r="E3298" s="98">
        <v>0</v>
      </c>
      <c r="F3298" s="120">
        <v>0</v>
      </c>
      <c r="G3298" s="121">
        <v>0</v>
      </c>
      <c r="H3298" s="123">
        <v>0</v>
      </c>
      <c r="I3298" s="122">
        <v>0</v>
      </c>
      <c r="J3298" s="124">
        <f t="shared" si="51"/>
        <v>0</v>
      </c>
    </row>
    <row r="3299" spans="1:10" ht="15" customHeight="1" x14ac:dyDescent="0.2">
      <c r="A3299" s="120" t="s">
        <v>8192</v>
      </c>
      <c r="B3299" s="120" t="s">
        <v>3532</v>
      </c>
      <c r="C3299" s="98" t="s">
        <v>3532</v>
      </c>
      <c r="D3299" s="120" t="s">
        <v>3534</v>
      </c>
      <c r="E3299" s="98">
        <v>0</v>
      </c>
      <c r="F3299" s="120">
        <v>0</v>
      </c>
      <c r="G3299" s="121">
        <v>0</v>
      </c>
      <c r="H3299" s="123">
        <v>0</v>
      </c>
      <c r="I3299" s="122">
        <v>0</v>
      </c>
      <c r="J3299" s="124">
        <f t="shared" si="51"/>
        <v>0</v>
      </c>
    </row>
    <row r="3300" spans="1:10" ht="15" customHeight="1" x14ac:dyDescent="0.2">
      <c r="A3300" s="120" t="s">
        <v>8193</v>
      </c>
      <c r="B3300" s="120" t="s">
        <v>3532</v>
      </c>
      <c r="C3300" s="98" t="s">
        <v>3532</v>
      </c>
      <c r="D3300" s="120" t="s">
        <v>3534</v>
      </c>
      <c r="E3300" s="98">
        <v>0</v>
      </c>
      <c r="F3300" s="120">
        <v>0</v>
      </c>
      <c r="G3300" s="121">
        <v>0</v>
      </c>
      <c r="H3300" s="123">
        <v>0</v>
      </c>
      <c r="I3300" s="122">
        <v>0</v>
      </c>
      <c r="J3300" s="124">
        <f t="shared" si="51"/>
        <v>0</v>
      </c>
    </row>
    <row r="3301" spans="1:10" ht="15" customHeight="1" x14ac:dyDescent="0.2">
      <c r="A3301" s="120" t="s">
        <v>8194</v>
      </c>
      <c r="B3301" s="120" t="s">
        <v>3532</v>
      </c>
      <c r="C3301" s="98" t="s">
        <v>3532</v>
      </c>
      <c r="D3301" s="120" t="s">
        <v>3534</v>
      </c>
      <c r="E3301" s="98">
        <v>0</v>
      </c>
      <c r="F3301" s="120">
        <v>0</v>
      </c>
      <c r="G3301" s="121">
        <v>0</v>
      </c>
      <c r="H3301" s="123">
        <v>0</v>
      </c>
      <c r="I3301" s="122">
        <v>0</v>
      </c>
      <c r="J3301" s="124">
        <f t="shared" si="51"/>
        <v>0</v>
      </c>
    </row>
    <row r="3302" spans="1:10" ht="15" customHeight="1" x14ac:dyDescent="0.2">
      <c r="A3302" s="120" t="s">
        <v>8195</v>
      </c>
      <c r="B3302" s="120" t="s">
        <v>3532</v>
      </c>
      <c r="C3302" s="98" t="s">
        <v>3533</v>
      </c>
      <c r="D3302" s="120" t="s">
        <v>3534</v>
      </c>
      <c r="E3302" s="98">
        <v>0</v>
      </c>
      <c r="F3302" s="120">
        <v>0</v>
      </c>
      <c r="G3302" s="121">
        <v>246</v>
      </c>
      <c r="H3302" s="123">
        <v>0</v>
      </c>
      <c r="I3302" s="122">
        <v>0</v>
      </c>
      <c r="J3302" s="124">
        <f t="shared" si="51"/>
        <v>0</v>
      </c>
    </row>
    <row r="3303" spans="1:10" ht="15" customHeight="1" x14ac:dyDescent="0.2">
      <c r="A3303" s="120" t="s">
        <v>8196</v>
      </c>
      <c r="B3303" s="120" t="s">
        <v>3532</v>
      </c>
      <c r="C3303" s="98" t="s">
        <v>3533</v>
      </c>
      <c r="D3303" s="120" t="s">
        <v>3534</v>
      </c>
      <c r="E3303" s="98">
        <v>0</v>
      </c>
      <c r="F3303" s="120">
        <v>0</v>
      </c>
      <c r="G3303" s="121">
        <v>22</v>
      </c>
      <c r="H3303" s="123">
        <v>0</v>
      </c>
      <c r="I3303" s="122">
        <v>0</v>
      </c>
      <c r="J3303" s="124">
        <f t="shared" si="51"/>
        <v>0</v>
      </c>
    </row>
    <row r="3304" spans="1:10" ht="15" customHeight="1" x14ac:dyDescent="0.2">
      <c r="A3304" s="120" t="s">
        <v>8197</v>
      </c>
      <c r="B3304" s="120" t="s">
        <v>3532</v>
      </c>
      <c r="C3304" s="98" t="s">
        <v>3533</v>
      </c>
      <c r="D3304" s="120" t="s">
        <v>3534</v>
      </c>
      <c r="E3304" s="98">
        <v>0</v>
      </c>
      <c r="F3304" s="120">
        <v>0</v>
      </c>
      <c r="G3304" s="121">
        <v>114</v>
      </c>
      <c r="H3304" s="123">
        <v>0</v>
      </c>
      <c r="I3304" s="122">
        <v>0</v>
      </c>
      <c r="J3304" s="124">
        <f t="shared" si="51"/>
        <v>0</v>
      </c>
    </row>
    <row r="3305" spans="1:10" ht="15" customHeight="1" x14ac:dyDescent="0.2">
      <c r="A3305" s="120" t="s">
        <v>8198</v>
      </c>
      <c r="B3305" s="120" t="s">
        <v>3532</v>
      </c>
      <c r="C3305" s="98" t="s">
        <v>3532</v>
      </c>
      <c r="D3305" s="120" t="s">
        <v>3534</v>
      </c>
      <c r="E3305" s="98">
        <v>0</v>
      </c>
      <c r="F3305" s="120">
        <v>0</v>
      </c>
      <c r="G3305" s="121">
        <v>0</v>
      </c>
      <c r="H3305" s="123">
        <v>0</v>
      </c>
      <c r="I3305" s="122">
        <v>0</v>
      </c>
      <c r="J3305" s="124">
        <f t="shared" si="51"/>
        <v>0</v>
      </c>
    </row>
    <row r="3306" spans="1:10" ht="15" customHeight="1" x14ac:dyDescent="0.2">
      <c r="A3306" s="120" t="s">
        <v>8199</v>
      </c>
      <c r="B3306" s="120" t="s">
        <v>3532</v>
      </c>
      <c r="C3306" s="98" t="s">
        <v>3532</v>
      </c>
      <c r="D3306" s="120" t="s">
        <v>3534</v>
      </c>
      <c r="E3306" s="98">
        <v>0</v>
      </c>
      <c r="F3306" s="120">
        <v>0</v>
      </c>
      <c r="G3306" s="121">
        <v>0</v>
      </c>
      <c r="H3306" s="123">
        <v>0</v>
      </c>
      <c r="I3306" s="122">
        <v>0</v>
      </c>
      <c r="J3306" s="124">
        <f t="shared" si="51"/>
        <v>0</v>
      </c>
    </row>
    <row r="3307" spans="1:10" ht="15" customHeight="1" x14ac:dyDescent="0.2">
      <c r="A3307" s="120" t="s">
        <v>8200</v>
      </c>
      <c r="B3307" s="120" t="s">
        <v>3532</v>
      </c>
      <c r="C3307" s="98" t="s">
        <v>3533</v>
      </c>
      <c r="D3307" s="120" t="s">
        <v>3534</v>
      </c>
      <c r="E3307" s="98">
        <v>0.2369</v>
      </c>
      <c r="F3307" s="120">
        <v>0</v>
      </c>
      <c r="G3307" s="121">
        <v>1857</v>
      </c>
      <c r="H3307" s="123">
        <v>0.2369</v>
      </c>
      <c r="I3307" s="122">
        <v>439.92329999999998</v>
      </c>
      <c r="J3307" s="124">
        <f t="shared" si="51"/>
        <v>0.2369</v>
      </c>
    </row>
    <row r="3308" spans="1:10" ht="15" customHeight="1" x14ac:dyDescent="0.2">
      <c r="A3308" s="120" t="s">
        <v>8201</v>
      </c>
      <c r="B3308" s="120" t="s">
        <v>3532</v>
      </c>
      <c r="C3308" s="98" t="s">
        <v>3532</v>
      </c>
      <c r="D3308" s="120" t="s">
        <v>3534</v>
      </c>
      <c r="E3308" s="98">
        <v>0</v>
      </c>
      <c r="F3308" s="120">
        <v>0</v>
      </c>
      <c r="G3308" s="121">
        <v>919</v>
      </c>
      <c r="H3308" s="123">
        <v>0</v>
      </c>
      <c r="I3308" s="122">
        <v>0</v>
      </c>
      <c r="J3308" s="124">
        <f t="shared" si="51"/>
        <v>0</v>
      </c>
    </row>
    <row r="3309" spans="1:10" ht="15" customHeight="1" x14ac:dyDescent="0.2">
      <c r="A3309" s="120" t="s">
        <v>8202</v>
      </c>
      <c r="B3309" s="120" t="s">
        <v>3532</v>
      </c>
      <c r="C3309" s="98" t="s">
        <v>3533</v>
      </c>
      <c r="D3309" s="120" t="s">
        <v>3563</v>
      </c>
      <c r="E3309" s="98">
        <v>0</v>
      </c>
      <c r="F3309" s="120">
        <v>0</v>
      </c>
      <c r="G3309" s="121">
        <v>4025</v>
      </c>
      <c r="H3309" s="123">
        <v>0</v>
      </c>
      <c r="I3309" s="122">
        <v>0</v>
      </c>
      <c r="J3309" s="124">
        <f t="shared" si="51"/>
        <v>0</v>
      </c>
    </row>
    <row r="3310" spans="1:10" ht="15" customHeight="1" x14ac:dyDescent="0.2">
      <c r="A3310" s="120" t="s">
        <v>8203</v>
      </c>
      <c r="B3310" s="120" t="s">
        <v>8204</v>
      </c>
      <c r="C3310" s="98" t="s">
        <v>3533</v>
      </c>
      <c r="D3310" s="120" t="s">
        <v>3534</v>
      </c>
      <c r="E3310" s="98">
        <v>0</v>
      </c>
      <c r="F3310" s="120">
        <v>0</v>
      </c>
      <c r="G3310" s="121">
        <v>0</v>
      </c>
      <c r="H3310" s="123">
        <v>0</v>
      </c>
      <c r="I3310" s="122">
        <v>0</v>
      </c>
      <c r="J3310" s="124">
        <f t="shared" si="51"/>
        <v>0</v>
      </c>
    </row>
    <row r="3311" spans="1:10" ht="15" customHeight="1" x14ac:dyDescent="0.2">
      <c r="A3311" s="120" t="s">
        <v>8205</v>
      </c>
      <c r="B3311" s="120" t="s">
        <v>8204</v>
      </c>
      <c r="C3311" s="98" t="s">
        <v>3533</v>
      </c>
      <c r="D3311" s="120" t="s">
        <v>3534</v>
      </c>
      <c r="E3311" s="98">
        <v>0</v>
      </c>
      <c r="F3311" s="120">
        <v>0</v>
      </c>
      <c r="G3311" s="121">
        <v>0</v>
      </c>
      <c r="H3311" s="123">
        <v>0</v>
      </c>
      <c r="I3311" s="122">
        <v>0</v>
      </c>
      <c r="J3311" s="124">
        <f t="shared" si="51"/>
        <v>0</v>
      </c>
    </row>
    <row r="3312" spans="1:10" ht="15" customHeight="1" x14ac:dyDescent="0.2">
      <c r="A3312" s="120" t="s">
        <v>8206</v>
      </c>
      <c r="B3312" s="120" t="s">
        <v>3532</v>
      </c>
      <c r="C3312" s="98" t="s">
        <v>3533</v>
      </c>
      <c r="D3312" s="120" t="s">
        <v>3534</v>
      </c>
      <c r="E3312" s="98">
        <v>0</v>
      </c>
      <c r="F3312" s="120">
        <v>0</v>
      </c>
      <c r="G3312" s="121">
        <v>0</v>
      </c>
      <c r="H3312" s="123">
        <v>0</v>
      </c>
      <c r="I3312" s="122">
        <v>0</v>
      </c>
      <c r="J3312" s="124">
        <f t="shared" si="51"/>
        <v>0</v>
      </c>
    </row>
    <row r="3313" spans="1:10" ht="15" customHeight="1" x14ac:dyDescent="0.2">
      <c r="A3313" s="120" t="s">
        <v>8207</v>
      </c>
      <c r="B3313" s="120" t="s">
        <v>3532</v>
      </c>
      <c r="C3313" s="98" t="s">
        <v>3533</v>
      </c>
      <c r="D3313" s="120" t="s">
        <v>3563</v>
      </c>
      <c r="E3313" s="98">
        <v>0</v>
      </c>
      <c r="F3313" s="120">
        <v>0</v>
      </c>
      <c r="G3313" s="121">
        <v>0</v>
      </c>
      <c r="H3313" s="123">
        <v>0</v>
      </c>
      <c r="I3313" s="122">
        <v>0</v>
      </c>
      <c r="J3313" s="124">
        <f t="shared" si="51"/>
        <v>0</v>
      </c>
    </row>
    <row r="3314" spans="1:10" ht="15" customHeight="1" x14ac:dyDescent="0.2">
      <c r="A3314" s="120" t="s">
        <v>8208</v>
      </c>
      <c r="B3314" s="120" t="s">
        <v>4896</v>
      </c>
      <c r="C3314" s="98" t="s">
        <v>4856</v>
      </c>
      <c r="D3314" s="120" t="s">
        <v>3563</v>
      </c>
      <c r="E3314" s="98">
        <v>0</v>
      </c>
      <c r="F3314" s="120">
        <v>0</v>
      </c>
      <c r="G3314" s="121">
        <v>0</v>
      </c>
      <c r="H3314" s="123">
        <v>0</v>
      </c>
      <c r="I3314" s="122">
        <v>0</v>
      </c>
      <c r="J3314" s="124">
        <f t="shared" si="51"/>
        <v>0</v>
      </c>
    </row>
    <row r="3315" spans="1:10" ht="15" customHeight="1" x14ac:dyDescent="0.2">
      <c r="A3315" s="120" t="s">
        <v>8209</v>
      </c>
      <c r="B3315" s="120" t="s">
        <v>4896</v>
      </c>
      <c r="C3315" s="98" t="s">
        <v>4682</v>
      </c>
      <c r="D3315" s="120" t="s">
        <v>3563</v>
      </c>
      <c r="E3315" s="98">
        <v>0</v>
      </c>
      <c r="F3315" s="120">
        <v>0</v>
      </c>
      <c r="G3315" s="121">
        <v>4000</v>
      </c>
      <c r="H3315" s="123">
        <v>0</v>
      </c>
      <c r="I3315" s="122">
        <v>0</v>
      </c>
      <c r="J3315" s="124">
        <f t="shared" si="51"/>
        <v>0</v>
      </c>
    </row>
    <row r="3316" spans="1:10" ht="15" customHeight="1" x14ac:dyDescent="0.2">
      <c r="A3316" s="120" t="s">
        <v>8210</v>
      </c>
      <c r="B3316" s="120" t="s">
        <v>4896</v>
      </c>
      <c r="C3316" s="98" t="s">
        <v>4856</v>
      </c>
      <c r="D3316" s="120" t="s">
        <v>3563</v>
      </c>
      <c r="E3316" s="98">
        <v>1.32</v>
      </c>
      <c r="F3316" s="120">
        <v>0</v>
      </c>
      <c r="G3316" s="121">
        <v>0</v>
      </c>
      <c r="H3316" s="123">
        <v>1.32</v>
      </c>
      <c r="I3316" s="122">
        <v>0</v>
      </c>
      <c r="J3316" s="124">
        <f t="shared" si="51"/>
        <v>1320</v>
      </c>
    </row>
    <row r="3317" spans="1:10" ht="15" customHeight="1" x14ac:dyDescent="0.2">
      <c r="A3317" s="120" t="s">
        <v>8211</v>
      </c>
      <c r="B3317" s="120" t="s">
        <v>4896</v>
      </c>
      <c r="C3317" s="98" t="s">
        <v>4856</v>
      </c>
      <c r="D3317" s="120" t="s">
        <v>3563</v>
      </c>
      <c r="E3317" s="98">
        <v>0</v>
      </c>
      <c r="F3317" s="120">
        <v>0</v>
      </c>
      <c r="G3317" s="121">
        <v>0</v>
      </c>
      <c r="H3317" s="123">
        <v>0</v>
      </c>
      <c r="I3317" s="122">
        <v>0</v>
      </c>
      <c r="J3317" s="124">
        <f t="shared" si="51"/>
        <v>0</v>
      </c>
    </row>
    <row r="3318" spans="1:10" ht="15" customHeight="1" x14ac:dyDescent="0.2">
      <c r="A3318" s="120" t="s">
        <v>8212</v>
      </c>
      <c r="B3318" s="120" t="s">
        <v>3532</v>
      </c>
      <c r="C3318" s="98" t="s">
        <v>3532</v>
      </c>
      <c r="D3318" s="120" t="s">
        <v>3563</v>
      </c>
      <c r="E3318" s="98">
        <v>0</v>
      </c>
      <c r="F3318" s="120">
        <v>0</v>
      </c>
      <c r="G3318" s="121">
        <v>0</v>
      </c>
      <c r="H3318" s="123">
        <v>0</v>
      </c>
      <c r="I3318" s="122">
        <v>0</v>
      </c>
      <c r="J3318" s="124">
        <f t="shared" si="51"/>
        <v>0</v>
      </c>
    </row>
    <row r="3319" spans="1:10" ht="15" customHeight="1" x14ac:dyDescent="0.2">
      <c r="A3319" s="120" t="s">
        <v>8213</v>
      </c>
      <c r="B3319" s="120" t="s">
        <v>3532</v>
      </c>
      <c r="C3319" s="98" t="s">
        <v>4856</v>
      </c>
      <c r="D3319" s="120" t="s">
        <v>3563</v>
      </c>
      <c r="E3319" s="98">
        <v>0</v>
      </c>
      <c r="F3319" s="120">
        <v>0</v>
      </c>
      <c r="G3319" s="121">
        <v>0</v>
      </c>
      <c r="H3319" s="123">
        <v>0</v>
      </c>
      <c r="I3319" s="122">
        <v>0</v>
      </c>
      <c r="J3319" s="124">
        <f t="shared" si="51"/>
        <v>0</v>
      </c>
    </row>
    <row r="3320" spans="1:10" ht="15" customHeight="1" x14ac:dyDescent="0.2">
      <c r="A3320" s="120" t="s">
        <v>8214</v>
      </c>
      <c r="B3320" s="120" t="s">
        <v>4896</v>
      </c>
      <c r="C3320" s="98" t="s">
        <v>3532</v>
      </c>
      <c r="D3320" s="120" t="s">
        <v>3563</v>
      </c>
      <c r="E3320" s="98">
        <v>0.7</v>
      </c>
      <c r="F3320" s="120">
        <v>0</v>
      </c>
      <c r="G3320" s="121">
        <v>0</v>
      </c>
      <c r="H3320" s="123">
        <v>0.7</v>
      </c>
      <c r="I3320" s="122">
        <v>0</v>
      </c>
      <c r="J3320" s="124">
        <f t="shared" si="51"/>
        <v>700</v>
      </c>
    </row>
    <row r="3321" spans="1:10" ht="15" customHeight="1" x14ac:dyDescent="0.2">
      <c r="A3321" s="120" t="s">
        <v>4895</v>
      </c>
      <c r="B3321" s="120" t="s">
        <v>4896</v>
      </c>
      <c r="C3321" s="98" t="s">
        <v>3533</v>
      </c>
      <c r="D3321" s="120" t="s">
        <v>3563</v>
      </c>
      <c r="E3321" s="98">
        <v>0</v>
      </c>
      <c r="F3321" s="120">
        <v>0</v>
      </c>
      <c r="G3321" s="121">
        <v>0</v>
      </c>
      <c r="H3321" s="123">
        <v>0</v>
      </c>
      <c r="I3321" s="122">
        <v>0</v>
      </c>
      <c r="J3321" s="124">
        <f t="shared" si="51"/>
        <v>0</v>
      </c>
    </row>
    <row r="3322" spans="1:10" ht="15" customHeight="1" x14ac:dyDescent="0.2">
      <c r="A3322" s="120" t="s">
        <v>8215</v>
      </c>
      <c r="B3322" s="120" t="s">
        <v>4896</v>
      </c>
      <c r="C3322" s="98" t="s">
        <v>3533</v>
      </c>
      <c r="D3322" s="120" t="s">
        <v>3563</v>
      </c>
      <c r="E3322" s="98">
        <v>0</v>
      </c>
      <c r="F3322" s="120">
        <v>0</v>
      </c>
      <c r="G3322" s="121">
        <v>0</v>
      </c>
      <c r="H3322" s="123">
        <v>0</v>
      </c>
      <c r="I3322" s="122">
        <v>0</v>
      </c>
      <c r="J3322" s="124">
        <f t="shared" si="51"/>
        <v>0</v>
      </c>
    </row>
    <row r="3323" spans="1:10" ht="15" customHeight="1" x14ac:dyDescent="0.2">
      <c r="A3323" s="120" t="s">
        <v>8216</v>
      </c>
      <c r="B3323" s="120" t="s">
        <v>3532</v>
      </c>
      <c r="C3323" s="98" t="s">
        <v>3533</v>
      </c>
      <c r="D3323" s="120" t="s">
        <v>3563</v>
      </c>
      <c r="E3323" s="98">
        <v>0</v>
      </c>
      <c r="F3323" s="120">
        <v>0</v>
      </c>
      <c r="G3323" s="121">
        <v>0</v>
      </c>
      <c r="H3323" s="123">
        <v>0</v>
      </c>
      <c r="I3323" s="122">
        <v>0</v>
      </c>
      <c r="J3323" s="124">
        <f t="shared" si="51"/>
        <v>0</v>
      </c>
    </row>
    <row r="3324" spans="1:10" ht="15" customHeight="1" x14ac:dyDescent="0.2">
      <c r="A3324" s="120" t="s">
        <v>8217</v>
      </c>
      <c r="B3324" s="120" t="s">
        <v>3532</v>
      </c>
      <c r="C3324" s="98" t="s">
        <v>3533</v>
      </c>
      <c r="D3324" s="120" t="s">
        <v>3563</v>
      </c>
      <c r="E3324" s="98">
        <v>0</v>
      </c>
      <c r="F3324" s="120">
        <v>0</v>
      </c>
      <c r="G3324" s="121">
        <v>0</v>
      </c>
      <c r="H3324" s="123">
        <v>0</v>
      </c>
      <c r="I3324" s="122">
        <v>0</v>
      </c>
      <c r="J3324" s="124">
        <f t="shared" si="51"/>
        <v>0</v>
      </c>
    </row>
    <row r="3325" spans="1:10" ht="15" customHeight="1" x14ac:dyDescent="0.2">
      <c r="A3325" s="120" t="s">
        <v>8218</v>
      </c>
      <c r="B3325" s="120" t="s">
        <v>3532</v>
      </c>
      <c r="C3325" s="98" t="s">
        <v>3533</v>
      </c>
      <c r="D3325" s="120" t="s">
        <v>3563</v>
      </c>
      <c r="E3325" s="98">
        <v>0</v>
      </c>
      <c r="F3325" s="120">
        <v>0</v>
      </c>
      <c r="G3325" s="121">
        <v>0</v>
      </c>
      <c r="H3325" s="123">
        <v>0</v>
      </c>
      <c r="I3325" s="122">
        <v>0</v>
      </c>
      <c r="J3325" s="124">
        <f t="shared" si="51"/>
        <v>0</v>
      </c>
    </row>
    <row r="3326" spans="1:10" ht="15" customHeight="1" x14ac:dyDescent="0.2">
      <c r="A3326" s="120" t="s">
        <v>8219</v>
      </c>
      <c r="B3326" s="120" t="s">
        <v>3532</v>
      </c>
      <c r="C3326" s="98" t="s">
        <v>3533</v>
      </c>
      <c r="D3326" s="120" t="s">
        <v>3563</v>
      </c>
      <c r="E3326" s="98">
        <v>0</v>
      </c>
      <c r="F3326" s="120">
        <v>0</v>
      </c>
      <c r="G3326" s="121">
        <v>0</v>
      </c>
      <c r="H3326" s="123">
        <v>0</v>
      </c>
      <c r="I3326" s="122">
        <v>0</v>
      </c>
      <c r="J3326" s="124">
        <f t="shared" si="51"/>
        <v>0</v>
      </c>
    </row>
    <row r="3327" spans="1:10" ht="15" customHeight="1" x14ac:dyDescent="0.2">
      <c r="A3327" s="120" t="s">
        <v>8220</v>
      </c>
      <c r="B3327" s="120" t="s">
        <v>4896</v>
      </c>
      <c r="C3327" s="98" t="s">
        <v>3533</v>
      </c>
      <c r="D3327" s="120" t="s">
        <v>3563</v>
      </c>
      <c r="E3327" s="98">
        <v>0</v>
      </c>
      <c r="F3327" s="120">
        <v>0</v>
      </c>
      <c r="G3327" s="121">
        <v>0</v>
      </c>
      <c r="H3327" s="123">
        <v>0</v>
      </c>
      <c r="I3327" s="122">
        <v>0</v>
      </c>
      <c r="J3327" s="124">
        <f t="shared" si="51"/>
        <v>0</v>
      </c>
    </row>
    <row r="3328" spans="1:10" ht="15" customHeight="1" x14ac:dyDescent="0.2">
      <c r="A3328" s="120" t="s">
        <v>8221</v>
      </c>
      <c r="B3328" s="120" t="s">
        <v>3532</v>
      </c>
      <c r="C3328" s="98" t="s">
        <v>3533</v>
      </c>
      <c r="D3328" s="120" t="s">
        <v>3563</v>
      </c>
      <c r="E3328" s="98">
        <v>0</v>
      </c>
      <c r="F3328" s="120">
        <v>0</v>
      </c>
      <c r="G3328" s="121">
        <v>0</v>
      </c>
      <c r="H3328" s="123">
        <v>0</v>
      </c>
      <c r="I3328" s="122">
        <v>0</v>
      </c>
      <c r="J3328" s="124">
        <f t="shared" si="51"/>
        <v>0</v>
      </c>
    </row>
    <row r="3329" spans="1:10" ht="15" customHeight="1" x14ac:dyDescent="0.2">
      <c r="A3329" s="120" t="s">
        <v>8222</v>
      </c>
      <c r="B3329" s="120" t="s">
        <v>3532</v>
      </c>
      <c r="C3329" s="98" t="s">
        <v>3533</v>
      </c>
      <c r="D3329" s="120" t="s">
        <v>3563</v>
      </c>
      <c r="E3329" s="98">
        <v>0</v>
      </c>
      <c r="F3329" s="120">
        <v>0</v>
      </c>
      <c r="G3329" s="121">
        <v>0</v>
      </c>
      <c r="H3329" s="123">
        <v>0</v>
      </c>
      <c r="I3329" s="122">
        <v>0</v>
      </c>
      <c r="J3329" s="124">
        <f t="shared" si="51"/>
        <v>0</v>
      </c>
    </row>
    <row r="3330" spans="1:10" ht="15" customHeight="1" x14ac:dyDescent="0.2">
      <c r="A3330" s="120" t="s">
        <v>8223</v>
      </c>
      <c r="B3330" s="120" t="s">
        <v>3532</v>
      </c>
      <c r="C3330" s="98" t="s">
        <v>3532</v>
      </c>
      <c r="D3330" s="120" t="s">
        <v>3563</v>
      </c>
      <c r="E3330" s="98">
        <v>0</v>
      </c>
      <c r="F3330" s="120">
        <v>0</v>
      </c>
      <c r="G3330" s="121">
        <v>0</v>
      </c>
      <c r="H3330" s="123">
        <v>0</v>
      </c>
      <c r="I3330" s="122">
        <v>0</v>
      </c>
      <c r="J3330" s="124">
        <f t="shared" ref="J3330:J3393" si="52">IF(D3330="gm", E3330*1000,+E3330)</f>
        <v>0</v>
      </c>
    </row>
    <row r="3331" spans="1:10" ht="15" customHeight="1" x14ac:dyDescent="0.2">
      <c r="A3331" s="120" t="s">
        <v>8224</v>
      </c>
      <c r="B3331" s="120" t="s">
        <v>4896</v>
      </c>
      <c r="C3331" s="98" t="s">
        <v>3533</v>
      </c>
      <c r="D3331" s="120" t="s">
        <v>3563</v>
      </c>
      <c r="E3331" s="98">
        <v>0.48299999999999998</v>
      </c>
      <c r="F3331" s="120">
        <v>0</v>
      </c>
      <c r="G3331" s="121">
        <v>0</v>
      </c>
      <c r="H3331" s="123">
        <v>0.48299999999999998</v>
      </c>
      <c r="I3331" s="122">
        <v>0</v>
      </c>
      <c r="J3331" s="124">
        <f t="shared" si="52"/>
        <v>483</v>
      </c>
    </row>
    <row r="3332" spans="1:10" ht="15" customHeight="1" x14ac:dyDescent="0.2">
      <c r="A3332" s="120" t="s">
        <v>8225</v>
      </c>
      <c r="B3332" s="120" t="s">
        <v>4896</v>
      </c>
      <c r="C3332" s="98" t="s">
        <v>4856</v>
      </c>
      <c r="D3332" s="120" t="s">
        <v>3563</v>
      </c>
      <c r="E3332" s="98">
        <v>0</v>
      </c>
      <c r="F3332" s="120">
        <v>0</v>
      </c>
      <c r="G3332" s="121">
        <v>0</v>
      </c>
      <c r="H3332" s="123">
        <v>0</v>
      </c>
      <c r="I3332" s="122">
        <v>0</v>
      </c>
      <c r="J3332" s="124">
        <f t="shared" si="52"/>
        <v>0</v>
      </c>
    </row>
    <row r="3333" spans="1:10" ht="15" customHeight="1" x14ac:dyDescent="0.2">
      <c r="A3333" s="120" t="s">
        <v>8226</v>
      </c>
      <c r="B3333" s="120" t="s">
        <v>4896</v>
      </c>
      <c r="C3333" s="98" t="s">
        <v>4856</v>
      </c>
      <c r="D3333" s="120" t="s">
        <v>3563</v>
      </c>
      <c r="E3333" s="98">
        <v>0</v>
      </c>
      <c r="F3333" s="120">
        <v>0</v>
      </c>
      <c r="G3333" s="121">
        <v>0</v>
      </c>
      <c r="H3333" s="123">
        <v>0</v>
      </c>
      <c r="I3333" s="122">
        <v>0</v>
      </c>
      <c r="J3333" s="124">
        <f t="shared" si="52"/>
        <v>0</v>
      </c>
    </row>
    <row r="3334" spans="1:10" ht="15" customHeight="1" x14ac:dyDescent="0.2">
      <c r="A3334" s="120" t="s">
        <v>8227</v>
      </c>
      <c r="B3334" s="120" t="s">
        <v>4896</v>
      </c>
      <c r="C3334" s="98" t="s">
        <v>4856</v>
      </c>
      <c r="D3334" s="120" t="s">
        <v>3563</v>
      </c>
      <c r="E3334" s="98">
        <v>0</v>
      </c>
      <c r="F3334" s="120">
        <v>0</v>
      </c>
      <c r="G3334" s="121">
        <v>0</v>
      </c>
      <c r="H3334" s="123">
        <v>0</v>
      </c>
      <c r="I3334" s="122">
        <v>0</v>
      </c>
      <c r="J3334" s="124">
        <f t="shared" si="52"/>
        <v>0</v>
      </c>
    </row>
    <row r="3335" spans="1:10" ht="15" customHeight="1" x14ac:dyDescent="0.2">
      <c r="A3335" s="120" t="s">
        <v>8228</v>
      </c>
      <c r="B3335" s="120" t="s">
        <v>3532</v>
      </c>
      <c r="C3335" s="98" t="s">
        <v>3532</v>
      </c>
      <c r="D3335" s="120" t="s">
        <v>3563</v>
      </c>
      <c r="E3335" s="98">
        <v>0</v>
      </c>
      <c r="F3335" s="120">
        <v>0</v>
      </c>
      <c r="G3335" s="121">
        <v>0</v>
      </c>
      <c r="H3335" s="123">
        <v>0</v>
      </c>
      <c r="I3335" s="122">
        <v>0</v>
      </c>
      <c r="J3335" s="124">
        <f t="shared" si="52"/>
        <v>0</v>
      </c>
    </row>
    <row r="3336" spans="1:10" ht="15" customHeight="1" x14ac:dyDescent="0.2">
      <c r="A3336" s="120" t="s">
        <v>8229</v>
      </c>
      <c r="B3336" s="120" t="s">
        <v>3532</v>
      </c>
      <c r="C3336" s="98" t="s">
        <v>3532</v>
      </c>
      <c r="D3336" s="120" t="s">
        <v>3563</v>
      </c>
      <c r="E3336" s="98">
        <v>0</v>
      </c>
      <c r="F3336" s="120">
        <v>0</v>
      </c>
      <c r="G3336" s="121">
        <v>0</v>
      </c>
      <c r="H3336" s="123">
        <v>0</v>
      </c>
      <c r="I3336" s="122">
        <v>0</v>
      </c>
      <c r="J3336" s="124">
        <f t="shared" si="52"/>
        <v>0</v>
      </c>
    </row>
    <row r="3337" spans="1:10" ht="15" customHeight="1" x14ac:dyDescent="0.2">
      <c r="A3337" s="120" t="s">
        <v>8230</v>
      </c>
      <c r="B3337" s="120" t="s">
        <v>3532</v>
      </c>
      <c r="C3337" s="98" t="s">
        <v>3532</v>
      </c>
      <c r="D3337" s="120" t="s">
        <v>3563</v>
      </c>
      <c r="E3337" s="98">
        <v>0</v>
      </c>
      <c r="F3337" s="120">
        <v>0</v>
      </c>
      <c r="G3337" s="121">
        <v>0</v>
      </c>
      <c r="H3337" s="123">
        <v>0</v>
      </c>
      <c r="I3337" s="122">
        <v>0</v>
      </c>
      <c r="J3337" s="124">
        <f t="shared" si="52"/>
        <v>0</v>
      </c>
    </row>
    <row r="3338" spans="1:10" ht="15" customHeight="1" x14ac:dyDescent="0.2">
      <c r="A3338" s="120" t="s">
        <v>8231</v>
      </c>
      <c r="B3338" s="120" t="s">
        <v>3532</v>
      </c>
      <c r="C3338" s="98" t="s">
        <v>3533</v>
      </c>
      <c r="D3338" s="120" t="s">
        <v>3534</v>
      </c>
      <c r="E3338" s="98">
        <v>0</v>
      </c>
      <c r="F3338" s="120">
        <v>0</v>
      </c>
      <c r="G3338" s="121">
        <v>41891</v>
      </c>
      <c r="H3338" s="123">
        <v>0</v>
      </c>
      <c r="I3338" s="122">
        <v>0</v>
      </c>
      <c r="J3338" s="124">
        <f t="shared" si="52"/>
        <v>0</v>
      </c>
    </row>
    <row r="3339" spans="1:10" ht="15" customHeight="1" x14ac:dyDescent="0.2">
      <c r="A3339" s="120" t="s">
        <v>8232</v>
      </c>
      <c r="B3339" s="120" t="s">
        <v>3532</v>
      </c>
      <c r="C3339" s="98" t="s">
        <v>3532</v>
      </c>
      <c r="D3339" s="120" t="s">
        <v>3534</v>
      </c>
      <c r="E3339" s="98">
        <v>0</v>
      </c>
      <c r="F3339" s="120">
        <v>0</v>
      </c>
      <c r="G3339" s="121">
        <v>693</v>
      </c>
      <c r="H3339" s="123">
        <v>0</v>
      </c>
      <c r="I3339" s="122">
        <v>0</v>
      </c>
      <c r="J3339" s="124">
        <f t="shared" si="52"/>
        <v>0</v>
      </c>
    </row>
    <row r="3340" spans="1:10" ht="15" customHeight="1" x14ac:dyDescent="0.2">
      <c r="A3340" s="120" t="s">
        <v>8233</v>
      </c>
      <c r="B3340" s="120" t="s">
        <v>3532</v>
      </c>
      <c r="C3340" s="98" t="s">
        <v>3533</v>
      </c>
      <c r="D3340" s="120" t="s">
        <v>3534</v>
      </c>
      <c r="E3340" s="98">
        <v>0</v>
      </c>
      <c r="F3340" s="120">
        <v>0</v>
      </c>
      <c r="G3340" s="121">
        <v>13842</v>
      </c>
      <c r="H3340" s="123">
        <v>0</v>
      </c>
      <c r="I3340" s="122">
        <v>0</v>
      </c>
      <c r="J3340" s="124">
        <f t="shared" si="52"/>
        <v>0</v>
      </c>
    </row>
    <row r="3341" spans="1:10" ht="15" customHeight="1" x14ac:dyDescent="0.2">
      <c r="A3341" s="120" t="s">
        <v>8234</v>
      </c>
      <c r="B3341" s="120" t="s">
        <v>3532</v>
      </c>
      <c r="C3341" s="98" t="s">
        <v>3533</v>
      </c>
      <c r="D3341" s="120" t="s">
        <v>3534</v>
      </c>
      <c r="E3341" s="98">
        <v>0</v>
      </c>
      <c r="F3341" s="120">
        <v>0</v>
      </c>
      <c r="G3341" s="121">
        <v>1295</v>
      </c>
      <c r="H3341" s="123">
        <v>0</v>
      </c>
      <c r="I3341" s="122">
        <v>0</v>
      </c>
      <c r="J3341" s="124">
        <f t="shared" si="52"/>
        <v>0</v>
      </c>
    </row>
    <row r="3342" spans="1:10" ht="15" customHeight="1" x14ac:dyDescent="0.2">
      <c r="A3342" s="120" t="s">
        <v>8235</v>
      </c>
      <c r="B3342" s="120" t="s">
        <v>3532</v>
      </c>
      <c r="C3342" s="98" t="s">
        <v>3532</v>
      </c>
      <c r="D3342" s="120" t="s">
        <v>3534</v>
      </c>
      <c r="E3342" s="98">
        <v>0</v>
      </c>
      <c r="F3342" s="120">
        <v>0</v>
      </c>
      <c r="G3342" s="121">
        <v>0</v>
      </c>
      <c r="H3342" s="123">
        <v>0</v>
      </c>
      <c r="I3342" s="122">
        <v>0</v>
      </c>
      <c r="J3342" s="124">
        <f t="shared" si="52"/>
        <v>0</v>
      </c>
    </row>
    <row r="3343" spans="1:10" ht="15" customHeight="1" x14ac:dyDescent="0.2">
      <c r="A3343" s="120" t="s">
        <v>8236</v>
      </c>
      <c r="B3343" s="120" t="s">
        <v>3532</v>
      </c>
      <c r="C3343" s="98" t="s">
        <v>3532</v>
      </c>
      <c r="D3343" s="120" t="s">
        <v>3534</v>
      </c>
      <c r="E3343" s="98">
        <v>0</v>
      </c>
      <c r="F3343" s="120">
        <v>0</v>
      </c>
      <c r="G3343" s="121">
        <v>0</v>
      </c>
      <c r="H3343" s="123">
        <v>0</v>
      </c>
      <c r="I3343" s="122">
        <v>0</v>
      </c>
      <c r="J3343" s="124">
        <f t="shared" si="52"/>
        <v>0</v>
      </c>
    </row>
    <row r="3344" spans="1:10" ht="15" customHeight="1" x14ac:dyDescent="0.2">
      <c r="A3344" s="120" t="s">
        <v>8237</v>
      </c>
      <c r="B3344" s="120" t="s">
        <v>3532</v>
      </c>
      <c r="C3344" s="98" t="s">
        <v>3532</v>
      </c>
      <c r="D3344" s="120" t="s">
        <v>3534</v>
      </c>
      <c r="E3344" s="98">
        <v>0</v>
      </c>
      <c r="F3344" s="120">
        <v>0</v>
      </c>
      <c r="G3344" s="121">
        <v>622</v>
      </c>
      <c r="H3344" s="123">
        <v>0</v>
      </c>
      <c r="I3344" s="122">
        <v>0</v>
      </c>
      <c r="J3344" s="124">
        <f t="shared" si="52"/>
        <v>0</v>
      </c>
    </row>
    <row r="3345" spans="1:10" ht="15" customHeight="1" x14ac:dyDescent="0.2">
      <c r="A3345" s="120" t="s">
        <v>8237</v>
      </c>
      <c r="B3345" s="120" t="s">
        <v>3532</v>
      </c>
      <c r="C3345" s="98" t="s">
        <v>3533</v>
      </c>
      <c r="D3345" s="120" t="s">
        <v>3534</v>
      </c>
      <c r="E3345" s="98">
        <v>0</v>
      </c>
      <c r="F3345" s="120">
        <v>0</v>
      </c>
      <c r="G3345" s="121">
        <v>0</v>
      </c>
      <c r="H3345" s="123">
        <v>0</v>
      </c>
      <c r="I3345" s="122">
        <v>0</v>
      </c>
      <c r="J3345" s="124">
        <f t="shared" si="52"/>
        <v>0</v>
      </c>
    </row>
    <row r="3346" spans="1:10" ht="15" customHeight="1" x14ac:dyDescent="0.2">
      <c r="A3346" s="120" t="s">
        <v>8238</v>
      </c>
      <c r="B3346" s="120" t="s">
        <v>3532</v>
      </c>
      <c r="C3346" s="98" t="s">
        <v>3533</v>
      </c>
      <c r="D3346" s="120" t="s">
        <v>3534</v>
      </c>
      <c r="E3346" s="98">
        <v>0</v>
      </c>
      <c r="F3346" s="120">
        <v>0</v>
      </c>
      <c r="G3346" s="121">
        <v>937</v>
      </c>
      <c r="H3346" s="123">
        <v>0</v>
      </c>
      <c r="I3346" s="122">
        <v>0</v>
      </c>
      <c r="J3346" s="124">
        <f t="shared" si="52"/>
        <v>0</v>
      </c>
    </row>
    <row r="3347" spans="1:10" ht="15" customHeight="1" x14ac:dyDescent="0.2">
      <c r="A3347" s="120" t="s">
        <v>8239</v>
      </c>
      <c r="B3347" s="120" t="s">
        <v>3532</v>
      </c>
      <c r="C3347" s="98" t="s">
        <v>3532</v>
      </c>
      <c r="D3347" s="120" t="s">
        <v>3534</v>
      </c>
      <c r="E3347" s="98">
        <v>0</v>
      </c>
      <c r="F3347" s="120">
        <v>0</v>
      </c>
      <c r="G3347" s="121">
        <v>24277</v>
      </c>
      <c r="H3347" s="123">
        <v>0</v>
      </c>
      <c r="I3347" s="122">
        <v>0</v>
      </c>
      <c r="J3347" s="124">
        <f t="shared" si="52"/>
        <v>0</v>
      </c>
    </row>
    <row r="3348" spans="1:10" ht="15" customHeight="1" x14ac:dyDescent="0.2">
      <c r="A3348" s="120" t="s">
        <v>8240</v>
      </c>
      <c r="B3348" s="120" t="s">
        <v>3532</v>
      </c>
      <c r="C3348" s="98" t="s">
        <v>3532</v>
      </c>
      <c r="D3348" s="120" t="s">
        <v>3534</v>
      </c>
      <c r="E3348" s="98">
        <v>0</v>
      </c>
      <c r="F3348" s="120">
        <v>0</v>
      </c>
      <c r="G3348" s="121">
        <v>3366</v>
      </c>
      <c r="H3348" s="123">
        <v>0</v>
      </c>
      <c r="I3348" s="122">
        <v>0</v>
      </c>
      <c r="J3348" s="124">
        <f t="shared" si="52"/>
        <v>0</v>
      </c>
    </row>
    <row r="3349" spans="1:10" ht="15" customHeight="1" x14ac:dyDescent="0.2">
      <c r="A3349" s="120" t="s">
        <v>8241</v>
      </c>
      <c r="B3349" s="120" t="s">
        <v>3532</v>
      </c>
      <c r="C3349" s="98" t="s">
        <v>3532</v>
      </c>
      <c r="D3349" s="120" t="s">
        <v>3534</v>
      </c>
      <c r="E3349" s="98">
        <v>0</v>
      </c>
      <c r="F3349" s="120">
        <v>0</v>
      </c>
      <c r="G3349" s="121">
        <v>1186</v>
      </c>
      <c r="H3349" s="123">
        <v>0</v>
      </c>
      <c r="I3349" s="122">
        <v>0</v>
      </c>
      <c r="J3349" s="124">
        <f t="shared" si="52"/>
        <v>0</v>
      </c>
    </row>
    <row r="3350" spans="1:10" ht="15" customHeight="1" x14ac:dyDescent="0.2">
      <c r="A3350" s="120" t="s">
        <v>8242</v>
      </c>
      <c r="B3350" s="120" t="s">
        <v>3532</v>
      </c>
      <c r="C3350" s="98" t="s">
        <v>3533</v>
      </c>
      <c r="D3350" s="120" t="s">
        <v>3534</v>
      </c>
      <c r="E3350" s="98">
        <v>0</v>
      </c>
      <c r="F3350" s="120">
        <v>0</v>
      </c>
      <c r="G3350" s="121">
        <v>0</v>
      </c>
      <c r="H3350" s="123">
        <v>0</v>
      </c>
      <c r="I3350" s="122">
        <v>0</v>
      </c>
      <c r="J3350" s="124">
        <f t="shared" si="52"/>
        <v>0</v>
      </c>
    </row>
    <row r="3351" spans="1:10" ht="15" customHeight="1" x14ac:dyDescent="0.2">
      <c r="A3351" s="120" t="s">
        <v>8243</v>
      </c>
      <c r="B3351" s="120" t="s">
        <v>3532</v>
      </c>
      <c r="C3351" s="98" t="s">
        <v>3533</v>
      </c>
      <c r="D3351" s="120" t="s">
        <v>3534</v>
      </c>
      <c r="E3351" s="98">
        <v>0</v>
      </c>
      <c r="F3351" s="120">
        <v>0</v>
      </c>
      <c r="G3351" s="121">
        <v>3829</v>
      </c>
      <c r="H3351" s="123">
        <v>0</v>
      </c>
      <c r="I3351" s="122">
        <v>0</v>
      </c>
      <c r="J3351" s="124">
        <f t="shared" si="52"/>
        <v>0</v>
      </c>
    </row>
    <row r="3352" spans="1:10" ht="15" customHeight="1" x14ac:dyDescent="0.2">
      <c r="A3352" s="120" t="s">
        <v>8244</v>
      </c>
      <c r="B3352" s="120" t="s">
        <v>3532</v>
      </c>
      <c r="C3352" s="98" t="s">
        <v>3532</v>
      </c>
      <c r="D3352" s="120" t="s">
        <v>3534</v>
      </c>
      <c r="E3352" s="98">
        <v>0</v>
      </c>
      <c r="F3352" s="120">
        <v>0</v>
      </c>
      <c r="G3352" s="121">
        <v>4015</v>
      </c>
      <c r="H3352" s="123">
        <v>0</v>
      </c>
      <c r="I3352" s="122">
        <v>0</v>
      </c>
      <c r="J3352" s="124">
        <f t="shared" si="52"/>
        <v>0</v>
      </c>
    </row>
    <row r="3353" spans="1:10" ht="15" customHeight="1" x14ac:dyDescent="0.2">
      <c r="A3353" s="120" t="s">
        <v>8245</v>
      </c>
      <c r="B3353" s="120" t="s">
        <v>3532</v>
      </c>
      <c r="C3353" s="98" t="s">
        <v>3533</v>
      </c>
      <c r="D3353" s="120" t="s">
        <v>3534</v>
      </c>
      <c r="E3353" s="98">
        <v>0</v>
      </c>
      <c r="F3353" s="120">
        <v>0</v>
      </c>
      <c r="G3353" s="121">
        <v>323</v>
      </c>
      <c r="H3353" s="123">
        <v>0</v>
      </c>
      <c r="I3353" s="122">
        <v>0</v>
      </c>
      <c r="J3353" s="124">
        <f t="shared" si="52"/>
        <v>0</v>
      </c>
    </row>
    <row r="3354" spans="1:10" ht="15" customHeight="1" x14ac:dyDescent="0.2">
      <c r="A3354" s="120" t="s">
        <v>8246</v>
      </c>
      <c r="B3354" s="120" t="s">
        <v>3532</v>
      </c>
      <c r="C3354" s="98" t="s">
        <v>3533</v>
      </c>
      <c r="D3354" s="120" t="s">
        <v>3534</v>
      </c>
      <c r="E3354" s="98">
        <v>0</v>
      </c>
      <c r="F3354" s="120">
        <v>0</v>
      </c>
      <c r="G3354" s="121">
        <v>2593</v>
      </c>
      <c r="H3354" s="123">
        <v>0</v>
      </c>
      <c r="I3354" s="122">
        <v>0</v>
      </c>
      <c r="J3354" s="124">
        <f t="shared" si="52"/>
        <v>0</v>
      </c>
    </row>
    <row r="3355" spans="1:10" ht="15" customHeight="1" x14ac:dyDescent="0.2">
      <c r="A3355" s="120" t="s">
        <v>8247</v>
      </c>
      <c r="B3355" s="120" t="s">
        <v>3532</v>
      </c>
      <c r="C3355" s="98" t="s">
        <v>3533</v>
      </c>
      <c r="D3355" s="120" t="s">
        <v>3534</v>
      </c>
      <c r="E3355" s="98">
        <v>0</v>
      </c>
      <c r="F3355" s="120">
        <v>0</v>
      </c>
      <c r="G3355" s="121">
        <v>85</v>
      </c>
      <c r="H3355" s="123">
        <v>0</v>
      </c>
      <c r="I3355" s="122">
        <v>0</v>
      </c>
      <c r="J3355" s="124">
        <f t="shared" si="52"/>
        <v>0</v>
      </c>
    </row>
    <row r="3356" spans="1:10" ht="15" customHeight="1" x14ac:dyDescent="0.2">
      <c r="A3356" s="120" t="s">
        <v>8248</v>
      </c>
      <c r="B3356" s="120" t="s">
        <v>3532</v>
      </c>
      <c r="C3356" s="98" t="s">
        <v>3533</v>
      </c>
      <c r="D3356" s="120" t="s">
        <v>3534</v>
      </c>
      <c r="E3356" s="98">
        <v>0</v>
      </c>
      <c r="F3356" s="120">
        <v>0</v>
      </c>
      <c r="G3356" s="121">
        <v>0</v>
      </c>
      <c r="H3356" s="123">
        <v>0</v>
      </c>
      <c r="I3356" s="122">
        <v>0</v>
      </c>
      <c r="J3356" s="124">
        <f t="shared" si="52"/>
        <v>0</v>
      </c>
    </row>
    <row r="3357" spans="1:10" ht="15" customHeight="1" x14ac:dyDescent="0.2">
      <c r="A3357" s="120" t="s">
        <v>8249</v>
      </c>
      <c r="B3357" s="120" t="s">
        <v>3532</v>
      </c>
      <c r="C3357" s="98" t="s">
        <v>3533</v>
      </c>
      <c r="D3357" s="120" t="s">
        <v>3534</v>
      </c>
      <c r="E3357" s="98">
        <v>0</v>
      </c>
      <c r="F3357" s="120">
        <v>0</v>
      </c>
      <c r="G3357" s="121">
        <v>4383</v>
      </c>
      <c r="H3357" s="123">
        <v>0</v>
      </c>
      <c r="I3357" s="122">
        <v>0</v>
      </c>
      <c r="J3357" s="124">
        <f t="shared" si="52"/>
        <v>0</v>
      </c>
    </row>
    <row r="3358" spans="1:10" ht="15" customHeight="1" x14ac:dyDescent="0.2">
      <c r="A3358" s="120" t="s">
        <v>8250</v>
      </c>
      <c r="B3358" s="120" t="s">
        <v>3532</v>
      </c>
      <c r="C3358" s="98" t="s">
        <v>3532</v>
      </c>
      <c r="D3358" s="120" t="s">
        <v>3534</v>
      </c>
      <c r="E3358" s="98">
        <v>0</v>
      </c>
      <c r="F3358" s="120">
        <v>0</v>
      </c>
      <c r="G3358" s="121">
        <v>0</v>
      </c>
      <c r="H3358" s="123">
        <v>0</v>
      </c>
      <c r="I3358" s="122">
        <v>0</v>
      </c>
      <c r="J3358" s="124">
        <f t="shared" si="52"/>
        <v>0</v>
      </c>
    </row>
    <row r="3359" spans="1:10" ht="15" customHeight="1" x14ac:dyDescent="0.2">
      <c r="A3359" s="120" t="s">
        <v>8251</v>
      </c>
      <c r="B3359" s="120" t="s">
        <v>3532</v>
      </c>
      <c r="C3359" s="98" t="s">
        <v>3532</v>
      </c>
      <c r="D3359" s="120" t="s">
        <v>3534</v>
      </c>
      <c r="E3359" s="98">
        <v>0</v>
      </c>
      <c r="F3359" s="120">
        <v>0</v>
      </c>
      <c r="G3359" s="121">
        <v>0</v>
      </c>
      <c r="H3359" s="123">
        <v>0</v>
      </c>
      <c r="I3359" s="122">
        <v>0</v>
      </c>
      <c r="J3359" s="124">
        <f t="shared" si="52"/>
        <v>0</v>
      </c>
    </row>
    <row r="3360" spans="1:10" ht="15" customHeight="1" x14ac:dyDescent="0.2">
      <c r="A3360" s="120" t="s">
        <v>8252</v>
      </c>
      <c r="B3360" s="120" t="s">
        <v>3532</v>
      </c>
      <c r="C3360" s="98" t="s">
        <v>3532</v>
      </c>
      <c r="D3360" s="120" t="s">
        <v>3534</v>
      </c>
      <c r="E3360" s="98">
        <v>0</v>
      </c>
      <c r="F3360" s="120">
        <v>0</v>
      </c>
      <c r="G3360" s="121">
        <v>0</v>
      </c>
      <c r="H3360" s="123">
        <v>0</v>
      </c>
      <c r="I3360" s="122">
        <v>0</v>
      </c>
      <c r="J3360" s="124">
        <f t="shared" si="52"/>
        <v>0</v>
      </c>
    </row>
    <row r="3361" spans="1:10" ht="15" customHeight="1" x14ac:dyDescent="0.2">
      <c r="A3361" s="120" t="s">
        <v>8253</v>
      </c>
      <c r="B3361" s="120" t="s">
        <v>8254</v>
      </c>
      <c r="C3361" s="98" t="s">
        <v>3533</v>
      </c>
      <c r="D3361" s="120" t="s">
        <v>3534</v>
      </c>
      <c r="E3361" s="98">
        <v>0</v>
      </c>
      <c r="F3361" s="120">
        <v>0</v>
      </c>
      <c r="G3361" s="121">
        <v>1200</v>
      </c>
      <c r="H3361" s="123">
        <v>0</v>
      </c>
      <c r="I3361" s="122">
        <v>0</v>
      </c>
      <c r="J3361" s="124">
        <f t="shared" si="52"/>
        <v>0</v>
      </c>
    </row>
    <row r="3362" spans="1:10" ht="15" customHeight="1" x14ac:dyDescent="0.2">
      <c r="A3362" s="120" t="s">
        <v>8255</v>
      </c>
      <c r="B3362" s="120" t="s">
        <v>3532</v>
      </c>
      <c r="C3362" s="98" t="s">
        <v>3533</v>
      </c>
      <c r="D3362" s="120" t="s">
        <v>3534</v>
      </c>
      <c r="E3362" s="98">
        <v>0</v>
      </c>
      <c r="F3362" s="120">
        <v>0</v>
      </c>
      <c r="G3362" s="121">
        <v>1343</v>
      </c>
      <c r="H3362" s="123">
        <v>0</v>
      </c>
      <c r="I3362" s="122">
        <v>0</v>
      </c>
      <c r="J3362" s="124">
        <f t="shared" si="52"/>
        <v>0</v>
      </c>
    </row>
    <row r="3363" spans="1:10" ht="15" customHeight="1" x14ac:dyDescent="0.2">
      <c r="A3363" s="120" t="s">
        <v>8256</v>
      </c>
      <c r="B3363" s="120" t="s">
        <v>3532</v>
      </c>
      <c r="C3363" s="98" t="s">
        <v>3533</v>
      </c>
      <c r="D3363" s="120" t="s">
        <v>3534</v>
      </c>
      <c r="E3363" s="98">
        <v>0</v>
      </c>
      <c r="F3363" s="120">
        <v>0</v>
      </c>
      <c r="G3363" s="121">
        <v>746</v>
      </c>
      <c r="H3363" s="123">
        <v>0</v>
      </c>
      <c r="I3363" s="122">
        <v>0</v>
      </c>
      <c r="J3363" s="124">
        <f t="shared" si="52"/>
        <v>0</v>
      </c>
    </row>
    <row r="3364" spans="1:10" ht="15" customHeight="1" x14ac:dyDescent="0.2">
      <c r="A3364" s="120" t="s">
        <v>8257</v>
      </c>
      <c r="B3364" s="120" t="s">
        <v>3532</v>
      </c>
      <c r="C3364" s="98" t="s">
        <v>3533</v>
      </c>
      <c r="D3364" s="120" t="s">
        <v>3534</v>
      </c>
      <c r="E3364" s="98">
        <v>0</v>
      </c>
      <c r="F3364" s="120">
        <v>0</v>
      </c>
      <c r="G3364" s="121">
        <v>429</v>
      </c>
      <c r="H3364" s="123">
        <v>0</v>
      </c>
      <c r="I3364" s="122">
        <v>0</v>
      </c>
      <c r="J3364" s="124">
        <f t="shared" si="52"/>
        <v>0</v>
      </c>
    </row>
    <row r="3365" spans="1:10" ht="15" customHeight="1" x14ac:dyDescent="0.2">
      <c r="A3365" s="120" t="s">
        <v>8258</v>
      </c>
      <c r="B3365" s="120" t="s">
        <v>3532</v>
      </c>
      <c r="C3365" s="98" t="s">
        <v>3533</v>
      </c>
      <c r="D3365" s="120" t="s">
        <v>3534</v>
      </c>
      <c r="E3365" s="98">
        <v>0</v>
      </c>
      <c r="F3365" s="120">
        <v>0</v>
      </c>
      <c r="G3365" s="121">
        <v>1258</v>
      </c>
      <c r="H3365" s="123">
        <v>0</v>
      </c>
      <c r="I3365" s="122">
        <v>0</v>
      </c>
      <c r="J3365" s="124">
        <f t="shared" si="52"/>
        <v>0</v>
      </c>
    </row>
    <row r="3366" spans="1:10" ht="15" customHeight="1" x14ac:dyDescent="0.2">
      <c r="A3366" s="120" t="s">
        <v>8259</v>
      </c>
      <c r="B3366" s="120" t="s">
        <v>3532</v>
      </c>
      <c r="C3366" s="98" t="s">
        <v>3532</v>
      </c>
      <c r="D3366" s="120" t="s">
        <v>3563</v>
      </c>
      <c r="E3366" s="98">
        <v>0</v>
      </c>
      <c r="F3366" s="120">
        <v>0</v>
      </c>
      <c r="G3366" s="121">
        <v>75130</v>
      </c>
      <c r="H3366" s="123">
        <v>0</v>
      </c>
      <c r="I3366" s="122">
        <v>0</v>
      </c>
      <c r="J3366" s="124">
        <f t="shared" si="52"/>
        <v>0</v>
      </c>
    </row>
    <row r="3367" spans="1:10" ht="15" customHeight="1" x14ac:dyDescent="0.2">
      <c r="A3367" s="120" t="s">
        <v>8260</v>
      </c>
      <c r="B3367" s="120" t="s">
        <v>3532</v>
      </c>
      <c r="C3367" s="98" t="s">
        <v>3532</v>
      </c>
      <c r="D3367" s="120" t="s">
        <v>3563</v>
      </c>
      <c r="E3367" s="98">
        <v>0</v>
      </c>
      <c r="F3367" s="120">
        <v>0</v>
      </c>
      <c r="G3367" s="121">
        <v>492</v>
      </c>
      <c r="H3367" s="123">
        <v>0</v>
      </c>
      <c r="I3367" s="122">
        <v>0</v>
      </c>
      <c r="J3367" s="124">
        <f t="shared" si="52"/>
        <v>0</v>
      </c>
    </row>
    <row r="3368" spans="1:10" ht="15" customHeight="1" x14ac:dyDescent="0.2">
      <c r="A3368" s="120" t="s">
        <v>8261</v>
      </c>
      <c r="B3368" s="120" t="s">
        <v>3532</v>
      </c>
      <c r="C3368" s="98" t="s">
        <v>3533</v>
      </c>
      <c r="D3368" s="120" t="s">
        <v>3563</v>
      </c>
      <c r="E3368" s="98">
        <v>0</v>
      </c>
      <c r="F3368" s="120">
        <v>0</v>
      </c>
      <c r="G3368" s="121">
        <v>50675</v>
      </c>
      <c r="H3368" s="123">
        <v>0</v>
      </c>
      <c r="I3368" s="122">
        <v>0</v>
      </c>
      <c r="J3368" s="124">
        <f t="shared" si="52"/>
        <v>0</v>
      </c>
    </row>
    <row r="3369" spans="1:10" ht="15" customHeight="1" x14ac:dyDescent="0.2">
      <c r="A3369" s="120" t="s">
        <v>8262</v>
      </c>
      <c r="B3369" s="120" t="s">
        <v>3532</v>
      </c>
      <c r="C3369" s="98" t="s">
        <v>3533</v>
      </c>
      <c r="D3369" s="120" t="s">
        <v>3563</v>
      </c>
      <c r="E3369" s="98">
        <v>0</v>
      </c>
      <c r="F3369" s="120">
        <v>0</v>
      </c>
      <c r="G3369" s="121">
        <v>3560</v>
      </c>
      <c r="H3369" s="123">
        <v>0</v>
      </c>
      <c r="I3369" s="122">
        <v>0</v>
      </c>
      <c r="J3369" s="124">
        <f t="shared" si="52"/>
        <v>0</v>
      </c>
    </row>
    <row r="3370" spans="1:10" ht="15" customHeight="1" x14ac:dyDescent="0.2">
      <c r="A3370" s="120" t="s">
        <v>8263</v>
      </c>
      <c r="B3370" s="120" t="s">
        <v>3532</v>
      </c>
      <c r="C3370" s="98" t="s">
        <v>3533</v>
      </c>
      <c r="D3370" s="120" t="s">
        <v>3563</v>
      </c>
      <c r="E3370" s="98">
        <v>0</v>
      </c>
      <c r="F3370" s="120">
        <v>0</v>
      </c>
      <c r="G3370" s="121">
        <v>4914</v>
      </c>
      <c r="H3370" s="123">
        <v>0</v>
      </c>
      <c r="I3370" s="122">
        <v>0</v>
      </c>
      <c r="J3370" s="124">
        <f t="shared" si="52"/>
        <v>0</v>
      </c>
    </row>
    <row r="3371" spans="1:10" ht="15" customHeight="1" x14ac:dyDescent="0.2">
      <c r="A3371" s="120" t="s">
        <v>8264</v>
      </c>
      <c r="B3371" s="120" t="s">
        <v>3532</v>
      </c>
      <c r="C3371" s="98" t="s">
        <v>3533</v>
      </c>
      <c r="D3371" s="120" t="s">
        <v>3563</v>
      </c>
      <c r="E3371" s="98">
        <v>0</v>
      </c>
      <c r="F3371" s="120">
        <v>0</v>
      </c>
      <c r="G3371" s="121">
        <v>70375</v>
      </c>
      <c r="H3371" s="123">
        <v>0</v>
      </c>
      <c r="I3371" s="122">
        <v>0</v>
      </c>
      <c r="J3371" s="124">
        <f t="shared" si="52"/>
        <v>0</v>
      </c>
    </row>
    <row r="3372" spans="1:10" ht="15" customHeight="1" x14ac:dyDescent="0.2">
      <c r="A3372" s="120" t="s">
        <v>8265</v>
      </c>
      <c r="B3372" s="120" t="s">
        <v>3532</v>
      </c>
      <c r="C3372" s="98" t="s">
        <v>3532</v>
      </c>
      <c r="D3372" s="120" t="s">
        <v>3563</v>
      </c>
      <c r="E3372" s="98">
        <v>0</v>
      </c>
      <c r="F3372" s="120">
        <v>0</v>
      </c>
      <c r="G3372" s="121">
        <v>235</v>
      </c>
      <c r="H3372" s="123">
        <v>0</v>
      </c>
      <c r="I3372" s="122">
        <v>0</v>
      </c>
      <c r="J3372" s="124">
        <f t="shared" si="52"/>
        <v>0</v>
      </c>
    </row>
    <row r="3373" spans="1:10" ht="15" customHeight="1" x14ac:dyDescent="0.2">
      <c r="A3373" s="120" t="s">
        <v>8266</v>
      </c>
      <c r="B3373" s="120" t="s">
        <v>8254</v>
      </c>
      <c r="C3373" s="98" t="s">
        <v>3533</v>
      </c>
      <c r="D3373" s="120" t="s">
        <v>3563</v>
      </c>
      <c r="E3373" s="98">
        <v>0</v>
      </c>
      <c r="F3373" s="120">
        <v>0</v>
      </c>
      <c r="G3373" s="121">
        <v>680</v>
      </c>
      <c r="H3373" s="123">
        <v>0</v>
      </c>
      <c r="I3373" s="122">
        <v>0</v>
      </c>
      <c r="J3373" s="124">
        <f t="shared" si="52"/>
        <v>0</v>
      </c>
    </row>
    <row r="3374" spans="1:10" ht="15" customHeight="1" x14ac:dyDescent="0.2">
      <c r="A3374" s="120" t="s">
        <v>8267</v>
      </c>
      <c r="B3374" s="120" t="s">
        <v>3532</v>
      </c>
      <c r="C3374" s="98" t="s">
        <v>3533</v>
      </c>
      <c r="D3374" s="120" t="s">
        <v>3563</v>
      </c>
      <c r="E3374" s="98">
        <v>0</v>
      </c>
      <c r="F3374" s="120">
        <v>0</v>
      </c>
      <c r="G3374" s="121">
        <v>81065</v>
      </c>
      <c r="H3374" s="123">
        <v>0</v>
      </c>
      <c r="I3374" s="122">
        <v>0</v>
      </c>
      <c r="J3374" s="124">
        <f t="shared" si="52"/>
        <v>0</v>
      </c>
    </row>
    <row r="3375" spans="1:10" ht="15" customHeight="1" x14ac:dyDescent="0.2">
      <c r="A3375" s="120" t="s">
        <v>8268</v>
      </c>
      <c r="B3375" s="120" t="s">
        <v>3532</v>
      </c>
      <c r="C3375" s="98" t="s">
        <v>3533</v>
      </c>
      <c r="D3375" s="120" t="s">
        <v>3563</v>
      </c>
      <c r="E3375" s="98">
        <v>0</v>
      </c>
      <c r="F3375" s="120">
        <v>0</v>
      </c>
      <c r="G3375" s="121">
        <v>90000</v>
      </c>
      <c r="H3375" s="123">
        <v>0</v>
      </c>
      <c r="I3375" s="122">
        <v>0</v>
      </c>
      <c r="J3375" s="124">
        <f t="shared" si="52"/>
        <v>0</v>
      </c>
    </row>
    <row r="3376" spans="1:10" ht="15" customHeight="1" x14ac:dyDescent="0.2">
      <c r="A3376" s="120" t="s">
        <v>8269</v>
      </c>
      <c r="B3376" s="120" t="s">
        <v>3532</v>
      </c>
      <c r="C3376" s="98" t="s">
        <v>3533</v>
      </c>
      <c r="D3376" s="120" t="s">
        <v>3563</v>
      </c>
      <c r="E3376" s="98">
        <v>0</v>
      </c>
      <c r="F3376" s="120">
        <v>0</v>
      </c>
      <c r="G3376" s="121">
        <v>9256</v>
      </c>
      <c r="H3376" s="123">
        <v>0</v>
      </c>
      <c r="I3376" s="122">
        <v>0</v>
      </c>
      <c r="J3376" s="124">
        <f t="shared" si="52"/>
        <v>0</v>
      </c>
    </row>
    <row r="3377" spans="1:10" ht="15" customHeight="1" x14ac:dyDescent="0.2">
      <c r="A3377" s="120" t="s">
        <v>8270</v>
      </c>
      <c r="B3377" s="120" t="s">
        <v>3532</v>
      </c>
      <c r="C3377" s="98" t="s">
        <v>3533</v>
      </c>
      <c r="D3377" s="120" t="s">
        <v>3563</v>
      </c>
      <c r="E3377" s="98">
        <v>0</v>
      </c>
      <c r="F3377" s="120">
        <v>0</v>
      </c>
      <c r="G3377" s="121">
        <v>100530</v>
      </c>
      <c r="H3377" s="123">
        <v>0</v>
      </c>
      <c r="I3377" s="122">
        <v>0</v>
      </c>
      <c r="J3377" s="124">
        <f t="shared" si="52"/>
        <v>0</v>
      </c>
    </row>
    <row r="3378" spans="1:10" ht="15" customHeight="1" x14ac:dyDescent="0.2">
      <c r="A3378" s="120" t="s">
        <v>8271</v>
      </c>
      <c r="B3378" s="120" t="s">
        <v>3532</v>
      </c>
      <c r="C3378" s="98" t="s">
        <v>3533</v>
      </c>
      <c r="D3378" s="120" t="s">
        <v>3563</v>
      </c>
      <c r="E3378" s="98">
        <v>0</v>
      </c>
      <c r="F3378" s="120">
        <v>0</v>
      </c>
      <c r="G3378" s="121">
        <v>75000</v>
      </c>
      <c r="H3378" s="123">
        <v>0</v>
      </c>
      <c r="I3378" s="122">
        <v>0</v>
      </c>
      <c r="J3378" s="124">
        <f t="shared" si="52"/>
        <v>0</v>
      </c>
    </row>
    <row r="3379" spans="1:10" ht="15" customHeight="1" x14ac:dyDescent="0.2">
      <c r="A3379" s="120" t="s">
        <v>6559</v>
      </c>
      <c r="B3379" s="120" t="s">
        <v>3532</v>
      </c>
      <c r="C3379" s="98" t="s">
        <v>3533</v>
      </c>
      <c r="D3379" s="120" t="s">
        <v>3563</v>
      </c>
      <c r="E3379" s="98">
        <v>0</v>
      </c>
      <c r="F3379" s="120">
        <v>0</v>
      </c>
      <c r="G3379" s="121">
        <v>0</v>
      </c>
      <c r="H3379" s="123">
        <v>0</v>
      </c>
      <c r="I3379" s="122">
        <v>0</v>
      </c>
      <c r="J3379" s="124">
        <f t="shared" si="52"/>
        <v>0</v>
      </c>
    </row>
    <row r="3380" spans="1:10" ht="15" customHeight="1" x14ac:dyDescent="0.2">
      <c r="A3380" s="120" t="s">
        <v>8272</v>
      </c>
      <c r="B3380" s="120" t="s">
        <v>3532</v>
      </c>
      <c r="C3380" s="98" t="s">
        <v>3533</v>
      </c>
      <c r="D3380" s="120" t="s">
        <v>3563</v>
      </c>
      <c r="E3380" s="98">
        <v>0</v>
      </c>
      <c r="F3380" s="120">
        <v>0</v>
      </c>
      <c r="G3380" s="121">
        <v>11375</v>
      </c>
      <c r="H3380" s="123">
        <v>0</v>
      </c>
      <c r="I3380" s="122">
        <v>0</v>
      </c>
      <c r="J3380" s="124">
        <f t="shared" si="52"/>
        <v>0</v>
      </c>
    </row>
    <row r="3381" spans="1:10" ht="15" customHeight="1" x14ac:dyDescent="0.2">
      <c r="A3381" s="120" t="s">
        <v>8273</v>
      </c>
      <c r="B3381" s="120" t="s">
        <v>8254</v>
      </c>
      <c r="C3381" s="98" t="s">
        <v>3533</v>
      </c>
      <c r="D3381" s="120" t="s">
        <v>3563</v>
      </c>
      <c r="E3381" s="98">
        <v>0</v>
      </c>
      <c r="F3381" s="120">
        <v>0</v>
      </c>
      <c r="G3381" s="121">
        <v>13960</v>
      </c>
      <c r="H3381" s="123">
        <v>0</v>
      </c>
      <c r="I3381" s="122">
        <v>0</v>
      </c>
      <c r="J3381" s="124">
        <f t="shared" si="52"/>
        <v>0</v>
      </c>
    </row>
    <row r="3382" spans="1:10" ht="15" customHeight="1" x14ac:dyDescent="0.2">
      <c r="A3382" s="120" t="s">
        <v>8274</v>
      </c>
      <c r="B3382" s="120" t="s">
        <v>3532</v>
      </c>
      <c r="C3382" s="98" t="s">
        <v>3533</v>
      </c>
      <c r="D3382" s="120" t="s">
        <v>3563</v>
      </c>
      <c r="E3382" s="98">
        <v>0</v>
      </c>
      <c r="F3382" s="120">
        <v>0</v>
      </c>
      <c r="G3382" s="121">
        <v>4730</v>
      </c>
      <c r="H3382" s="123">
        <v>0</v>
      </c>
      <c r="I3382" s="122">
        <v>0</v>
      </c>
      <c r="J3382" s="124">
        <f t="shared" si="52"/>
        <v>0</v>
      </c>
    </row>
    <row r="3383" spans="1:10" ht="15" customHeight="1" x14ac:dyDescent="0.2">
      <c r="A3383" s="120" t="s">
        <v>8275</v>
      </c>
      <c r="B3383" s="120" t="s">
        <v>8254</v>
      </c>
      <c r="C3383" s="98" t="s">
        <v>3533</v>
      </c>
      <c r="D3383" s="120" t="s">
        <v>3563</v>
      </c>
      <c r="E3383" s="98">
        <v>0</v>
      </c>
      <c r="F3383" s="120">
        <v>0</v>
      </c>
      <c r="G3383" s="121">
        <v>113330</v>
      </c>
      <c r="H3383" s="123">
        <v>0</v>
      </c>
      <c r="I3383" s="122">
        <v>0</v>
      </c>
      <c r="J3383" s="124">
        <f t="shared" si="52"/>
        <v>0</v>
      </c>
    </row>
    <row r="3384" spans="1:10" ht="15" customHeight="1" x14ac:dyDescent="0.2">
      <c r="A3384" s="120" t="s">
        <v>8276</v>
      </c>
      <c r="B3384" s="120" t="s">
        <v>8254</v>
      </c>
      <c r="C3384" s="98" t="s">
        <v>3533</v>
      </c>
      <c r="D3384" s="120" t="s">
        <v>3563</v>
      </c>
      <c r="E3384" s="98">
        <v>0</v>
      </c>
      <c r="F3384" s="120">
        <v>0</v>
      </c>
      <c r="G3384" s="121">
        <v>143170</v>
      </c>
      <c r="H3384" s="123">
        <v>0</v>
      </c>
      <c r="I3384" s="122">
        <v>0</v>
      </c>
      <c r="J3384" s="124">
        <f t="shared" si="52"/>
        <v>0</v>
      </c>
    </row>
    <row r="3385" spans="1:10" ht="15" customHeight="1" x14ac:dyDescent="0.2">
      <c r="A3385" s="120" t="s">
        <v>8277</v>
      </c>
      <c r="B3385" s="120" t="s">
        <v>3532</v>
      </c>
      <c r="C3385" s="98" t="s">
        <v>3533</v>
      </c>
      <c r="D3385" s="120" t="s">
        <v>3534</v>
      </c>
      <c r="E3385" s="98">
        <v>0</v>
      </c>
      <c r="F3385" s="120">
        <v>0</v>
      </c>
      <c r="G3385" s="121">
        <v>27350</v>
      </c>
      <c r="H3385" s="123">
        <v>0</v>
      </c>
      <c r="I3385" s="122">
        <v>0</v>
      </c>
      <c r="J3385" s="124">
        <f t="shared" si="52"/>
        <v>0</v>
      </c>
    </row>
    <row r="3386" spans="1:10" ht="15" customHeight="1" x14ac:dyDescent="0.2">
      <c r="A3386" s="120" t="s">
        <v>8278</v>
      </c>
      <c r="B3386" s="120" t="s">
        <v>3532</v>
      </c>
      <c r="C3386" s="98" t="s">
        <v>3533</v>
      </c>
      <c r="D3386" s="120" t="s">
        <v>3534</v>
      </c>
      <c r="E3386" s="98">
        <v>0</v>
      </c>
      <c r="F3386" s="120">
        <v>0</v>
      </c>
      <c r="G3386" s="121">
        <v>5754</v>
      </c>
      <c r="H3386" s="123">
        <v>0</v>
      </c>
      <c r="I3386" s="122">
        <v>0</v>
      </c>
      <c r="J3386" s="124">
        <f t="shared" si="52"/>
        <v>0</v>
      </c>
    </row>
    <row r="3387" spans="1:10" ht="15" customHeight="1" x14ac:dyDescent="0.2">
      <c r="A3387" s="120" t="s">
        <v>8279</v>
      </c>
      <c r="B3387" s="120" t="s">
        <v>3532</v>
      </c>
      <c r="C3387" s="98" t="s">
        <v>3533</v>
      </c>
      <c r="D3387" s="120" t="s">
        <v>3534</v>
      </c>
      <c r="E3387" s="98">
        <v>0</v>
      </c>
      <c r="F3387" s="120">
        <v>0</v>
      </c>
      <c r="G3387" s="121">
        <v>0</v>
      </c>
      <c r="H3387" s="123">
        <v>0</v>
      </c>
      <c r="I3387" s="122">
        <v>0</v>
      </c>
      <c r="J3387" s="124">
        <f t="shared" si="52"/>
        <v>0</v>
      </c>
    </row>
    <row r="3388" spans="1:10" ht="15" customHeight="1" x14ac:dyDescent="0.2">
      <c r="A3388" s="120" t="s">
        <v>8280</v>
      </c>
      <c r="B3388" s="120" t="s">
        <v>3532</v>
      </c>
      <c r="C3388" s="98" t="s">
        <v>3533</v>
      </c>
      <c r="D3388" s="120" t="s">
        <v>3534</v>
      </c>
      <c r="E3388" s="98">
        <v>0</v>
      </c>
      <c r="F3388" s="120">
        <v>0</v>
      </c>
      <c r="G3388" s="121">
        <v>0</v>
      </c>
      <c r="H3388" s="123">
        <v>0</v>
      </c>
      <c r="I3388" s="122">
        <v>0</v>
      </c>
      <c r="J3388" s="124">
        <f t="shared" si="52"/>
        <v>0</v>
      </c>
    </row>
    <row r="3389" spans="1:10" ht="15" customHeight="1" x14ac:dyDescent="0.2">
      <c r="A3389" s="120" t="s">
        <v>8281</v>
      </c>
      <c r="B3389" s="120" t="s">
        <v>3532</v>
      </c>
      <c r="C3389" s="98" t="s">
        <v>3533</v>
      </c>
      <c r="D3389" s="120" t="s">
        <v>3534</v>
      </c>
      <c r="E3389" s="98">
        <v>0.52180000000000004</v>
      </c>
      <c r="F3389" s="120">
        <v>0</v>
      </c>
      <c r="G3389" s="121">
        <v>12398</v>
      </c>
      <c r="H3389" s="123">
        <v>0.52180000000000004</v>
      </c>
      <c r="I3389" s="122">
        <v>6469.2764000000006</v>
      </c>
      <c r="J3389" s="124">
        <f t="shared" si="52"/>
        <v>0.52180000000000004</v>
      </c>
    </row>
    <row r="3390" spans="1:10" ht="15" customHeight="1" x14ac:dyDescent="0.2">
      <c r="A3390" s="120" t="s">
        <v>8282</v>
      </c>
      <c r="B3390" s="120" t="s">
        <v>3532</v>
      </c>
      <c r="C3390" s="98" t="s">
        <v>3533</v>
      </c>
      <c r="D3390" s="120" t="s">
        <v>3534</v>
      </c>
      <c r="E3390" s="98">
        <v>0</v>
      </c>
      <c r="F3390" s="120">
        <v>0</v>
      </c>
      <c r="G3390" s="121">
        <v>8726</v>
      </c>
      <c r="H3390" s="123">
        <v>0</v>
      </c>
      <c r="I3390" s="122">
        <v>0</v>
      </c>
      <c r="J3390" s="124">
        <f t="shared" si="52"/>
        <v>0</v>
      </c>
    </row>
    <row r="3391" spans="1:10" ht="15" customHeight="1" x14ac:dyDescent="0.2">
      <c r="A3391" s="120" t="s">
        <v>8283</v>
      </c>
      <c r="B3391" s="120" t="s">
        <v>3532</v>
      </c>
      <c r="C3391" s="98" t="s">
        <v>3533</v>
      </c>
      <c r="D3391" s="120" t="s">
        <v>3534</v>
      </c>
      <c r="E3391" s="98">
        <v>0.187390909090909</v>
      </c>
      <c r="F3391" s="120">
        <v>0</v>
      </c>
      <c r="G3391" s="121">
        <v>171</v>
      </c>
      <c r="H3391" s="123">
        <v>0.187391</v>
      </c>
      <c r="I3391" s="122">
        <v>32.043861</v>
      </c>
      <c r="J3391" s="124">
        <f t="shared" si="52"/>
        <v>0.187390909090909</v>
      </c>
    </row>
    <row r="3392" spans="1:10" ht="15" customHeight="1" x14ac:dyDescent="0.2">
      <c r="A3392" s="120" t="s">
        <v>8284</v>
      </c>
      <c r="B3392" s="120" t="s">
        <v>3532</v>
      </c>
      <c r="C3392" s="98" t="s">
        <v>3532</v>
      </c>
      <c r="D3392" s="120" t="s">
        <v>3534</v>
      </c>
      <c r="E3392" s="98">
        <v>0</v>
      </c>
      <c r="F3392" s="120">
        <v>0</v>
      </c>
      <c r="G3392" s="121">
        <v>2423</v>
      </c>
      <c r="H3392" s="123">
        <v>0</v>
      </c>
      <c r="I3392" s="122">
        <v>0</v>
      </c>
      <c r="J3392" s="124">
        <f t="shared" si="52"/>
        <v>0</v>
      </c>
    </row>
    <row r="3393" spans="1:11" ht="15" customHeight="1" x14ac:dyDescent="0.2">
      <c r="A3393" s="120" t="s">
        <v>8285</v>
      </c>
      <c r="B3393" s="120" t="s">
        <v>8286</v>
      </c>
      <c r="C3393" s="98" t="s">
        <v>3533</v>
      </c>
      <c r="D3393" s="120" t="s">
        <v>3534</v>
      </c>
      <c r="E3393" s="98">
        <v>0</v>
      </c>
      <c r="F3393" s="120">
        <v>0</v>
      </c>
      <c r="G3393" s="121">
        <v>19</v>
      </c>
      <c r="H3393" s="123">
        <v>0</v>
      </c>
      <c r="I3393" s="122">
        <v>0</v>
      </c>
      <c r="J3393" s="124">
        <f t="shared" si="52"/>
        <v>0</v>
      </c>
      <c r="K3393" s="98" t="s">
        <v>8287</v>
      </c>
    </row>
    <row r="3394" spans="1:11" ht="15" customHeight="1" x14ac:dyDescent="0.2">
      <c r="A3394" s="120" t="s">
        <v>8288</v>
      </c>
      <c r="B3394" s="120" t="s">
        <v>3532</v>
      </c>
      <c r="C3394" s="98" t="s">
        <v>3532</v>
      </c>
      <c r="D3394" s="120" t="s">
        <v>3534</v>
      </c>
      <c r="E3394" s="98">
        <v>0</v>
      </c>
      <c r="F3394" s="120">
        <v>0</v>
      </c>
      <c r="G3394" s="121">
        <v>0</v>
      </c>
      <c r="H3394" s="123">
        <v>0</v>
      </c>
      <c r="I3394" s="122">
        <v>0</v>
      </c>
      <c r="J3394" s="124">
        <f t="shared" ref="J3394:J3457" si="53">IF(D3394="gm", E3394*1000,+E3394)</f>
        <v>0</v>
      </c>
    </row>
    <row r="3395" spans="1:11" ht="15" customHeight="1" x14ac:dyDescent="0.2">
      <c r="A3395" s="120" t="s">
        <v>8289</v>
      </c>
      <c r="B3395" s="120" t="s">
        <v>3532</v>
      </c>
      <c r="C3395" s="98" t="s">
        <v>3532</v>
      </c>
      <c r="D3395" s="120" t="s">
        <v>3534</v>
      </c>
      <c r="E3395" s="98">
        <v>0</v>
      </c>
      <c r="F3395" s="120">
        <v>0</v>
      </c>
      <c r="G3395" s="121">
        <v>0</v>
      </c>
      <c r="H3395" s="123">
        <v>0</v>
      </c>
      <c r="I3395" s="122">
        <v>0</v>
      </c>
      <c r="J3395" s="124">
        <f t="shared" si="53"/>
        <v>0</v>
      </c>
    </row>
    <row r="3396" spans="1:11" ht="15" customHeight="1" x14ac:dyDescent="0.2">
      <c r="A3396" s="120" t="s">
        <v>8290</v>
      </c>
      <c r="B3396" s="120" t="s">
        <v>3532</v>
      </c>
      <c r="C3396" s="98" t="s">
        <v>3532</v>
      </c>
      <c r="D3396" s="120" t="s">
        <v>3534</v>
      </c>
      <c r="E3396" s="98">
        <v>0</v>
      </c>
      <c r="F3396" s="120">
        <v>0</v>
      </c>
      <c r="G3396" s="121">
        <v>0</v>
      </c>
      <c r="H3396" s="123">
        <v>0</v>
      </c>
      <c r="I3396" s="122">
        <v>0</v>
      </c>
      <c r="J3396" s="124">
        <f t="shared" si="53"/>
        <v>0</v>
      </c>
    </row>
    <row r="3397" spans="1:11" ht="15" customHeight="1" x14ac:dyDescent="0.2">
      <c r="A3397" s="120" t="s">
        <v>8291</v>
      </c>
      <c r="B3397" s="120" t="s">
        <v>8286</v>
      </c>
      <c r="C3397" s="98" t="s">
        <v>3533</v>
      </c>
      <c r="D3397" s="120" t="s">
        <v>3534</v>
      </c>
      <c r="E3397" s="98">
        <v>0</v>
      </c>
      <c r="F3397" s="120">
        <v>0</v>
      </c>
      <c r="G3397" s="121">
        <v>0</v>
      </c>
      <c r="H3397" s="123">
        <v>0</v>
      </c>
      <c r="I3397" s="122">
        <v>0</v>
      </c>
      <c r="J3397" s="124">
        <f t="shared" si="53"/>
        <v>0</v>
      </c>
    </row>
    <row r="3398" spans="1:11" ht="15" customHeight="1" x14ac:dyDescent="0.2">
      <c r="A3398" s="120" t="s">
        <v>8292</v>
      </c>
      <c r="B3398" s="120" t="s">
        <v>8286</v>
      </c>
      <c r="C3398" s="98" t="s">
        <v>3533</v>
      </c>
      <c r="D3398" s="120" t="s">
        <v>3534</v>
      </c>
      <c r="E3398" s="98">
        <v>0</v>
      </c>
      <c r="F3398" s="120">
        <v>0</v>
      </c>
      <c r="G3398" s="121">
        <v>0</v>
      </c>
      <c r="H3398" s="123">
        <v>0</v>
      </c>
      <c r="I3398" s="122">
        <v>0</v>
      </c>
      <c r="J3398" s="124">
        <f t="shared" si="53"/>
        <v>0</v>
      </c>
    </row>
    <row r="3399" spans="1:11" ht="15" customHeight="1" x14ac:dyDescent="0.2">
      <c r="A3399" s="120" t="s">
        <v>8293</v>
      </c>
      <c r="B3399" s="120" t="s">
        <v>8286</v>
      </c>
      <c r="C3399" s="98" t="s">
        <v>3533</v>
      </c>
      <c r="D3399" s="120" t="s">
        <v>3534</v>
      </c>
      <c r="E3399" s="98">
        <v>0</v>
      </c>
      <c r="F3399" s="120">
        <v>0</v>
      </c>
      <c r="G3399" s="121">
        <v>0</v>
      </c>
      <c r="H3399" s="123">
        <v>0</v>
      </c>
      <c r="I3399" s="122">
        <v>0</v>
      </c>
      <c r="J3399" s="124">
        <f t="shared" si="53"/>
        <v>0</v>
      </c>
    </row>
    <row r="3400" spans="1:11" ht="15" customHeight="1" x14ac:dyDescent="0.2">
      <c r="A3400" s="120" t="s">
        <v>8294</v>
      </c>
      <c r="B3400" s="120" t="s">
        <v>8286</v>
      </c>
      <c r="C3400" s="98" t="s">
        <v>3533</v>
      </c>
      <c r="D3400" s="120" t="s">
        <v>3534</v>
      </c>
      <c r="E3400" s="98">
        <v>0</v>
      </c>
      <c r="F3400" s="120">
        <v>0</v>
      </c>
      <c r="G3400" s="121">
        <v>440</v>
      </c>
      <c r="H3400" s="123">
        <v>0</v>
      </c>
      <c r="I3400" s="122">
        <v>0</v>
      </c>
      <c r="J3400" s="124">
        <f t="shared" si="53"/>
        <v>0</v>
      </c>
    </row>
    <row r="3401" spans="1:11" ht="15" customHeight="1" x14ac:dyDescent="0.2">
      <c r="A3401" s="120" t="s">
        <v>8295</v>
      </c>
      <c r="B3401" s="120" t="s">
        <v>8286</v>
      </c>
      <c r="C3401" s="98" t="s">
        <v>3533</v>
      </c>
      <c r="D3401" s="120" t="s">
        <v>3534</v>
      </c>
      <c r="E3401" s="98">
        <v>0</v>
      </c>
      <c r="F3401" s="120">
        <v>0</v>
      </c>
      <c r="G3401" s="121">
        <v>249</v>
      </c>
      <c r="H3401" s="123">
        <v>0</v>
      </c>
      <c r="I3401" s="122">
        <v>0</v>
      </c>
      <c r="J3401" s="124">
        <f t="shared" si="53"/>
        <v>0</v>
      </c>
      <c r="K3401" s="98" t="s">
        <v>8287</v>
      </c>
    </row>
    <row r="3402" spans="1:11" ht="15" customHeight="1" x14ac:dyDescent="0.2">
      <c r="A3402" s="120" t="s">
        <v>8296</v>
      </c>
      <c r="B3402" s="120" t="s">
        <v>8286</v>
      </c>
      <c r="C3402" s="98" t="s">
        <v>3532</v>
      </c>
      <c r="D3402" s="120" t="s">
        <v>3534</v>
      </c>
      <c r="E3402" s="98">
        <v>0</v>
      </c>
      <c r="F3402" s="120">
        <v>0</v>
      </c>
      <c r="G3402" s="121">
        <v>248</v>
      </c>
      <c r="H3402" s="123">
        <v>0</v>
      </c>
      <c r="I3402" s="122">
        <v>0</v>
      </c>
      <c r="J3402" s="124">
        <f t="shared" si="53"/>
        <v>0</v>
      </c>
    </row>
    <row r="3403" spans="1:11" ht="15" customHeight="1" x14ac:dyDescent="0.2">
      <c r="A3403" s="120" t="s">
        <v>8297</v>
      </c>
      <c r="B3403" s="120" t="s">
        <v>3532</v>
      </c>
      <c r="C3403" s="98" t="s">
        <v>3533</v>
      </c>
      <c r="D3403" s="120" t="s">
        <v>3534</v>
      </c>
      <c r="E3403" s="98">
        <v>0</v>
      </c>
      <c r="F3403" s="120">
        <v>0</v>
      </c>
      <c r="G3403" s="121">
        <v>116</v>
      </c>
      <c r="H3403" s="123">
        <v>0</v>
      </c>
      <c r="I3403" s="122">
        <v>0</v>
      </c>
      <c r="J3403" s="124">
        <f t="shared" si="53"/>
        <v>0</v>
      </c>
    </row>
    <row r="3404" spans="1:11" ht="15" customHeight="1" x14ac:dyDescent="0.2">
      <c r="A3404" s="120" t="s">
        <v>8298</v>
      </c>
      <c r="B3404" s="120" t="s">
        <v>3532</v>
      </c>
      <c r="C3404" s="98" t="s">
        <v>3533</v>
      </c>
      <c r="D3404" s="120" t="s">
        <v>3534</v>
      </c>
      <c r="E3404" s="98">
        <v>0</v>
      </c>
      <c r="F3404" s="120">
        <v>0</v>
      </c>
      <c r="G3404" s="121">
        <v>60</v>
      </c>
      <c r="H3404" s="123">
        <v>0</v>
      </c>
      <c r="I3404" s="122">
        <v>0</v>
      </c>
      <c r="J3404" s="124">
        <f t="shared" si="53"/>
        <v>0</v>
      </c>
    </row>
    <row r="3405" spans="1:11" ht="15" customHeight="1" x14ac:dyDescent="0.2">
      <c r="A3405" s="120" t="s">
        <v>8299</v>
      </c>
      <c r="B3405" s="120" t="s">
        <v>3532</v>
      </c>
      <c r="C3405" s="98" t="s">
        <v>3533</v>
      </c>
      <c r="D3405" s="120" t="s">
        <v>3534</v>
      </c>
      <c r="E3405" s="98">
        <v>0</v>
      </c>
      <c r="F3405" s="120">
        <v>0</v>
      </c>
      <c r="G3405" s="121">
        <v>151</v>
      </c>
      <c r="H3405" s="123">
        <v>0</v>
      </c>
      <c r="I3405" s="122">
        <v>0</v>
      </c>
      <c r="J3405" s="124">
        <f t="shared" si="53"/>
        <v>0</v>
      </c>
    </row>
    <row r="3406" spans="1:11" ht="15" customHeight="1" x14ac:dyDescent="0.2">
      <c r="A3406" s="120" t="s">
        <v>8300</v>
      </c>
      <c r="B3406" s="120" t="s">
        <v>3532</v>
      </c>
      <c r="C3406" s="98" t="s">
        <v>3533</v>
      </c>
      <c r="D3406" s="120" t="s">
        <v>3534</v>
      </c>
      <c r="E3406" s="98">
        <v>0</v>
      </c>
      <c r="F3406" s="120">
        <v>0</v>
      </c>
      <c r="G3406" s="121">
        <v>93</v>
      </c>
      <c r="H3406" s="123">
        <v>0</v>
      </c>
      <c r="I3406" s="122">
        <v>0</v>
      </c>
      <c r="J3406" s="124">
        <f t="shared" si="53"/>
        <v>0</v>
      </c>
    </row>
    <row r="3407" spans="1:11" ht="15" customHeight="1" x14ac:dyDescent="0.2">
      <c r="A3407" s="120" t="s">
        <v>8301</v>
      </c>
      <c r="B3407" s="120" t="s">
        <v>3532</v>
      </c>
      <c r="C3407" s="98" t="s">
        <v>3533</v>
      </c>
      <c r="D3407" s="120" t="s">
        <v>3534</v>
      </c>
      <c r="E3407" s="98">
        <v>0</v>
      </c>
      <c r="F3407" s="120">
        <v>0</v>
      </c>
      <c r="G3407" s="121">
        <v>202.71118000000001</v>
      </c>
      <c r="H3407" s="123">
        <v>0</v>
      </c>
      <c r="I3407" s="122">
        <v>0</v>
      </c>
      <c r="J3407" s="124">
        <f t="shared" si="53"/>
        <v>0</v>
      </c>
    </row>
    <row r="3408" spans="1:11" ht="15" customHeight="1" x14ac:dyDescent="0.2">
      <c r="A3408" s="120" t="s">
        <v>8302</v>
      </c>
      <c r="B3408" s="120" t="s">
        <v>8286</v>
      </c>
      <c r="C3408" s="98" t="s">
        <v>3533</v>
      </c>
      <c r="D3408" s="120" t="s">
        <v>3534</v>
      </c>
      <c r="E3408" s="98">
        <v>0</v>
      </c>
      <c r="F3408" s="120">
        <v>0</v>
      </c>
      <c r="G3408" s="121">
        <v>0</v>
      </c>
      <c r="H3408" s="123">
        <v>0</v>
      </c>
      <c r="I3408" s="122">
        <v>0</v>
      </c>
      <c r="J3408" s="124">
        <f t="shared" si="53"/>
        <v>0</v>
      </c>
    </row>
    <row r="3409" spans="1:11" ht="15" customHeight="1" x14ac:dyDescent="0.2">
      <c r="A3409" s="120" t="s">
        <v>8303</v>
      </c>
      <c r="B3409" s="120" t="s">
        <v>3532</v>
      </c>
      <c r="C3409" s="98" t="s">
        <v>3532</v>
      </c>
      <c r="D3409" s="120" t="s">
        <v>3534</v>
      </c>
      <c r="E3409" s="98">
        <v>0</v>
      </c>
      <c r="F3409" s="120">
        <v>0</v>
      </c>
      <c r="G3409" s="121">
        <v>229</v>
      </c>
      <c r="H3409" s="123">
        <v>0</v>
      </c>
      <c r="I3409" s="122">
        <v>0</v>
      </c>
      <c r="J3409" s="124">
        <f t="shared" si="53"/>
        <v>0</v>
      </c>
    </row>
    <row r="3410" spans="1:11" ht="15" customHeight="1" x14ac:dyDescent="0.2">
      <c r="A3410" s="120" t="s">
        <v>8304</v>
      </c>
      <c r="B3410" s="120" t="s">
        <v>8286</v>
      </c>
      <c r="C3410" s="98" t="s">
        <v>3533</v>
      </c>
      <c r="D3410" s="120" t="s">
        <v>3563</v>
      </c>
      <c r="E3410" s="98">
        <v>0</v>
      </c>
      <c r="F3410" s="120">
        <v>0</v>
      </c>
      <c r="G3410" s="121">
        <v>630</v>
      </c>
      <c r="H3410" s="123">
        <v>0</v>
      </c>
      <c r="I3410" s="122">
        <v>0</v>
      </c>
      <c r="J3410" s="124">
        <f t="shared" si="53"/>
        <v>0</v>
      </c>
    </row>
    <row r="3411" spans="1:11" ht="15" customHeight="1" x14ac:dyDescent="0.2">
      <c r="A3411" s="120" t="s">
        <v>8305</v>
      </c>
      <c r="B3411" s="120" t="s">
        <v>8286</v>
      </c>
      <c r="C3411" s="98" t="s">
        <v>3533</v>
      </c>
      <c r="D3411" s="120" t="s">
        <v>3563</v>
      </c>
      <c r="E3411" s="98">
        <v>0</v>
      </c>
      <c r="F3411" s="120">
        <v>0</v>
      </c>
      <c r="G3411" s="121">
        <v>0</v>
      </c>
      <c r="H3411" s="123">
        <v>0</v>
      </c>
      <c r="I3411" s="122">
        <v>0</v>
      </c>
      <c r="J3411" s="124">
        <f t="shared" si="53"/>
        <v>0</v>
      </c>
    </row>
    <row r="3412" spans="1:11" ht="15" customHeight="1" x14ac:dyDescent="0.2">
      <c r="A3412" s="120" t="s">
        <v>8306</v>
      </c>
      <c r="B3412" s="120" t="s">
        <v>8286</v>
      </c>
      <c r="C3412" s="98" t="s">
        <v>3533</v>
      </c>
      <c r="D3412" s="120" t="s">
        <v>3563</v>
      </c>
      <c r="E3412" s="98">
        <v>0</v>
      </c>
      <c r="F3412" s="120">
        <v>0</v>
      </c>
      <c r="G3412" s="121">
        <v>20043</v>
      </c>
      <c r="H3412" s="123">
        <v>0</v>
      </c>
      <c r="I3412" s="122">
        <v>0</v>
      </c>
      <c r="J3412" s="124">
        <f t="shared" si="53"/>
        <v>0</v>
      </c>
    </row>
    <row r="3413" spans="1:11" ht="15" customHeight="1" x14ac:dyDescent="0.2">
      <c r="A3413" s="120" t="s">
        <v>8307</v>
      </c>
      <c r="B3413" s="120" t="s">
        <v>8286</v>
      </c>
      <c r="C3413" s="98" t="s">
        <v>3533</v>
      </c>
      <c r="D3413" s="120" t="s">
        <v>3563</v>
      </c>
      <c r="E3413" s="98">
        <v>0</v>
      </c>
      <c r="F3413" s="120">
        <v>0</v>
      </c>
      <c r="G3413" s="121">
        <v>1486</v>
      </c>
      <c r="H3413" s="123">
        <v>0</v>
      </c>
      <c r="I3413" s="122">
        <v>0</v>
      </c>
      <c r="J3413" s="124">
        <f t="shared" si="53"/>
        <v>0</v>
      </c>
    </row>
    <row r="3414" spans="1:11" ht="15" customHeight="1" x14ac:dyDescent="0.2">
      <c r="A3414" s="120" t="s">
        <v>8308</v>
      </c>
      <c r="B3414" s="120" t="s">
        <v>8286</v>
      </c>
      <c r="C3414" s="98" t="s">
        <v>3533</v>
      </c>
      <c r="D3414" s="120" t="s">
        <v>3563</v>
      </c>
      <c r="E3414" s="98">
        <v>0</v>
      </c>
      <c r="F3414" s="120">
        <v>0</v>
      </c>
      <c r="G3414" s="121">
        <v>0</v>
      </c>
      <c r="H3414" s="123">
        <v>0</v>
      </c>
      <c r="I3414" s="122">
        <v>0</v>
      </c>
      <c r="J3414" s="124">
        <f t="shared" si="53"/>
        <v>0</v>
      </c>
    </row>
    <row r="3415" spans="1:11" ht="15" customHeight="1" x14ac:dyDescent="0.2">
      <c r="A3415" s="120" t="s">
        <v>8309</v>
      </c>
      <c r="B3415" s="120" t="s">
        <v>8286</v>
      </c>
      <c r="C3415" s="98" t="s">
        <v>3533</v>
      </c>
      <c r="D3415" s="120" t="s">
        <v>3563</v>
      </c>
      <c r="E3415" s="98">
        <v>0</v>
      </c>
      <c r="F3415" s="120">
        <v>0</v>
      </c>
      <c r="G3415" s="121">
        <v>1310</v>
      </c>
      <c r="H3415" s="123">
        <v>0</v>
      </c>
      <c r="I3415" s="122">
        <v>0</v>
      </c>
      <c r="J3415" s="124">
        <f t="shared" si="53"/>
        <v>0</v>
      </c>
    </row>
    <row r="3416" spans="1:11" ht="15" customHeight="1" x14ac:dyDescent="0.2">
      <c r="A3416" s="120" t="s">
        <v>8310</v>
      </c>
      <c r="B3416" s="120" t="s">
        <v>3532</v>
      </c>
      <c r="C3416" s="98" t="s">
        <v>3566</v>
      </c>
      <c r="D3416" s="120" t="s">
        <v>3534</v>
      </c>
      <c r="E3416" s="98">
        <v>0</v>
      </c>
      <c r="F3416" s="120">
        <v>0</v>
      </c>
      <c r="G3416" s="121">
        <v>0</v>
      </c>
      <c r="H3416" s="123">
        <v>0</v>
      </c>
      <c r="I3416" s="122">
        <v>0</v>
      </c>
      <c r="J3416" s="124">
        <f t="shared" si="53"/>
        <v>0</v>
      </c>
    </row>
    <row r="3417" spans="1:11" ht="15" customHeight="1" x14ac:dyDescent="0.2">
      <c r="A3417" s="120" t="s">
        <v>8311</v>
      </c>
      <c r="B3417" s="120" t="s">
        <v>3900</v>
      </c>
      <c r="C3417" s="98" t="s">
        <v>3533</v>
      </c>
      <c r="D3417" s="120" t="s">
        <v>3534</v>
      </c>
      <c r="E3417" s="98">
        <v>0.26050000000000001</v>
      </c>
      <c r="F3417" s="120">
        <v>0</v>
      </c>
      <c r="G3417" s="121">
        <v>8078</v>
      </c>
      <c r="H3417" s="123">
        <v>0.26050000000000001</v>
      </c>
      <c r="I3417" s="122">
        <v>2104.319</v>
      </c>
      <c r="J3417" s="124">
        <f t="shared" si="53"/>
        <v>0.26050000000000001</v>
      </c>
      <c r="K3417" s="98" t="s">
        <v>8312</v>
      </c>
    </row>
    <row r="3418" spans="1:11" ht="15" customHeight="1" x14ac:dyDescent="0.2">
      <c r="A3418" s="120" t="s">
        <v>8313</v>
      </c>
      <c r="B3418" s="120" t="s">
        <v>8314</v>
      </c>
      <c r="C3418" s="98" t="s">
        <v>3540</v>
      </c>
      <c r="D3418" s="120" t="s">
        <v>3534</v>
      </c>
      <c r="E3418" s="98">
        <v>0</v>
      </c>
      <c r="F3418" s="120">
        <v>0</v>
      </c>
      <c r="G3418" s="121">
        <v>0</v>
      </c>
      <c r="H3418" s="123">
        <v>0</v>
      </c>
      <c r="I3418" s="122">
        <v>0</v>
      </c>
      <c r="J3418" s="124">
        <f t="shared" si="53"/>
        <v>0</v>
      </c>
    </row>
    <row r="3419" spans="1:11" ht="15" customHeight="1" x14ac:dyDescent="0.2">
      <c r="A3419" s="120" t="s">
        <v>8315</v>
      </c>
      <c r="B3419" s="120" t="s">
        <v>8314</v>
      </c>
      <c r="C3419" s="98" t="s">
        <v>3540</v>
      </c>
      <c r="D3419" s="120" t="s">
        <v>3534</v>
      </c>
      <c r="E3419" s="98">
        <v>0</v>
      </c>
      <c r="F3419" s="120">
        <v>0</v>
      </c>
      <c r="G3419" s="121">
        <v>0</v>
      </c>
      <c r="H3419" s="123">
        <v>0</v>
      </c>
      <c r="I3419" s="122">
        <v>0</v>
      </c>
      <c r="J3419" s="124">
        <f t="shared" si="53"/>
        <v>0</v>
      </c>
    </row>
    <row r="3420" spans="1:11" ht="15" customHeight="1" x14ac:dyDescent="0.2">
      <c r="A3420" s="120" t="s">
        <v>8316</v>
      </c>
      <c r="B3420" s="120" t="s">
        <v>8314</v>
      </c>
      <c r="C3420" s="98" t="s">
        <v>3533</v>
      </c>
      <c r="D3420" s="120" t="s">
        <v>3534</v>
      </c>
      <c r="E3420" s="98">
        <v>0</v>
      </c>
      <c r="F3420" s="120">
        <v>0</v>
      </c>
      <c r="G3420" s="121">
        <v>0</v>
      </c>
      <c r="H3420" s="123">
        <v>0</v>
      </c>
      <c r="I3420" s="122">
        <v>0</v>
      </c>
      <c r="J3420" s="124">
        <f t="shared" si="53"/>
        <v>0</v>
      </c>
    </row>
    <row r="3421" spans="1:11" ht="15" customHeight="1" x14ac:dyDescent="0.2">
      <c r="A3421" s="120" t="s">
        <v>8317</v>
      </c>
      <c r="B3421" s="120" t="s">
        <v>3532</v>
      </c>
      <c r="C3421" s="98" t="s">
        <v>3532</v>
      </c>
      <c r="D3421" s="120" t="s">
        <v>3534</v>
      </c>
      <c r="E3421" s="98">
        <v>0</v>
      </c>
      <c r="F3421" s="120">
        <v>0</v>
      </c>
      <c r="G3421" s="121">
        <v>0</v>
      </c>
      <c r="H3421" s="123">
        <v>0</v>
      </c>
      <c r="I3421" s="122">
        <v>0</v>
      </c>
      <c r="J3421" s="124">
        <f t="shared" si="53"/>
        <v>0</v>
      </c>
    </row>
    <row r="3422" spans="1:11" ht="15" customHeight="1" x14ac:dyDescent="0.2">
      <c r="A3422" s="120" t="s">
        <v>8318</v>
      </c>
      <c r="B3422" s="120" t="s">
        <v>8314</v>
      </c>
      <c r="C3422" s="98" t="s">
        <v>3533</v>
      </c>
      <c r="D3422" s="120" t="s">
        <v>3534</v>
      </c>
      <c r="E3422" s="98">
        <v>0</v>
      </c>
      <c r="F3422" s="120">
        <v>0</v>
      </c>
      <c r="G3422" s="121">
        <v>0</v>
      </c>
      <c r="H3422" s="123">
        <v>0</v>
      </c>
      <c r="I3422" s="122">
        <v>0</v>
      </c>
      <c r="J3422" s="124">
        <f t="shared" si="53"/>
        <v>0</v>
      </c>
    </row>
    <row r="3423" spans="1:11" ht="15" customHeight="1" x14ac:dyDescent="0.2">
      <c r="A3423" s="120" t="s">
        <v>8319</v>
      </c>
      <c r="B3423" s="120" t="s">
        <v>3532</v>
      </c>
      <c r="C3423" s="98" t="s">
        <v>3532</v>
      </c>
      <c r="D3423" s="120" t="s">
        <v>3534</v>
      </c>
      <c r="E3423" s="98">
        <v>0</v>
      </c>
      <c r="F3423" s="120">
        <v>0</v>
      </c>
      <c r="G3423" s="121">
        <v>0</v>
      </c>
      <c r="H3423" s="123">
        <v>0</v>
      </c>
      <c r="I3423" s="122">
        <v>0</v>
      </c>
      <c r="J3423" s="124">
        <f t="shared" si="53"/>
        <v>0</v>
      </c>
    </row>
    <row r="3424" spans="1:11" ht="15" customHeight="1" x14ac:dyDescent="0.2">
      <c r="A3424" s="120" t="s">
        <v>8320</v>
      </c>
      <c r="B3424" s="120" t="s">
        <v>8314</v>
      </c>
      <c r="C3424" s="98" t="s">
        <v>3532</v>
      </c>
      <c r="D3424" s="120" t="s">
        <v>3534</v>
      </c>
      <c r="E3424" s="98">
        <v>0</v>
      </c>
      <c r="F3424" s="120">
        <v>0</v>
      </c>
      <c r="G3424" s="121">
        <v>0</v>
      </c>
      <c r="H3424" s="123">
        <v>0</v>
      </c>
      <c r="I3424" s="122">
        <v>0</v>
      </c>
      <c r="J3424" s="124">
        <f t="shared" si="53"/>
        <v>0</v>
      </c>
    </row>
    <row r="3425" spans="1:11" ht="15" customHeight="1" x14ac:dyDescent="0.2">
      <c r="A3425" s="120" t="s">
        <v>8321</v>
      </c>
      <c r="B3425" s="120" t="s">
        <v>8314</v>
      </c>
      <c r="C3425" s="98" t="s">
        <v>8322</v>
      </c>
      <c r="D3425" s="120" t="s">
        <v>3534</v>
      </c>
      <c r="E3425" s="98">
        <v>0</v>
      </c>
      <c r="F3425" s="120">
        <v>0</v>
      </c>
      <c r="G3425" s="121">
        <v>0</v>
      </c>
      <c r="H3425" s="123">
        <v>0</v>
      </c>
      <c r="I3425" s="122">
        <v>0</v>
      </c>
      <c r="J3425" s="124">
        <f t="shared" si="53"/>
        <v>0</v>
      </c>
    </row>
    <row r="3426" spans="1:11" ht="15" customHeight="1" x14ac:dyDescent="0.2">
      <c r="A3426" s="120" t="s">
        <v>8323</v>
      </c>
      <c r="B3426" s="120" t="s">
        <v>8314</v>
      </c>
      <c r="C3426" s="98" t="s">
        <v>8322</v>
      </c>
      <c r="D3426" s="120" t="s">
        <v>3534</v>
      </c>
      <c r="E3426" s="98">
        <v>0</v>
      </c>
      <c r="F3426" s="120">
        <v>0</v>
      </c>
      <c r="G3426" s="121">
        <v>0</v>
      </c>
      <c r="H3426" s="123">
        <v>0</v>
      </c>
      <c r="I3426" s="122">
        <v>0</v>
      </c>
      <c r="J3426" s="124">
        <f t="shared" si="53"/>
        <v>0</v>
      </c>
    </row>
    <row r="3427" spans="1:11" ht="15" customHeight="1" x14ac:dyDescent="0.2">
      <c r="A3427" s="120" t="s">
        <v>8324</v>
      </c>
      <c r="B3427" s="120" t="s">
        <v>3532</v>
      </c>
      <c r="C3427" s="98" t="s">
        <v>3533</v>
      </c>
      <c r="D3427" s="120" t="s">
        <v>3534</v>
      </c>
      <c r="E3427" s="98">
        <v>0.78</v>
      </c>
      <c r="F3427" s="120">
        <v>0</v>
      </c>
      <c r="G3427" s="121">
        <v>180</v>
      </c>
      <c r="H3427" s="123">
        <v>0.78</v>
      </c>
      <c r="I3427" s="122">
        <v>140.4</v>
      </c>
      <c r="J3427" s="124">
        <f t="shared" si="53"/>
        <v>0.78</v>
      </c>
    </row>
    <row r="3428" spans="1:11" ht="15" customHeight="1" x14ac:dyDescent="0.2">
      <c r="A3428" s="120" t="s">
        <v>8325</v>
      </c>
      <c r="B3428" s="120" t="s">
        <v>3532</v>
      </c>
      <c r="C3428" s="98" t="s">
        <v>3532</v>
      </c>
      <c r="D3428" s="120" t="s">
        <v>3534</v>
      </c>
      <c r="E3428" s="98">
        <v>0</v>
      </c>
      <c r="F3428" s="120">
        <v>0</v>
      </c>
      <c r="G3428" s="121">
        <v>80</v>
      </c>
      <c r="H3428" s="123">
        <v>0</v>
      </c>
      <c r="I3428" s="122">
        <v>0</v>
      </c>
      <c r="J3428" s="124">
        <f t="shared" si="53"/>
        <v>0</v>
      </c>
    </row>
    <row r="3429" spans="1:11" ht="15" customHeight="1" x14ac:dyDescent="0.2">
      <c r="A3429" s="120" t="s">
        <v>8326</v>
      </c>
      <c r="B3429" s="120" t="s">
        <v>3532</v>
      </c>
      <c r="C3429" s="98" t="s">
        <v>3533</v>
      </c>
      <c r="D3429" s="120" t="s">
        <v>3534</v>
      </c>
      <c r="E3429" s="98">
        <v>0</v>
      </c>
      <c r="F3429" s="120">
        <v>0</v>
      </c>
      <c r="G3429" s="121">
        <v>3206</v>
      </c>
      <c r="H3429" s="123">
        <v>0</v>
      </c>
      <c r="I3429" s="122">
        <v>0</v>
      </c>
      <c r="J3429" s="124">
        <f t="shared" si="53"/>
        <v>0</v>
      </c>
    </row>
    <row r="3430" spans="1:11" ht="15" customHeight="1" x14ac:dyDescent="0.2">
      <c r="A3430" s="120" t="s">
        <v>8327</v>
      </c>
      <c r="B3430" s="120" t="s">
        <v>4584</v>
      </c>
      <c r="C3430" s="98" t="s">
        <v>3533</v>
      </c>
      <c r="D3430" s="120" t="s">
        <v>3534</v>
      </c>
      <c r="E3430" s="98">
        <v>0</v>
      </c>
      <c r="F3430" s="120">
        <v>0</v>
      </c>
      <c r="G3430" s="121">
        <v>84556</v>
      </c>
      <c r="H3430" s="123">
        <v>0</v>
      </c>
      <c r="I3430" s="122">
        <v>0</v>
      </c>
      <c r="J3430" s="124">
        <f t="shared" si="53"/>
        <v>0</v>
      </c>
    </row>
    <row r="3431" spans="1:11" ht="15" customHeight="1" x14ac:dyDescent="0.2">
      <c r="A3431" s="120" t="s">
        <v>8328</v>
      </c>
      <c r="B3431" s="120" t="s">
        <v>4584</v>
      </c>
      <c r="C3431" s="98" t="s">
        <v>3533</v>
      </c>
      <c r="D3431" s="120" t="s">
        <v>3534</v>
      </c>
      <c r="E3431" s="98">
        <v>1.6500000000000001E-2</v>
      </c>
      <c r="F3431" s="120">
        <v>0</v>
      </c>
      <c r="G3431" s="121">
        <v>961</v>
      </c>
      <c r="H3431" s="123">
        <v>1.6500000000000001E-2</v>
      </c>
      <c r="I3431" s="122">
        <v>15.8565</v>
      </c>
      <c r="J3431" s="124">
        <f t="shared" si="53"/>
        <v>1.6500000000000001E-2</v>
      </c>
    </row>
    <row r="3432" spans="1:11" ht="15" customHeight="1" x14ac:dyDescent="0.2">
      <c r="A3432" s="120" t="s">
        <v>8329</v>
      </c>
      <c r="B3432" s="120" t="s">
        <v>3609</v>
      </c>
      <c r="C3432" s="98" t="s">
        <v>3540</v>
      </c>
      <c r="D3432" s="120" t="s">
        <v>3534</v>
      </c>
      <c r="E3432" s="98">
        <v>0</v>
      </c>
      <c r="F3432" s="120">
        <v>0</v>
      </c>
      <c r="G3432" s="121">
        <v>0</v>
      </c>
      <c r="H3432" s="123">
        <v>0</v>
      </c>
      <c r="I3432" s="122">
        <v>0</v>
      </c>
      <c r="J3432" s="124">
        <f t="shared" si="53"/>
        <v>0</v>
      </c>
    </row>
    <row r="3433" spans="1:11" ht="15" customHeight="1" x14ac:dyDescent="0.2">
      <c r="A3433" s="120" t="s">
        <v>8330</v>
      </c>
      <c r="B3433" s="120" t="s">
        <v>3609</v>
      </c>
      <c r="C3433" s="98" t="s">
        <v>4066</v>
      </c>
      <c r="D3433" s="120" t="s">
        <v>3534</v>
      </c>
      <c r="E3433" s="98">
        <v>0</v>
      </c>
      <c r="F3433" s="120">
        <v>0</v>
      </c>
      <c r="G3433" s="121">
        <v>0</v>
      </c>
      <c r="H3433" s="123">
        <v>0</v>
      </c>
      <c r="I3433" s="122">
        <v>0</v>
      </c>
      <c r="J3433" s="124">
        <f t="shared" si="53"/>
        <v>0</v>
      </c>
    </row>
    <row r="3434" spans="1:11" ht="15" customHeight="1" x14ac:dyDescent="0.2">
      <c r="A3434" s="120" t="s">
        <v>8331</v>
      </c>
      <c r="B3434" s="120" t="s">
        <v>4584</v>
      </c>
      <c r="C3434" s="98" t="s">
        <v>3533</v>
      </c>
      <c r="D3434" s="120" t="s">
        <v>3534</v>
      </c>
      <c r="E3434" s="98">
        <v>0</v>
      </c>
      <c r="F3434" s="120">
        <v>0</v>
      </c>
      <c r="G3434" s="121">
        <v>1621</v>
      </c>
      <c r="H3434" s="123">
        <v>0</v>
      </c>
      <c r="I3434" s="122">
        <v>0</v>
      </c>
      <c r="J3434" s="124">
        <f t="shared" si="53"/>
        <v>0</v>
      </c>
    </row>
    <row r="3435" spans="1:11" ht="15" customHeight="1" x14ac:dyDescent="0.2">
      <c r="A3435" s="120" t="s">
        <v>8332</v>
      </c>
      <c r="B3435" s="120" t="s">
        <v>4584</v>
      </c>
      <c r="C3435" s="98" t="s">
        <v>3540</v>
      </c>
      <c r="D3435" s="120" t="s">
        <v>3534</v>
      </c>
      <c r="E3435" s="98">
        <v>0</v>
      </c>
      <c r="F3435" s="120">
        <v>0</v>
      </c>
      <c r="G3435" s="121">
        <v>0</v>
      </c>
      <c r="H3435" s="123">
        <v>0</v>
      </c>
      <c r="I3435" s="122">
        <v>0</v>
      </c>
      <c r="J3435" s="124">
        <f t="shared" si="53"/>
        <v>0</v>
      </c>
    </row>
    <row r="3436" spans="1:11" ht="15" customHeight="1" x14ac:dyDescent="0.2">
      <c r="A3436" s="120" t="s">
        <v>8333</v>
      </c>
      <c r="B3436" s="120" t="s">
        <v>4584</v>
      </c>
      <c r="C3436" s="98" t="s">
        <v>3533</v>
      </c>
      <c r="D3436" s="120" t="s">
        <v>3534</v>
      </c>
      <c r="E3436" s="98">
        <v>0</v>
      </c>
      <c r="F3436" s="120">
        <v>0</v>
      </c>
      <c r="G3436" s="121">
        <v>148</v>
      </c>
      <c r="H3436" s="123">
        <v>0</v>
      </c>
      <c r="I3436" s="122">
        <v>0</v>
      </c>
      <c r="J3436" s="124">
        <f t="shared" si="53"/>
        <v>0</v>
      </c>
    </row>
    <row r="3437" spans="1:11" ht="15" customHeight="1" x14ac:dyDescent="0.2">
      <c r="A3437" s="120" t="s">
        <v>8334</v>
      </c>
      <c r="B3437" s="120" t="s">
        <v>4584</v>
      </c>
      <c r="C3437" s="98" t="s">
        <v>3540</v>
      </c>
      <c r="D3437" s="120" t="s">
        <v>3534</v>
      </c>
      <c r="E3437" s="98">
        <v>0</v>
      </c>
      <c r="F3437" s="120">
        <v>0</v>
      </c>
      <c r="G3437" s="121">
        <v>0</v>
      </c>
      <c r="H3437" s="123">
        <v>0</v>
      </c>
      <c r="I3437" s="122">
        <v>0</v>
      </c>
      <c r="J3437" s="124">
        <f t="shared" si="53"/>
        <v>0</v>
      </c>
    </row>
    <row r="3438" spans="1:11" ht="15" customHeight="1" x14ac:dyDescent="0.2">
      <c r="A3438" s="120" t="s">
        <v>8335</v>
      </c>
      <c r="B3438" s="120" t="s">
        <v>3532</v>
      </c>
      <c r="C3438" s="98" t="s">
        <v>3533</v>
      </c>
      <c r="D3438" s="120" t="s">
        <v>3534</v>
      </c>
      <c r="E3438" s="98">
        <v>0</v>
      </c>
      <c r="F3438" s="120">
        <v>0</v>
      </c>
      <c r="G3438" s="121">
        <v>28040</v>
      </c>
      <c r="H3438" s="123">
        <v>0</v>
      </c>
      <c r="I3438" s="122">
        <v>0</v>
      </c>
      <c r="J3438" s="124">
        <f t="shared" si="53"/>
        <v>0</v>
      </c>
    </row>
    <row r="3439" spans="1:11" ht="15" customHeight="1" x14ac:dyDescent="0.2">
      <c r="A3439" s="120" t="s">
        <v>8336</v>
      </c>
      <c r="B3439" s="120" t="s">
        <v>4584</v>
      </c>
      <c r="C3439" s="98" t="s">
        <v>3533</v>
      </c>
      <c r="D3439" s="120" t="s">
        <v>3534</v>
      </c>
      <c r="E3439" s="98">
        <v>0</v>
      </c>
      <c r="F3439" s="120">
        <v>0</v>
      </c>
      <c r="G3439" s="121">
        <v>747</v>
      </c>
      <c r="H3439" s="123">
        <v>0</v>
      </c>
      <c r="I3439" s="122">
        <v>0</v>
      </c>
      <c r="J3439" s="124">
        <f t="shared" si="53"/>
        <v>0</v>
      </c>
      <c r="K3439" s="98" t="s">
        <v>8337</v>
      </c>
    </row>
    <row r="3440" spans="1:11" ht="15" customHeight="1" x14ac:dyDescent="0.2">
      <c r="A3440" s="120" t="s">
        <v>8338</v>
      </c>
      <c r="B3440" s="120" t="s">
        <v>4584</v>
      </c>
      <c r="C3440" s="98" t="s">
        <v>3533</v>
      </c>
      <c r="D3440" s="120" t="s">
        <v>3534</v>
      </c>
      <c r="E3440" s="98">
        <v>0</v>
      </c>
      <c r="F3440" s="120">
        <v>0</v>
      </c>
      <c r="G3440" s="121">
        <v>0</v>
      </c>
      <c r="H3440" s="123">
        <v>0</v>
      </c>
      <c r="I3440" s="122">
        <v>0</v>
      </c>
      <c r="J3440" s="124">
        <f t="shared" si="53"/>
        <v>0</v>
      </c>
    </row>
    <row r="3441" spans="1:11" ht="15" customHeight="1" x14ac:dyDescent="0.2">
      <c r="A3441" s="120" t="s">
        <v>8339</v>
      </c>
      <c r="B3441" s="120" t="s">
        <v>4584</v>
      </c>
      <c r="C3441" s="98" t="s">
        <v>3533</v>
      </c>
      <c r="D3441" s="120" t="s">
        <v>3534</v>
      </c>
      <c r="E3441" s="98">
        <v>0</v>
      </c>
      <c r="F3441" s="120">
        <v>0</v>
      </c>
      <c r="G3441" s="121">
        <v>2402</v>
      </c>
      <c r="H3441" s="123">
        <v>0</v>
      </c>
      <c r="I3441" s="122">
        <v>0</v>
      </c>
      <c r="J3441" s="124">
        <f t="shared" si="53"/>
        <v>0</v>
      </c>
      <c r="K3441" s="98" t="s">
        <v>8340</v>
      </c>
    </row>
    <row r="3442" spans="1:11" ht="15" customHeight="1" x14ac:dyDescent="0.2">
      <c r="A3442" s="120" t="s">
        <v>8341</v>
      </c>
      <c r="B3442" s="120" t="s">
        <v>3532</v>
      </c>
      <c r="C3442" s="98" t="s">
        <v>3532</v>
      </c>
      <c r="D3442" s="120" t="s">
        <v>3534</v>
      </c>
      <c r="E3442" s="98">
        <v>0</v>
      </c>
      <c r="F3442" s="120">
        <v>0</v>
      </c>
      <c r="G3442" s="121">
        <v>80</v>
      </c>
      <c r="H3442" s="123">
        <v>0</v>
      </c>
      <c r="I3442" s="122">
        <v>0</v>
      </c>
      <c r="J3442" s="124">
        <f t="shared" si="53"/>
        <v>0</v>
      </c>
    </row>
    <row r="3443" spans="1:11" ht="15" customHeight="1" x14ac:dyDescent="0.2">
      <c r="A3443" s="120" t="s">
        <v>8342</v>
      </c>
      <c r="B3443" s="120" t="s">
        <v>4584</v>
      </c>
      <c r="C3443" s="98" t="s">
        <v>3540</v>
      </c>
      <c r="D3443" s="120" t="s">
        <v>3534</v>
      </c>
      <c r="E3443" s="98">
        <v>7.0139999999999994E-2</v>
      </c>
      <c r="F3443" s="120">
        <v>0</v>
      </c>
      <c r="G3443" s="121">
        <v>0</v>
      </c>
      <c r="H3443" s="123">
        <v>7.0139999999999994E-2</v>
      </c>
      <c r="I3443" s="122">
        <v>0</v>
      </c>
      <c r="J3443" s="124">
        <f t="shared" si="53"/>
        <v>7.0139999999999994E-2</v>
      </c>
    </row>
    <row r="3444" spans="1:11" ht="15" customHeight="1" x14ac:dyDescent="0.2">
      <c r="A3444" s="120" t="s">
        <v>8343</v>
      </c>
      <c r="B3444" s="120" t="s">
        <v>3532</v>
      </c>
      <c r="C3444" s="98" t="s">
        <v>3533</v>
      </c>
      <c r="D3444" s="120" t="s">
        <v>3534</v>
      </c>
      <c r="E3444" s="98">
        <v>0</v>
      </c>
      <c r="F3444" s="120">
        <v>0</v>
      </c>
      <c r="G3444" s="121">
        <v>11520</v>
      </c>
      <c r="H3444" s="123">
        <v>0</v>
      </c>
      <c r="I3444" s="122">
        <v>0</v>
      </c>
      <c r="J3444" s="124">
        <f t="shared" si="53"/>
        <v>0</v>
      </c>
    </row>
    <row r="3445" spans="1:11" ht="15" customHeight="1" x14ac:dyDescent="0.2">
      <c r="A3445" s="120" t="s">
        <v>8344</v>
      </c>
      <c r="B3445" s="120" t="s">
        <v>3532</v>
      </c>
      <c r="C3445" s="98" t="s">
        <v>3532</v>
      </c>
      <c r="D3445" s="120" t="s">
        <v>3534</v>
      </c>
      <c r="E3445" s="98">
        <v>7.0139999999999994E-2</v>
      </c>
      <c r="F3445" s="120">
        <v>0</v>
      </c>
      <c r="G3445" s="121">
        <v>0</v>
      </c>
      <c r="H3445" s="123">
        <v>7.0139999999999994E-2</v>
      </c>
      <c r="I3445" s="122">
        <v>0</v>
      </c>
      <c r="J3445" s="124">
        <f t="shared" si="53"/>
        <v>7.0139999999999994E-2</v>
      </c>
    </row>
    <row r="3446" spans="1:11" ht="15" customHeight="1" x14ac:dyDescent="0.2">
      <c r="A3446" s="120" t="s">
        <v>8345</v>
      </c>
      <c r="B3446" s="120" t="s">
        <v>3532</v>
      </c>
      <c r="C3446" s="98" t="s">
        <v>3540</v>
      </c>
      <c r="D3446" s="120" t="s">
        <v>3534</v>
      </c>
      <c r="E3446" s="98">
        <v>7.7697000000000002E-2</v>
      </c>
      <c r="F3446" s="120">
        <v>0</v>
      </c>
      <c r="G3446" s="121">
        <v>0</v>
      </c>
      <c r="H3446" s="123">
        <v>7.7697000000000002E-2</v>
      </c>
      <c r="I3446" s="122">
        <v>0</v>
      </c>
      <c r="J3446" s="124">
        <f t="shared" si="53"/>
        <v>7.7697000000000002E-2</v>
      </c>
    </row>
    <row r="3447" spans="1:11" ht="15" customHeight="1" x14ac:dyDescent="0.2">
      <c r="A3447" s="120" t="s">
        <v>8346</v>
      </c>
      <c r="B3447" s="120" t="s">
        <v>4584</v>
      </c>
      <c r="C3447" s="98" t="s">
        <v>3533</v>
      </c>
      <c r="D3447" s="120" t="s">
        <v>3534</v>
      </c>
      <c r="E3447" s="98">
        <v>7.1799000000000002E-2</v>
      </c>
      <c r="F3447" s="120">
        <v>0</v>
      </c>
      <c r="G3447" s="121">
        <v>62525</v>
      </c>
      <c r="H3447" s="123">
        <v>7.1799000000000002E-2</v>
      </c>
      <c r="I3447" s="122">
        <v>4489.2324749999998</v>
      </c>
      <c r="J3447" s="124">
        <f t="shared" si="53"/>
        <v>7.1799000000000002E-2</v>
      </c>
    </row>
    <row r="3448" spans="1:11" ht="15" customHeight="1" x14ac:dyDescent="0.2">
      <c r="A3448" s="120" t="s">
        <v>8347</v>
      </c>
      <c r="B3448" s="120" t="s">
        <v>3532</v>
      </c>
      <c r="C3448" s="98" t="s">
        <v>3532</v>
      </c>
      <c r="D3448" s="120" t="s">
        <v>3534</v>
      </c>
      <c r="E3448" s="98">
        <v>0</v>
      </c>
      <c r="F3448" s="120">
        <v>0</v>
      </c>
      <c r="G3448" s="121">
        <v>80</v>
      </c>
      <c r="H3448" s="123">
        <v>0</v>
      </c>
      <c r="I3448" s="122">
        <v>0</v>
      </c>
      <c r="J3448" s="124">
        <f t="shared" si="53"/>
        <v>0</v>
      </c>
    </row>
    <row r="3449" spans="1:11" ht="15" customHeight="1" x14ac:dyDescent="0.2">
      <c r="A3449" s="120" t="s">
        <v>8348</v>
      </c>
      <c r="B3449" s="120" t="s">
        <v>4584</v>
      </c>
      <c r="C3449" s="98" t="s">
        <v>3533</v>
      </c>
      <c r="D3449" s="120" t="s">
        <v>3534</v>
      </c>
      <c r="E3449" s="98">
        <v>0</v>
      </c>
      <c r="F3449" s="120">
        <v>0</v>
      </c>
      <c r="G3449" s="121">
        <v>4301</v>
      </c>
      <c r="H3449" s="123">
        <v>0</v>
      </c>
      <c r="I3449" s="122">
        <v>0</v>
      </c>
      <c r="J3449" s="124">
        <f t="shared" si="53"/>
        <v>0</v>
      </c>
    </row>
    <row r="3450" spans="1:11" ht="15" customHeight="1" x14ac:dyDescent="0.2">
      <c r="A3450" s="120" t="s">
        <v>8349</v>
      </c>
      <c r="B3450" s="120" t="s">
        <v>4146</v>
      </c>
      <c r="C3450" s="98" t="s">
        <v>3533</v>
      </c>
      <c r="D3450" s="120" t="s">
        <v>3534</v>
      </c>
      <c r="E3450" s="98">
        <v>0</v>
      </c>
      <c r="F3450" s="120">
        <v>0</v>
      </c>
      <c r="G3450" s="121">
        <v>0</v>
      </c>
      <c r="H3450" s="123">
        <v>0</v>
      </c>
      <c r="I3450" s="122">
        <v>0</v>
      </c>
      <c r="J3450" s="124">
        <f t="shared" si="53"/>
        <v>0</v>
      </c>
    </row>
    <row r="3451" spans="1:11" ht="15" customHeight="1" x14ac:dyDescent="0.2">
      <c r="A3451" s="120" t="s">
        <v>8350</v>
      </c>
      <c r="B3451" s="120" t="s">
        <v>4584</v>
      </c>
      <c r="C3451" s="98" t="s">
        <v>3540</v>
      </c>
      <c r="D3451" s="120" t="s">
        <v>3534</v>
      </c>
      <c r="E3451" s="98">
        <v>0</v>
      </c>
      <c r="F3451" s="120">
        <v>0</v>
      </c>
      <c r="G3451" s="121">
        <v>0</v>
      </c>
      <c r="H3451" s="123">
        <v>0</v>
      </c>
      <c r="I3451" s="122">
        <v>0</v>
      </c>
      <c r="J3451" s="124">
        <f t="shared" si="53"/>
        <v>0</v>
      </c>
    </row>
    <row r="3452" spans="1:11" ht="15" customHeight="1" x14ac:dyDescent="0.2">
      <c r="A3452" s="120" t="s">
        <v>8351</v>
      </c>
      <c r="B3452" s="120" t="s">
        <v>4584</v>
      </c>
      <c r="C3452" s="98" t="s">
        <v>3533</v>
      </c>
      <c r="D3452" s="120" t="s">
        <v>3534</v>
      </c>
      <c r="E3452" s="98">
        <v>0</v>
      </c>
      <c r="F3452" s="120">
        <v>0</v>
      </c>
      <c r="G3452" s="121">
        <v>0</v>
      </c>
      <c r="H3452" s="123">
        <v>0</v>
      </c>
      <c r="I3452" s="122">
        <v>0</v>
      </c>
      <c r="J3452" s="124">
        <f t="shared" si="53"/>
        <v>0</v>
      </c>
    </row>
    <row r="3453" spans="1:11" ht="15" customHeight="1" x14ac:dyDescent="0.2">
      <c r="A3453" s="120" t="s">
        <v>8352</v>
      </c>
      <c r="B3453" s="120" t="s">
        <v>3532</v>
      </c>
      <c r="C3453" s="98" t="s">
        <v>3532</v>
      </c>
      <c r="D3453" s="120" t="s">
        <v>3534</v>
      </c>
      <c r="E3453" s="98">
        <v>6.4468468468468501E-2</v>
      </c>
      <c r="F3453" s="120">
        <v>0</v>
      </c>
      <c r="G3453" s="121">
        <v>927</v>
      </c>
      <c r="H3453" s="123">
        <v>6.4467999999999998E-2</v>
      </c>
      <c r="I3453" s="122">
        <v>59.761835999999995</v>
      </c>
      <c r="J3453" s="124">
        <f t="shared" si="53"/>
        <v>6.4468468468468501E-2</v>
      </c>
    </row>
    <row r="3454" spans="1:11" ht="15" customHeight="1" x14ac:dyDescent="0.2">
      <c r="A3454" s="120" t="s">
        <v>8353</v>
      </c>
      <c r="B3454" s="120" t="s">
        <v>4584</v>
      </c>
      <c r="C3454" s="98" t="s">
        <v>3533</v>
      </c>
      <c r="D3454" s="120" t="s">
        <v>3534</v>
      </c>
      <c r="E3454" s="98">
        <v>0</v>
      </c>
      <c r="F3454" s="120">
        <v>0</v>
      </c>
      <c r="G3454" s="121">
        <v>10700</v>
      </c>
      <c r="H3454" s="123">
        <v>0</v>
      </c>
      <c r="I3454" s="122">
        <v>0</v>
      </c>
      <c r="J3454" s="124">
        <f t="shared" si="53"/>
        <v>0</v>
      </c>
    </row>
    <row r="3455" spans="1:11" ht="15" customHeight="1" x14ac:dyDescent="0.2">
      <c r="A3455" s="120" t="s">
        <v>8353</v>
      </c>
      <c r="B3455" s="120" t="s">
        <v>4584</v>
      </c>
      <c r="C3455" s="98" t="s">
        <v>3532</v>
      </c>
      <c r="D3455" s="120" t="s">
        <v>3534</v>
      </c>
      <c r="E3455" s="98">
        <v>0</v>
      </c>
      <c r="F3455" s="120">
        <v>0</v>
      </c>
      <c r="G3455" s="121">
        <v>0</v>
      </c>
      <c r="H3455" s="123">
        <v>0</v>
      </c>
      <c r="I3455" s="122">
        <v>0</v>
      </c>
      <c r="J3455" s="124">
        <f t="shared" si="53"/>
        <v>0</v>
      </c>
    </row>
    <row r="3456" spans="1:11" ht="15" customHeight="1" x14ac:dyDescent="0.2">
      <c r="A3456" s="120" t="s">
        <v>8354</v>
      </c>
      <c r="B3456" s="120" t="s">
        <v>4584</v>
      </c>
      <c r="C3456" s="98" t="s">
        <v>3533</v>
      </c>
      <c r="D3456" s="120" t="s">
        <v>3534</v>
      </c>
      <c r="E3456" s="98">
        <v>0</v>
      </c>
      <c r="F3456" s="120">
        <v>0</v>
      </c>
      <c r="G3456" s="121">
        <v>0</v>
      </c>
      <c r="H3456" s="123">
        <v>0</v>
      </c>
      <c r="I3456" s="122">
        <v>0</v>
      </c>
      <c r="J3456" s="124">
        <f t="shared" si="53"/>
        <v>0</v>
      </c>
    </row>
    <row r="3457" spans="1:11" ht="15" customHeight="1" x14ac:dyDescent="0.2">
      <c r="A3457" s="120" t="s">
        <v>8355</v>
      </c>
      <c r="B3457" s="120" t="s">
        <v>4584</v>
      </c>
      <c r="C3457" s="98" t="s">
        <v>3533</v>
      </c>
      <c r="D3457" s="120" t="s">
        <v>3534</v>
      </c>
      <c r="E3457" s="98">
        <v>0</v>
      </c>
      <c r="F3457" s="120">
        <v>0</v>
      </c>
      <c r="G3457" s="121">
        <v>1386</v>
      </c>
      <c r="H3457" s="123">
        <v>0</v>
      </c>
      <c r="I3457" s="122">
        <v>0</v>
      </c>
      <c r="J3457" s="124">
        <f t="shared" si="53"/>
        <v>0</v>
      </c>
    </row>
    <row r="3458" spans="1:11" ht="15" customHeight="1" x14ac:dyDescent="0.2">
      <c r="A3458" s="120" t="s">
        <v>8356</v>
      </c>
      <c r="B3458" s="120" t="s">
        <v>4621</v>
      </c>
      <c r="C3458" s="98" t="s">
        <v>3533</v>
      </c>
      <c r="D3458" s="120" t="s">
        <v>3534</v>
      </c>
      <c r="E3458" s="98">
        <v>1.7000000000000001E-2</v>
      </c>
      <c r="F3458" s="120">
        <v>0</v>
      </c>
      <c r="G3458" s="121">
        <v>641526</v>
      </c>
      <c r="H3458" s="123">
        <v>1.7000000000000001E-2</v>
      </c>
      <c r="I3458" s="122">
        <v>10905.942000000001</v>
      </c>
      <c r="J3458" s="124">
        <f t="shared" ref="J3458:J3521" si="54">IF(D3458="gm", E3458*1000,+E3458)</f>
        <v>1.7000000000000001E-2</v>
      </c>
      <c r="K3458" s="98" t="s">
        <v>8357</v>
      </c>
    </row>
    <row r="3459" spans="1:11" ht="15" customHeight="1" x14ac:dyDescent="0.2">
      <c r="A3459" s="120" t="s">
        <v>8358</v>
      </c>
      <c r="B3459" s="120" t="s">
        <v>3532</v>
      </c>
      <c r="C3459" s="98" t="s">
        <v>3533</v>
      </c>
      <c r="D3459" s="120" t="s">
        <v>3534</v>
      </c>
      <c r="E3459" s="98">
        <v>0</v>
      </c>
      <c r="F3459" s="120">
        <v>0</v>
      </c>
      <c r="G3459" s="121">
        <v>115</v>
      </c>
      <c r="H3459" s="123">
        <v>0</v>
      </c>
      <c r="I3459" s="122">
        <v>0</v>
      </c>
      <c r="J3459" s="124">
        <f t="shared" si="54"/>
        <v>0</v>
      </c>
    </row>
    <row r="3460" spans="1:11" ht="15" customHeight="1" x14ac:dyDescent="0.2">
      <c r="A3460" s="120" t="s">
        <v>8359</v>
      </c>
      <c r="B3460" s="120" t="s">
        <v>3532</v>
      </c>
      <c r="C3460" s="98" t="s">
        <v>3533</v>
      </c>
      <c r="D3460" s="120" t="s">
        <v>3534</v>
      </c>
      <c r="E3460" s="98">
        <v>5.6989999999999999E-2</v>
      </c>
      <c r="F3460" s="120">
        <v>0</v>
      </c>
      <c r="G3460" s="121">
        <v>2550</v>
      </c>
      <c r="H3460" s="123">
        <v>5.6989999999999999E-2</v>
      </c>
      <c r="I3460" s="122">
        <v>145.3245</v>
      </c>
      <c r="J3460" s="124">
        <f t="shared" si="54"/>
        <v>5.6989999999999999E-2</v>
      </c>
    </row>
    <row r="3461" spans="1:11" ht="15" customHeight="1" x14ac:dyDescent="0.2">
      <c r="A3461" s="120" t="s">
        <v>8360</v>
      </c>
      <c r="B3461" s="120" t="s">
        <v>3532</v>
      </c>
      <c r="C3461" s="98" t="s">
        <v>3533</v>
      </c>
      <c r="D3461" s="120" t="s">
        <v>3534</v>
      </c>
      <c r="E3461" s="98">
        <v>0</v>
      </c>
      <c r="F3461" s="120">
        <v>0</v>
      </c>
      <c r="G3461" s="121">
        <v>4210</v>
      </c>
      <c r="H3461" s="123">
        <v>0</v>
      </c>
      <c r="I3461" s="122">
        <v>0</v>
      </c>
      <c r="J3461" s="124">
        <f t="shared" si="54"/>
        <v>0</v>
      </c>
    </row>
    <row r="3462" spans="1:11" ht="15" customHeight="1" x14ac:dyDescent="0.2">
      <c r="A3462" s="120" t="s">
        <v>8361</v>
      </c>
      <c r="B3462" s="120" t="s">
        <v>3532</v>
      </c>
      <c r="C3462" s="98" t="s">
        <v>3532</v>
      </c>
      <c r="D3462" s="120" t="s">
        <v>3534</v>
      </c>
      <c r="E3462" s="98">
        <v>0</v>
      </c>
      <c r="F3462" s="120">
        <v>0</v>
      </c>
      <c r="G3462" s="121">
        <v>3095</v>
      </c>
      <c r="H3462" s="123">
        <v>0</v>
      </c>
      <c r="I3462" s="122">
        <v>0</v>
      </c>
      <c r="J3462" s="124">
        <f t="shared" si="54"/>
        <v>0</v>
      </c>
    </row>
    <row r="3463" spans="1:11" ht="15" customHeight="1" x14ac:dyDescent="0.2">
      <c r="A3463" s="120" t="s">
        <v>8362</v>
      </c>
      <c r="B3463" s="120" t="s">
        <v>3532</v>
      </c>
      <c r="C3463" s="98" t="s">
        <v>3532</v>
      </c>
      <c r="D3463" s="120" t="s">
        <v>3534</v>
      </c>
      <c r="E3463" s="98">
        <v>0.28063327370304098</v>
      </c>
      <c r="F3463" s="120">
        <v>0</v>
      </c>
      <c r="G3463" s="121">
        <v>466</v>
      </c>
      <c r="H3463" s="123">
        <v>0.28063300000000002</v>
      </c>
      <c r="I3463" s="122">
        <v>130.774978</v>
      </c>
      <c r="J3463" s="124">
        <f t="shared" si="54"/>
        <v>0.28063327370304098</v>
      </c>
    </row>
    <row r="3464" spans="1:11" ht="15" customHeight="1" x14ac:dyDescent="0.2">
      <c r="A3464" s="120" t="s">
        <v>8363</v>
      </c>
      <c r="B3464" s="120" t="s">
        <v>4584</v>
      </c>
      <c r="C3464" s="98" t="s">
        <v>3533</v>
      </c>
      <c r="D3464" s="120" t="s">
        <v>3534</v>
      </c>
      <c r="E3464" s="98">
        <v>0</v>
      </c>
      <c r="F3464" s="120">
        <v>0</v>
      </c>
      <c r="G3464" s="121">
        <v>1256</v>
      </c>
      <c r="H3464" s="123">
        <v>0</v>
      </c>
      <c r="I3464" s="122">
        <v>0</v>
      </c>
      <c r="J3464" s="124">
        <f t="shared" si="54"/>
        <v>0</v>
      </c>
    </row>
    <row r="3465" spans="1:11" ht="15" customHeight="1" x14ac:dyDescent="0.2">
      <c r="A3465" s="120" t="s">
        <v>8364</v>
      </c>
      <c r="B3465" s="120" t="s">
        <v>4621</v>
      </c>
      <c r="C3465" s="98" t="s">
        <v>3533</v>
      </c>
      <c r="D3465" s="120" t="s">
        <v>3534</v>
      </c>
      <c r="E3465" s="98">
        <v>3.0300000000000001E-2</v>
      </c>
      <c r="F3465" s="120">
        <v>0</v>
      </c>
      <c r="G3465" s="121">
        <v>60020</v>
      </c>
      <c r="H3465" s="123">
        <v>3.0300000000000001E-2</v>
      </c>
      <c r="I3465" s="122">
        <v>1818.606</v>
      </c>
      <c r="J3465" s="124">
        <f t="shared" si="54"/>
        <v>3.0300000000000001E-2</v>
      </c>
    </row>
    <row r="3466" spans="1:11" ht="15" customHeight="1" x14ac:dyDescent="0.2">
      <c r="A3466" s="120" t="s">
        <v>8365</v>
      </c>
      <c r="B3466" s="120" t="s">
        <v>3532</v>
      </c>
      <c r="C3466" s="98" t="s">
        <v>3533</v>
      </c>
      <c r="D3466" s="120" t="s">
        <v>3534</v>
      </c>
      <c r="E3466" s="98">
        <v>4.4458293649914701E-2</v>
      </c>
      <c r="F3466" s="120">
        <v>0</v>
      </c>
      <c r="G3466" s="121">
        <v>56656</v>
      </c>
      <c r="H3466" s="123">
        <v>4.4457999999999998E-2</v>
      </c>
      <c r="I3466" s="122">
        <v>2518.8124479999997</v>
      </c>
      <c r="J3466" s="124">
        <f t="shared" si="54"/>
        <v>4.4458293649914701E-2</v>
      </c>
    </row>
    <row r="3467" spans="1:11" ht="15" customHeight="1" x14ac:dyDescent="0.2">
      <c r="A3467" s="120" t="s">
        <v>8366</v>
      </c>
      <c r="B3467" s="120" t="s">
        <v>8314</v>
      </c>
      <c r="C3467" s="98" t="s">
        <v>3540</v>
      </c>
      <c r="D3467" s="120" t="s">
        <v>3563</v>
      </c>
      <c r="E3467" s="98">
        <v>0</v>
      </c>
      <c r="F3467" s="120">
        <v>0</v>
      </c>
      <c r="G3467" s="121">
        <v>0</v>
      </c>
      <c r="H3467" s="123">
        <v>0</v>
      </c>
      <c r="I3467" s="122">
        <v>0</v>
      </c>
      <c r="J3467" s="124">
        <f t="shared" si="54"/>
        <v>0</v>
      </c>
    </row>
    <row r="3468" spans="1:11" ht="15" customHeight="1" x14ac:dyDescent="0.2">
      <c r="A3468" s="120" t="s">
        <v>8367</v>
      </c>
      <c r="B3468" s="120" t="s">
        <v>3532</v>
      </c>
      <c r="C3468" s="98" t="s">
        <v>3532</v>
      </c>
      <c r="D3468" s="120" t="s">
        <v>3534</v>
      </c>
      <c r="E3468" s="98">
        <v>0</v>
      </c>
      <c r="F3468" s="120">
        <v>0</v>
      </c>
      <c r="G3468" s="121">
        <v>0</v>
      </c>
      <c r="H3468" s="123">
        <v>0</v>
      </c>
      <c r="I3468" s="122">
        <v>0</v>
      </c>
      <c r="J3468" s="124">
        <f t="shared" si="54"/>
        <v>0</v>
      </c>
    </row>
    <row r="3469" spans="1:11" ht="15" customHeight="1" x14ac:dyDescent="0.2">
      <c r="A3469" s="120" t="s">
        <v>8368</v>
      </c>
      <c r="B3469" s="120" t="s">
        <v>8369</v>
      </c>
      <c r="C3469" s="98" t="s">
        <v>3533</v>
      </c>
      <c r="D3469" s="120" t="s">
        <v>3563</v>
      </c>
      <c r="E3469" s="98">
        <v>0</v>
      </c>
      <c r="F3469" s="120">
        <v>0</v>
      </c>
      <c r="G3469" s="121">
        <v>0</v>
      </c>
      <c r="H3469" s="123">
        <v>0</v>
      </c>
      <c r="I3469" s="122">
        <v>0</v>
      </c>
      <c r="J3469" s="124">
        <f t="shared" si="54"/>
        <v>0</v>
      </c>
      <c r="K3469" s="98" t="s">
        <v>8370</v>
      </c>
    </row>
    <row r="3470" spans="1:11" ht="15" customHeight="1" x14ac:dyDescent="0.2">
      <c r="A3470" s="120" t="s">
        <v>8371</v>
      </c>
      <c r="B3470" s="120" t="s">
        <v>8369</v>
      </c>
      <c r="C3470" s="98" t="s">
        <v>3533</v>
      </c>
      <c r="D3470" s="120" t="s">
        <v>3563</v>
      </c>
      <c r="E3470" s="98">
        <v>0</v>
      </c>
      <c r="F3470" s="120">
        <v>0</v>
      </c>
      <c r="G3470" s="121">
        <v>0</v>
      </c>
      <c r="H3470" s="123">
        <v>0</v>
      </c>
      <c r="I3470" s="122">
        <v>0</v>
      </c>
      <c r="J3470" s="124">
        <f t="shared" si="54"/>
        <v>0</v>
      </c>
      <c r="K3470" s="98" t="s">
        <v>8372</v>
      </c>
    </row>
    <row r="3471" spans="1:11" ht="15" customHeight="1" x14ac:dyDescent="0.2">
      <c r="A3471" s="120" t="s">
        <v>8373</v>
      </c>
      <c r="B3471" s="120" t="s">
        <v>3532</v>
      </c>
      <c r="C3471" s="98" t="s">
        <v>3540</v>
      </c>
      <c r="D3471" s="120" t="s">
        <v>3563</v>
      </c>
      <c r="E3471" s="98">
        <v>0</v>
      </c>
      <c r="F3471" s="120">
        <v>0</v>
      </c>
      <c r="G3471" s="121">
        <v>0</v>
      </c>
      <c r="H3471" s="123">
        <v>0</v>
      </c>
      <c r="I3471" s="122">
        <v>0</v>
      </c>
      <c r="J3471" s="124">
        <f t="shared" si="54"/>
        <v>0</v>
      </c>
    </row>
    <row r="3472" spans="1:11" ht="15" customHeight="1" x14ac:dyDescent="0.2">
      <c r="A3472" s="120" t="s">
        <v>8374</v>
      </c>
      <c r="B3472" s="120" t="s">
        <v>3532</v>
      </c>
      <c r="C3472" s="98" t="s">
        <v>3540</v>
      </c>
      <c r="D3472" s="120" t="s">
        <v>3563</v>
      </c>
      <c r="E3472" s="98">
        <v>0</v>
      </c>
      <c r="F3472" s="120">
        <v>0</v>
      </c>
      <c r="G3472" s="121">
        <v>0</v>
      </c>
      <c r="H3472" s="123">
        <v>0</v>
      </c>
      <c r="I3472" s="122">
        <v>0</v>
      </c>
      <c r="J3472" s="124">
        <f t="shared" si="54"/>
        <v>0</v>
      </c>
    </row>
    <row r="3473" spans="1:10" ht="15" customHeight="1" x14ac:dyDescent="0.2">
      <c r="A3473" s="120" t="s">
        <v>8375</v>
      </c>
      <c r="B3473" s="120" t="s">
        <v>8314</v>
      </c>
      <c r="C3473" s="98" t="s">
        <v>3532</v>
      </c>
      <c r="D3473" s="120" t="s">
        <v>3563</v>
      </c>
      <c r="E3473" s="98">
        <v>0</v>
      </c>
      <c r="F3473" s="120">
        <v>0</v>
      </c>
      <c r="G3473" s="121">
        <v>0</v>
      </c>
      <c r="H3473" s="123">
        <v>0</v>
      </c>
      <c r="I3473" s="122">
        <v>0</v>
      </c>
      <c r="J3473" s="124">
        <f t="shared" si="54"/>
        <v>0</v>
      </c>
    </row>
    <row r="3474" spans="1:10" ht="15" customHeight="1" x14ac:dyDescent="0.2">
      <c r="A3474" s="120" t="s">
        <v>8376</v>
      </c>
      <c r="B3474" s="120" t="s">
        <v>3532</v>
      </c>
      <c r="C3474" s="98" t="s">
        <v>3532</v>
      </c>
      <c r="D3474" s="120" t="s">
        <v>3563</v>
      </c>
      <c r="E3474" s="98">
        <v>0</v>
      </c>
      <c r="F3474" s="120">
        <v>0</v>
      </c>
      <c r="G3474" s="121">
        <v>0</v>
      </c>
      <c r="H3474" s="123">
        <v>0</v>
      </c>
      <c r="I3474" s="122">
        <v>0</v>
      </c>
      <c r="J3474" s="124">
        <f t="shared" si="54"/>
        <v>0</v>
      </c>
    </row>
    <row r="3475" spans="1:10" ht="15" customHeight="1" x14ac:dyDescent="0.2">
      <c r="A3475" s="120" t="s">
        <v>8377</v>
      </c>
      <c r="B3475" s="120" t="s">
        <v>3532</v>
      </c>
      <c r="C3475" s="98" t="s">
        <v>3532</v>
      </c>
      <c r="D3475" s="120" t="s">
        <v>3563</v>
      </c>
      <c r="E3475" s="98">
        <v>0</v>
      </c>
      <c r="F3475" s="120">
        <v>0</v>
      </c>
      <c r="G3475" s="121">
        <v>0</v>
      </c>
      <c r="H3475" s="123">
        <v>0</v>
      </c>
      <c r="I3475" s="122">
        <v>0</v>
      </c>
      <c r="J3475" s="124">
        <f t="shared" si="54"/>
        <v>0</v>
      </c>
    </row>
    <row r="3476" spans="1:10" ht="15" customHeight="1" x14ac:dyDescent="0.2">
      <c r="A3476" s="120" t="s">
        <v>8378</v>
      </c>
      <c r="B3476" s="120" t="s">
        <v>3532</v>
      </c>
      <c r="C3476" s="98" t="s">
        <v>3532</v>
      </c>
      <c r="D3476" s="120" t="s">
        <v>3563</v>
      </c>
      <c r="E3476" s="98">
        <v>0</v>
      </c>
      <c r="F3476" s="120">
        <v>0</v>
      </c>
      <c r="G3476" s="121">
        <v>0</v>
      </c>
      <c r="H3476" s="123">
        <v>0</v>
      </c>
      <c r="I3476" s="122">
        <v>0</v>
      </c>
      <c r="J3476" s="124">
        <f t="shared" si="54"/>
        <v>0</v>
      </c>
    </row>
    <row r="3477" spans="1:10" ht="15" customHeight="1" x14ac:dyDescent="0.2">
      <c r="A3477" s="120" t="s">
        <v>8379</v>
      </c>
      <c r="B3477" s="120" t="s">
        <v>3532</v>
      </c>
      <c r="C3477" s="98" t="s">
        <v>3532</v>
      </c>
      <c r="D3477" s="120" t="s">
        <v>3563</v>
      </c>
      <c r="E3477" s="98">
        <v>0</v>
      </c>
      <c r="F3477" s="120">
        <v>0</v>
      </c>
      <c r="G3477" s="121">
        <v>0</v>
      </c>
      <c r="H3477" s="123">
        <v>0</v>
      </c>
      <c r="I3477" s="122">
        <v>0</v>
      </c>
      <c r="J3477" s="124">
        <f t="shared" si="54"/>
        <v>0</v>
      </c>
    </row>
    <row r="3478" spans="1:10" ht="15" customHeight="1" x14ac:dyDescent="0.2">
      <c r="A3478" s="120" t="s">
        <v>8380</v>
      </c>
      <c r="B3478" s="120" t="s">
        <v>3532</v>
      </c>
      <c r="C3478" s="98" t="s">
        <v>3532</v>
      </c>
      <c r="D3478" s="120" t="s">
        <v>3534</v>
      </c>
      <c r="E3478" s="98">
        <v>0</v>
      </c>
      <c r="F3478" s="120">
        <v>0</v>
      </c>
      <c r="G3478" s="121">
        <v>0</v>
      </c>
      <c r="H3478" s="123">
        <v>0</v>
      </c>
      <c r="I3478" s="122">
        <v>0</v>
      </c>
      <c r="J3478" s="124">
        <f t="shared" si="54"/>
        <v>0</v>
      </c>
    </row>
    <row r="3479" spans="1:10" ht="15" customHeight="1" x14ac:dyDescent="0.2">
      <c r="A3479" s="120" t="s">
        <v>8381</v>
      </c>
      <c r="B3479" s="120" t="s">
        <v>3532</v>
      </c>
      <c r="C3479" s="98" t="s">
        <v>3532</v>
      </c>
      <c r="D3479" s="120" t="s">
        <v>3534</v>
      </c>
      <c r="E3479" s="98">
        <v>0</v>
      </c>
      <c r="F3479" s="120">
        <v>0</v>
      </c>
      <c r="G3479" s="121">
        <v>0</v>
      </c>
      <c r="H3479" s="123">
        <v>0</v>
      </c>
      <c r="I3479" s="122">
        <v>0</v>
      </c>
      <c r="J3479" s="124">
        <f t="shared" si="54"/>
        <v>0</v>
      </c>
    </row>
    <row r="3480" spans="1:10" ht="15" customHeight="1" x14ac:dyDescent="0.2">
      <c r="A3480" s="120" t="s">
        <v>8382</v>
      </c>
      <c r="B3480" s="120" t="s">
        <v>3532</v>
      </c>
      <c r="C3480" s="98" t="s">
        <v>3532</v>
      </c>
      <c r="D3480" s="120" t="s">
        <v>3534</v>
      </c>
      <c r="E3480" s="98">
        <v>0</v>
      </c>
      <c r="F3480" s="120">
        <v>0</v>
      </c>
      <c r="G3480" s="121">
        <v>0</v>
      </c>
      <c r="H3480" s="123">
        <v>0</v>
      </c>
      <c r="I3480" s="122">
        <v>0</v>
      </c>
      <c r="J3480" s="124">
        <f t="shared" si="54"/>
        <v>0</v>
      </c>
    </row>
    <row r="3481" spans="1:10" ht="15" customHeight="1" x14ac:dyDescent="0.2">
      <c r="A3481" s="120" t="s">
        <v>8383</v>
      </c>
      <c r="B3481" s="120" t="s">
        <v>3532</v>
      </c>
      <c r="C3481" s="98" t="s">
        <v>3532</v>
      </c>
      <c r="D3481" s="120" t="s">
        <v>3534</v>
      </c>
      <c r="E3481" s="98">
        <v>0</v>
      </c>
      <c r="F3481" s="120">
        <v>0</v>
      </c>
      <c r="G3481" s="121">
        <v>0</v>
      </c>
      <c r="H3481" s="123">
        <v>0</v>
      </c>
      <c r="I3481" s="122">
        <v>0</v>
      </c>
      <c r="J3481" s="124">
        <f t="shared" si="54"/>
        <v>0</v>
      </c>
    </row>
    <row r="3482" spans="1:10" ht="15" customHeight="1" x14ac:dyDescent="0.2">
      <c r="A3482" s="120" t="s">
        <v>8384</v>
      </c>
      <c r="B3482" s="120" t="s">
        <v>3532</v>
      </c>
      <c r="C3482" s="98" t="s">
        <v>3533</v>
      </c>
      <c r="D3482" s="120" t="s">
        <v>3563</v>
      </c>
      <c r="E3482" s="98">
        <v>0</v>
      </c>
      <c r="F3482" s="120">
        <v>0</v>
      </c>
      <c r="G3482" s="121">
        <v>0</v>
      </c>
      <c r="H3482" s="123">
        <v>0</v>
      </c>
      <c r="I3482" s="122">
        <v>0</v>
      </c>
      <c r="J3482" s="124">
        <f t="shared" si="54"/>
        <v>0</v>
      </c>
    </row>
    <row r="3483" spans="1:10" ht="15" customHeight="1" x14ac:dyDescent="0.2">
      <c r="A3483" s="120" t="s">
        <v>8385</v>
      </c>
      <c r="B3483" s="120" t="s">
        <v>3532</v>
      </c>
      <c r="C3483" s="98" t="s">
        <v>3532</v>
      </c>
      <c r="D3483" s="120" t="s">
        <v>3563</v>
      </c>
      <c r="E3483" s="98">
        <v>0</v>
      </c>
      <c r="F3483" s="120">
        <v>0</v>
      </c>
      <c r="G3483" s="121">
        <v>0</v>
      </c>
      <c r="H3483" s="123">
        <v>0</v>
      </c>
      <c r="I3483" s="122">
        <v>0</v>
      </c>
      <c r="J3483" s="124">
        <f t="shared" si="54"/>
        <v>0</v>
      </c>
    </row>
    <row r="3484" spans="1:10" ht="15" customHeight="1" x14ac:dyDescent="0.2">
      <c r="A3484" s="120" t="s">
        <v>8386</v>
      </c>
      <c r="B3484" s="120" t="s">
        <v>3532</v>
      </c>
      <c r="C3484" s="98" t="s">
        <v>3532</v>
      </c>
      <c r="D3484" s="120" t="s">
        <v>3534</v>
      </c>
      <c r="E3484" s="98">
        <v>0</v>
      </c>
      <c r="F3484" s="120">
        <v>0</v>
      </c>
      <c r="G3484" s="121">
        <v>0</v>
      </c>
      <c r="H3484" s="123">
        <v>0</v>
      </c>
      <c r="I3484" s="122">
        <v>0</v>
      </c>
      <c r="J3484" s="124">
        <f t="shared" si="54"/>
        <v>0</v>
      </c>
    </row>
    <row r="3485" spans="1:10" ht="15" customHeight="1" x14ac:dyDescent="0.2">
      <c r="A3485" s="120" t="s">
        <v>8387</v>
      </c>
      <c r="B3485" s="120" t="s">
        <v>3532</v>
      </c>
      <c r="C3485" s="98" t="s">
        <v>3532</v>
      </c>
      <c r="D3485" s="120" t="s">
        <v>3534</v>
      </c>
      <c r="E3485" s="98">
        <v>0</v>
      </c>
      <c r="F3485" s="120">
        <v>0</v>
      </c>
      <c r="G3485" s="121">
        <v>0</v>
      </c>
      <c r="H3485" s="123">
        <v>0</v>
      </c>
      <c r="I3485" s="122">
        <v>0</v>
      </c>
      <c r="J3485" s="124">
        <f t="shared" si="54"/>
        <v>0</v>
      </c>
    </row>
    <row r="3486" spans="1:10" ht="15" customHeight="1" x14ac:dyDescent="0.2">
      <c r="A3486" s="120" t="s">
        <v>8388</v>
      </c>
      <c r="B3486" s="120" t="s">
        <v>3532</v>
      </c>
      <c r="C3486" s="98" t="s">
        <v>3532</v>
      </c>
      <c r="D3486" s="120" t="s">
        <v>3534</v>
      </c>
      <c r="E3486" s="98">
        <v>0</v>
      </c>
      <c r="F3486" s="120">
        <v>0</v>
      </c>
      <c r="G3486" s="121">
        <v>0</v>
      </c>
      <c r="H3486" s="123">
        <v>0</v>
      </c>
      <c r="I3486" s="122">
        <v>0</v>
      </c>
      <c r="J3486" s="124">
        <f t="shared" si="54"/>
        <v>0</v>
      </c>
    </row>
    <row r="3487" spans="1:10" ht="15" customHeight="1" x14ac:dyDescent="0.2">
      <c r="A3487" s="120" t="s">
        <v>8389</v>
      </c>
      <c r="B3487" s="120" t="s">
        <v>3532</v>
      </c>
      <c r="C3487" s="98" t="s">
        <v>3533</v>
      </c>
      <c r="D3487" s="120" t="s">
        <v>3534</v>
      </c>
      <c r="E3487" s="98">
        <v>0</v>
      </c>
      <c r="F3487" s="120">
        <v>0</v>
      </c>
      <c r="G3487" s="121">
        <v>7500</v>
      </c>
      <c r="H3487" s="123">
        <v>0</v>
      </c>
      <c r="I3487" s="122">
        <v>0</v>
      </c>
      <c r="J3487" s="124">
        <f t="shared" si="54"/>
        <v>0</v>
      </c>
    </row>
    <row r="3488" spans="1:10" ht="15" customHeight="1" x14ac:dyDescent="0.2">
      <c r="A3488" s="120" t="s">
        <v>8390</v>
      </c>
      <c r="B3488" s="120" t="s">
        <v>8391</v>
      </c>
      <c r="C3488" s="98" t="s">
        <v>3540</v>
      </c>
      <c r="D3488" s="120" t="s">
        <v>3534</v>
      </c>
      <c r="E3488" s="98">
        <v>0</v>
      </c>
      <c r="F3488" s="120">
        <v>0</v>
      </c>
      <c r="G3488" s="121">
        <v>1843</v>
      </c>
      <c r="H3488" s="123">
        <v>0</v>
      </c>
      <c r="I3488" s="122">
        <v>0</v>
      </c>
      <c r="J3488" s="124">
        <f t="shared" si="54"/>
        <v>0</v>
      </c>
    </row>
    <row r="3489" spans="1:10" ht="15" customHeight="1" x14ac:dyDescent="0.2">
      <c r="A3489" s="120" t="s">
        <v>8392</v>
      </c>
      <c r="B3489" s="120" t="s">
        <v>3532</v>
      </c>
      <c r="C3489" s="98" t="s">
        <v>3533</v>
      </c>
      <c r="D3489" s="120" t="s">
        <v>3534</v>
      </c>
      <c r="E3489" s="98">
        <v>0</v>
      </c>
      <c r="F3489" s="120">
        <v>0</v>
      </c>
      <c r="G3489" s="121">
        <v>369</v>
      </c>
      <c r="H3489" s="123">
        <v>0</v>
      </c>
      <c r="I3489" s="122">
        <v>0</v>
      </c>
      <c r="J3489" s="124">
        <f t="shared" si="54"/>
        <v>0</v>
      </c>
    </row>
    <row r="3490" spans="1:10" ht="15" customHeight="1" x14ac:dyDescent="0.2">
      <c r="A3490" s="120" t="s">
        <v>8393</v>
      </c>
      <c r="B3490" s="120" t="s">
        <v>3532</v>
      </c>
      <c r="C3490" s="98" t="s">
        <v>3532</v>
      </c>
      <c r="D3490" s="120" t="s">
        <v>3534</v>
      </c>
      <c r="E3490" s="98">
        <v>0</v>
      </c>
      <c r="F3490" s="120">
        <v>0</v>
      </c>
      <c r="G3490" s="121">
        <v>2455</v>
      </c>
      <c r="H3490" s="123">
        <v>0</v>
      </c>
      <c r="I3490" s="122">
        <v>0</v>
      </c>
      <c r="J3490" s="124">
        <f t="shared" si="54"/>
        <v>0</v>
      </c>
    </row>
    <row r="3491" spans="1:10" ht="15" customHeight="1" x14ac:dyDescent="0.2">
      <c r="A3491" s="120" t="s">
        <v>8394</v>
      </c>
      <c r="B3491" s="120" t="s">
        <v>3532</v>
      </c>
      <c r="C3491" s="98" t="s">
        <v>3532</v>
      </c>
      <c r="D3491" s="120" t="s">
        <v>3534</v>
      </c>
      <c r="E3491" s="98">
        <v>0</v>
      </c>
      <c r="F3491" s="120">
        <v>0</v>
      </c>
      <c r="G3491" s="121">
        <v>1296</v>
      </c>
      <c r="H3491" s="123">
        <v>0</v>
      </c>
      <c r="I3491" s="122">
        <v>0</v>
      </c>
      <c r="J3491" s="124">
        <f t="shared" si="54"/>
        <v>0</v>
      </c>
    </row>
    <row r="3492" spans="1:10" ht="15" customHeight="1" x14ac:dyDescent="0.2">
      <c r="A3492" s="120" t="s">
        <v>8395</v>
      </c>
      <c r="B3492" s="120" t="s">
        <v>3532</v>
      </c>
      <c r="C3492" s="98" t="s">
        <v>3533</v>
      </c>
      <c r="D3492" s="120" t="s">
        <v>3534</v>
      </c>
      <c r="E3492" s="98">
        <v>0</v>
      </c>
      <c r="F3492" s="120">
        <v>0</v>
      </c>
      <c r="G3492" s="121">
        <v>4286</v>
      </c>
      <c r="H3492" s="123">
        <v>0</v>
      </c>
      <c r="I3492" s="122">
        <v>0</v>
      </c>
      <c r="J3492" s="124">
        <f t="shared" si="54"/>
        <v>0</v>
      </c>
    </row>
    <row r="3493" spans="1:10" ht="15" customHeight="1" x14ac:dyDescent="0.2">
      <c r="A3493" s="120" t="s">
        <v>8396</v>
      </c>
      <c r="B3493" s="120" t="s">
        <v>3532</v>
      </c>
      <c r="C3493" s="98" t="s">
        <v>3533</v>
      </c>
      <c r="D3493" s="120" t="s">
        <v>3534</v>
      </c>
      <c r="E3493" s="98">
        <v>0</v>
      </c>
      <c r="F3493" s="120">
        <v>0</v>
      </c>
      <c r="G3493" s="121">
        <v>3930</v>
      </c>
      <c r="H3493" s="123">
        <v>0</v>
      </c>
      <c r="I3493" s="122">
        <v>0</v>
      </c>
      <c r="J3493" s="124">
        <f t="shared" si="54"/>
        <v>0</v>
      </c>
    </row>
    <row r="3494" spans="1:10" ht="15" customHeight="1" x14ac:dyDescent="0.2">
      <c r="A3494" s="120" t="s">
        <v>8397</v>
      </c>
      <c r="B3494" s="120" t="s">
        <v>3532</v>
      </c>
      <c r="C3494" s="98" t="s">
        <v>3533</v>
      </c>
      <c r="D3494" s="120" t="s">
        <v>3534</v>
      </c>
      <c r="E3494" s="98">
        <v>0</v>
      </c>
      <c r="F3494" s="120">
        <v>0</v>
      </c>
      <c r="G3494" s="121">
        <v>0</v>
      </c>
      <c r="H3494" s="123">
        <v>0</v>
      </c>
      <c r="I3494" s="122">
        <v>0</v>
      </c>
      <c r="J3494" s="124">
        <f t="shared" si="54"/>
        <v>0</v>
      </c>
    </row>
    <row r="3495" spans="1:10" ht="15" customHeight="1" x14ac:dyDescent="0.2">
      <c r="A3495" s="120" t="s">
        <v>8398</v>
      </c>
      <c r="B3495" s="120" t="s">
        <v>3532</v>
      </c>
      <c r="C3495" s="98" t="s">
        <v>3533</v>
      </c>
      <c r="D3495" s="120" t="s">
        <v>3534</v>
      </c>
      <c r="E3495" s="98">
        <v>0</v>
      </c>
      <c r="F3495" s="120">
        <v>0</v>
      </c>
      <c r="G3495" s="121">
        <v>9254</v>
      </c>
      <c r="H3495" s="123">
        <v>0</v>
      </c>
      <c r="I3495" s="122">
        <v>0</v>
      </c>
      <c r="J3495" s="124">
        <f t="shared" si="54"/>
        <v>0</v>
      </c>
    </row>
    <row r="3496" spans="1:10" ht="15" customHeight="1" x14ac:dyDescent="0.2">
      <c r="A3496" s="120" t="s">
        <v>8399</v>
      </c>
      <c r="B3496" s="120" t="s">
        <v>3532</v>
      </c>
      <c r="C3496" s="98" t="s">
        <v>3533</v>
      </c>
      <c r="D3496" s="120" t="s">
        <v>3534</v>
      </c>
      <c r="E3496" s="98">
        <v>0</v>
      </c>
      <c r="F3496" s="120">
        <v>0</v>
      </c>
      <c r="G3496" s="121">
        <v>25</v>
      </c>
      <c r="H3496" s="123">
        <v>0</v>
      </c>
      <c r="I3496" s="122">
        <v>0</v>
      </c>
      <c r="J3496" s="124">
        <f t="shared" si="54"/>
        <v>0</v>
      </c>
    </row>
    <row r="3497" spans="1:10" ht="15" customHeight="1" x14ac:dyDescent="0.2">
      <c r="A3497" s="120" t="s">
        <v>8400</v>
      </c>
      <c r="B3497" s="120" t="s">
        <v>3532</v>
      </c>
      <c r="C3497" s="98" t="s">
        <v>3532</v>
      </c>
      <c r="D3497" s="120" t="s">
        <v>3534</v>
      </c>
      <c r="E3497" s="98">
        <v>0</v>
      </c>
      <c r="F3497" s="120">
        <v>0</v>
      </c>
      <c r="G3497" s="121">
        <v>0</v>
      </c>
      <c r="H3497" s="123">
        <v>0</v>
      </c>
      <c r="I3497" s="122">
        <v>0</v>
      </c>
      <c r="J3497" s="124">
        <f t="shared" si="54"/>
        <v>0</v>
      </c>
    </row>
    <row r="3498" spans="1:10" ht="15" customHeight="1" x14ac:dyDescent="0.2">
      <c r="A3498" s="120" t="s">
        <v>8401</v>
      </c>
      <c r="B3498" s="120" t="s">
        <v>8402</v>
      </c>
      <c r="C3498" s="98" t="s">
        <v>3533</v>
      </c>
      <c r="D3498" s="120" t="s">
        <v>3534</v>
      </c>
      <c r="E3498" s="98">
        <v>0</v>
      </c>
      <c r="F3498" s="120">
        <v>0</v>
      </c>
      <c r="G3498" s="121">
        <v>0</v>
      </c>
      <c r="H3498" s="123">
        <v>0</v>
      </c>
      <c r="I3498" s="122">
        <v>0</v>
      </c>
      <c r="J3498" s="124">
        <f t="shared" si="54"/>
        <v>0</v>
      </c>
    </row>
    <row r="3499" spans="1:10" ht="15" customHeight="1" x14ac:dyDescent="0.2">
      <c r="A3499" s="120" t="s">
        <v>8403</v>
      </c>
      <c r="B3499" s="120" t="s">
        <v>3532</v>
      </c>
      <c r="C3499" s="98" t="s">
        <v>3532</v>
      </c>
      <c r="D3499" s="120" t="s">
        <v>3534</v>
      </c>
      <c r="E3499" s="98">
        <v>0</v>
      </c>
      <c r="F3499" s="120">
        <v>0</v>
      </c>
      <c r="G3499" s="121">
        <v>6525</v>
      </c>
      <c r="H3499" s="123">
        <v>0</v>
      </c>
      <c r="I3499" s="122">
        <v>0</v>
      </c>
      <c r="J3499" s="124">
        <f t="shared" si="54"/>
        <v>0</v>
      </c>
    </row>
    <row r="3500" spans="1:10" ht="15" customHeight="1" x14ac:dyDescent="0.2">
      <c r="A3500" s="120" t="s">
        <v>8404</v>
      </c>
      <c r="B3500" s="120" t="s">
        <v>8402</v>
      </c>
      <c r="C3500" s="98" t="s">
        <v>3533</v>
      </c>
      <c r="D3500" s="120" t="s">
        <v>3534</v>
      </c>
      <c r="E3500" s="98">
        <v>0</v>
      </c>
      <c r="F3500" s="120">
        <v>0</v>
      </c>
      <c r="G3500" s="121">
        <v>0</v>
      </c>
      <c r="H3500" s="123">
        <v>0</v>
      </c>
      <c r="I3500" s="122">
        <v>0</v>
      </c>
      <c r="J3500" s="124">
        <f t="shared" si="54"/>
        <v>0</v>
      </c>
    </row>
    <row r="3501" spans="1:10" ht="15" customHeight="1" x14ac:dyDescent="0.2">
      <c r="A3501" s="120" t="s">
        <v>8405</v>
      </c>
      <c r="B3501" s="120" t="s">
        <v>3532</v>
      </c>
      <c r="C3501" s="98" t="s">
        <v>3533</v>
      </c>
      <c r="D3501" s="120" t="s">
        <v>3534</v>
      </c>
      <c r="E3501" s="98">
        <v>0</v>
      </c>
      <c r="F3501" s="120">
        <v>0</v>
      </c>
      <c r="G3501" s="121">
        <v>582</v>
      </c>
      <c r="H3501" s="123">
        <v>0</v>
      </c>
      <c r="I3501" s="122">
        <v>0</v>
      </c>
      <c r="J3501" s="124">
        <f t="shared" si="54"/>
        <v>0</v>
      </c>
    </row>
    <row r="3502" spans="1:10" ht="15" customHeight="1" x14ac:dyDescent="0.2">
      <c r="A3502" s="120" t="s">
        <v>8406</v>
      </c>
      <c r="B3502" s="120" t="s">
        <v>8407</v>
      </c>
      <c r="C3502" s="98" t="s">
        <v>3532</v>
      </c>
      <c r="D3502" s="120" t="s">
        <v>3534</v>
      </c>
      <c r="E3502" s="98">
        <v>0</v>
      </c>
      <c r="F3502" s="120">
        <v>0</v>
      </c>
      <c r="G3502" s="121">
        <v>1028</v>
      </c>
      <c r="H3502" s="123">
        <v>0</v>
      </c>
      <c r="I3502" s="122">
        <v>0</v>
      </c>
      <c r="J3502" s="124">
        <f t="shared" si="54"/>
        <v>0</v>
      </c>
    </row>
    <row r="3503" spans="1:10" ht="15" customHeight="1" x14ac:dyDescent="0.2">
      <c r="A3503" s="120" t="s">
        <v>8408</v>
      </c>
      <c r="B3503" s="120" t="s">
        <v>3532</v>
      </c>
      <c r="C3503" s="98" t="s">
        <v>3533</v>
      </c>
      <c r="D3503" s="120" t="s">
        <v>3563</v>
      </c>
      <c r="E3503" s="98">
        <v>8.2236000000000004E-2</v>
      </c>
      <c r="F3503" s="120">
        <v>0</v>
      </c>
      <c r="G3503" s="121">
        <v>0</v>
      </c>
      <c r="H3503" s="123">
        <v>8.2236000000000004E-2</v>
      </c>
      <c r="I3503" s="122">
        <v>0</v>
      </c>
      <c r="J3503" s="124">
        <f t="shared" si="54"/>
        <v>82.236000000000004</v>
      </c>
    </row>
    <row r="3504" spans="1:10" ht="15" customHeight="1" x14ac:dyDescent="0.2">
      <c r="A3504" s="120" t="s">
        <v>8409</v>
      </c>
      <c r="B3504" s="120" t="s">
        <v>4576</v>
      </c>
      <c r="C3504" s="98" t="s">
        <v>3533</v>
      </c>
      <c r="D3504" s="120" t="s">
        <v>3563</v>
      </c>
      <c r="E3504" s="98">
        <v>0</v>
      </c>
      <c r="F3504" s="120">
        <v>0</v>
      </c>
      <c r="G3504" s="121">
        <v>0</v>
      </c>
      <c r="H3504" s="123">
        <v>0</v>
      </c>
      <c r="I3504" s="122">
        <v>0</v>
      </c>
      <c r="J3504" s="124">
        <f t="shared" si="54"/>
        <v>0</v>
      </c>
    </row>
    <row r="3505" spans="1:11" ht="15" customHeight="1" x14ac:dyDescent="0.2">
      <c r="A3505" s="120" t="s">
        <v>8410</v>
      </c>
      <c r="B3505" s="120" t="s">
        <v>4576</v>
      </c>
      <c r="C3505" s="98" t="s">
        <v>3533</v>
      </c>
      <c r="D3505" s="120" t="s">
        <v>3563</v>
      </c>
      <c r="E3505" s="98">
        <v>0</v>
      </c>
      <c r="F3505" s="120">
        <v>0</v>
      </c>
      <c r="G3505" s="121">
        <v>0</v>
      </c>
      <c r="H3505" s="123">
        <v>0</v>
      </c>
      <c r="I3505" s="122">
        <v>0</v>
      </c>
      <c r="J3505" s="124">
        <f t="shared" si="54"/>
        <v>0</v>
      </c>
    </row>
    <row r="3506" spans="1:11" ht="15" customHeight="1" x14ac:dyDescent="0.2">
      <c r="A3506" s="120" t="s">
        <v>8411</v>
      </c>
      <c r="B3506" s="120" t="s">
        <v>3532</v>
      </c>
      <c r="C3506" s="98" t="s">
        <v>3532</v>
      </c>
      <c r="D3506" s="120" t="s">
        <v>3534</v>
      </c>
      <c r="E3506" s="98">
        <v>0</v>
      </c>
      <c r="F3506" s="120">
        <v>0</v>
      </c>
      <c r="G3506" s="121">
        <v>0</v>
      </c>
      <c r="H3506" s="123">
        <v>0</v>
      </c>
      <c r="I3506" s="122">
        <v>0</v>
      </c>
      <c r="J3506" s="124">
        <f t="shared" si="54"/>
        <v>0</v>
      </c>
    </row>
    <row r="3507" spans="1:11" ht="15" customHeight="1" x14ac:dyDescent="0.2">
      <c r="A3507" s="120" t="s">
        <v>8412</v>
      </c>
      <c r="B3507" s="120" t="s">
        <v>3532</v>
      </c>
      <c r="C3507" s="98" t="s">
        <v>3533</v>
      </c>
      <c r="D3507" s="120" t="s">
        <v>3534</v>
      </c>
      <c r="E3507" s="98">
        <v>0</v>
      </c>
      <c r="F3507" s="120">
        <v>0</v>
      </c>
      <c r="G3507" s="121">
        <v>0</v>
      </c>
      <c r="H3507" s="123">
        <v>0</v>
      </c>
      <c r="I3507" s="122">
        <v>0</v>
      </c>
      <c r="J3507" s="124">
        <f t="shared" si="54"/>
        <v>0</v>
      </c>
    </row>
    <row r="3508" spans="1:11" ht="15" customHeight="1" x14ac:dyDescent="0.2">
      <c r="A3508" s="120" t="s">
        <v>8413</v>
      </c>
      <c r="B3508" s="120" t="s">
        <v>3532</v>
      </c>
      <c r="C3508" s="98" t="s">
        <v>3533</v>
      </c>
      <c r="D3508" s="120" t="s">
        <v>3534</v>
      </c>
      <c r="E3508" s="98">
        <v>0</v>
      </c>
      <c r="F3508" s="120">
        <v>0</v>
      </c>
      <c r="G3508" s="121">
        <v>0</v>
      </c>
      <c r="H3508" s="123">
        <v>0</v>
      </c>
      <c r="I3508" s="122">
        <v>0</v>
      </c>
      <c r="J3508" s="124">
        <f t="shared" si="54"/>
        <v>0</v>
      </c>
    </row>
    <row r="3509" spans="1:11" ht="15" customHeight="1" x14ac:dyDescent="0.2">
      <c r="A3509" s="120" t="s">
        <v>8414</v>
      </c>
      <c r="B3509" s="120" t="s">
        <v>3615</v>
      </c>
      <c r="C3509" s="98" t="s">
        <v>3533</v>
      </c>
      <c r="D3509" s="120" t="s">
        <v>3534</v>
      </c>
      <c r="E3509" s="98">
        <v>1.3654004106776199</v>
      </c>
      <c r="F3509" s="120">
        <v>0</v>
      </c>
      <c r="G3509" s="121">
        <v>0</v>
      </c>
      <c r="H3509" s="123">
        <v>1.3653999999999999</v>
      </c>
      <c r="I3509" s="122">
        <v>0</v>
      </c>
      <c r="J3509" s="124">
        <f t="shared" si="54"/>
        <v>1.3654004106776199</v>
      </c>
    </row>
    <row r="3510" spans="1:11" ht="15" customHeight="1" x14ac:dyDescent="0.2">
      <c r="A3510" s="120" t="s">
        <v>8415</v>
      </c>
      <c r="B3510" s="120" t="s">
        <v>3532</v>
      </c>
      <c r="C3510" s="98" t="s">
        <v>3533</v>
      </c>
      <c r="D3510" s="120" t="s">
        <v>3534</v>
      </c>
      <c r="E3510" s="98">
        <v>0</v>
      </c>
      <c r="F3510" s="120">
        <v>0</v>
      </c>
      <c r="G3510" s="121">
        <v>0</v>
      </c>
      <c r="H3510" s="123">
        <v>0</v>
      </c>
      <c r="I3510" s="122">
        <v>0</v>
      </c>
      <c r="J3510" s="124">
        <f t="shared" si="54"/>
        <v>0</v>
      </c>
    </row>
    <row r="3511" spans="1:11" ht="15" customHeight="1" x14ac:dyDescent="0.2">
      <c r="A3511" s="120" t="s">
        <v>8416</v>
      </c>
      <c r="B3511" s="120" t="s">
        <v>4576</v>
      </c>
      <c r="C3511" s="98" t="s">
        <v>3533</v>
      </c>
      <c r="D3511" s="120" t="s">
        <v>3534</v>
      </c>
      <c r="E3511" s="98">
        <v>0</v>
      </c>
      <c r="F3511" s="120">
        <v>0</v>
      </c>
      <c r="G3511" s="121">
        <v>0</v>
      </c>
      <c r="H3511" s="123">
        <v>0</v>
      </c>
      <c r="I3511" s="122">
        <v>0</v>
      </c>
      <c r="J3511" s="124">
        <f t="shared" si="54"/>
        <v>0</v>
      </c>
      <c r="K3511" s="98" t="s">
        <v>8417</v>
      </c>
    </row>
    <row r="3512" spans="1:11" ht="15" customHeight="1" x14ac:dyDescent="0.2">
      <c r="A3512" s="120" t="s">
        <v>8418</v>
      </c>
      <c r="B3512" s="120" t="s">
        <v>4576</v>
      </c>
      <c r="C3512" s="98" t="s">
        <v>3566</v>
      </c>
      <c r="D3512" s="120" t="s">
        <v>3534</v>
      </c>
      <c r="E3512" s="98">
        <v>0</v>
      </c>
      <c r="F3512" s="120">
        <v>0</v>
      </c>
      <c r="G3512" s="121">
        <v>0</v>
      </c>
      <c r="H3512" s="123">
        <v>0</v>
      </c>
      <c r="I3512" s="122">
        <v>0</v>
      </c>
      <c r="J3512" s="124">
        <f t="shared" si="54"/>
        <v>0</v>
      </c>
    </row>
    <row r="3513" spans="1:11" ht="15" customHeight="1" x14ac:dyDescent="0.2">
      <c r="A3513" s="120" t="s">
        <v>8419</v>
      </c>
      <c r="B3513" s="120" t="s">
        <v>4576</v>
      </c>
      <c r="C3513" s="98" t="s">
        <v>3532</v>
      </c>
      <c r="D3513" s="120" t="s">
        <v>3534</v>
      </c>
      <c r="E3513" s="98">
        <v>0</v>
      </c>
      <c r="F3513" s="120">
        <v>0</v>
      </c>
      <c r="G3513" s="121">
        <v>0</v>
      </c>
      <c r="H3513" s="123">
        <v>0</v>
      </c>
      <c r="I3513" s="122">
        <v>0</v>
      </c>
      <c r="J3513" s="124">
        <f t="shared" si="54"/>
        <v>0</v>
      </c>
    </row>
    <row r="3514" spans="1:11" ht="15" customHeight="1" x14ac:dyDescent="0.2">
      <c r="A3514" s="120" t="s">
        <v>8420</v>
      </c>
      <c r="B3514" s="120" t="s">
        <v>4576</v>
      </c>
      <c r="C3514" s="98" t="s">
        <v>3566</v>
      </c>
      <c r="D3514" s="120" t="s">
        <v>3534</v>
      </c>
      <c r="E3514" s="98">
        <v>0</v>
      </c>
      <c r="F3514" s="120">
        <v>0</v>
      </c>
      <c r="G3514" s="121">
        <v>0</v>
      </c>
      <c r="H3514" s="123">
        <v>0</v>
      </c>
      <c r="I3514" s="122">
        <v>0</v>
      </c>
      <c r="J3514" s="124">
        <f t="shared" si="54"/>
        <v>0</v>
      </c>
    </row>
    <row r="3515" spans="1:11" ht="15" customHeight="1" x14ac:dyDescent="0.2">
      <c r="A3515" s="120" t="s">
        <v>8421</v>
      </c>
      <c r="B3515" s="120" t="s">
        <v>4576</v>
      </c>
      <c r="C3515" s="98" t="s">
        <v>3533</v>
      </c>
      <c r="D3515" s="120" t="s">
        <v>3534</v>
      </c>
      <c r="E3515" s="98">
        <v>0</v>
      </c>
      <c r="F3515" s="120">
        <v>0</v>
      </c>
      <c r="G3515" s="121">
        <v>0</v>
      </c>
      <c r="H3515" s="123">
        <v>0</v>
      </c>
      <c r="I3515" s="122">
        <v>0</v>
      </c>
      <c r="J3515" s="124">
        <f t="shared" si="54"/>
        <v>0</v>
      </c>
    </row>
    <row r="3516" spans="1:11" ht="15" customHeight="1" x14ac:dyDescent="0.2">
      <c r="A3516" s="120" t="s">
        <v>8422</v>
      </c>
      <c r="B3516" s="120" t="s">
        <v>4576</v>
      </c>
      <c r="C3516" s="98" t="s">
        <v>3533</v>
      </c>
      <c r="D3516" s="120" t="s">
        <v>3534</v>
      </c>
      <c r="E3516" s="98">
        <v>0</v>
      </c>
      <c r="F3516" s="120">
        <v>0</v>
      </c>
      <c r="G3516" s="121">
        <v>0</v>
      </c>
      <c r="H3516" s="123">
        <v>0</v>
      </c>
      <c r="I3516" s="122">
        <v>0</v>
      </c>
      <c r="J3516" s="124">
        <f t="shared" si="54"/>
        <v>0</v>
      </c>
    </row>
    <row r="3517" spans="1:11" ht="15" customHeight="1" x14ac:dyDescent="0.2">
      <c r="A3517" s="120" t="s">
        <v>8423</v>
      </c>
      <c r="B3517" s="120" t="s">
        <v>4576</v>
      </c>
      <c r="C3517" s="98" t="s">
        <v>3533</v>
      </c>
      <c r="D3517" s="120" t="s">
        <v>3534</v>
      </c>
      <c r="E3517" s="98">
        <v>0</v>
      </c>
      <c r="F3517" s="120">
        <v>0</v>
      </c>
      <c r="G3517" s="121">
        <v>0</v>
      </c>
      <c r="H3517" s="123">
        <v>0</v>
      </c>
      <c r="I3517" s="122">
        <v>0</v>
      </c>
      <c r="J3517" s="124">
        <f t="shared" si="54"/>
        <v>0</v>
      </c>
    </row>
    <row r="3518" spans="1:11" ht="15" customHeight="1" x14ac:dyDescent="0.2">
      <c r="A3518" s="120" t="s">
        <v>8424</v>
      </c>
      <c r="B3518" s="120" t="s">
        <v>4576</v>
      </c>
      <c r="C3518" s="98" t="s">
        <v>3532</v>
      </c>
      <c r="D3518" s="120" t="s">
        <v>3534</v>
      </c>
      <c r="E3518" s="98">
        <v>0</v>
      </c>
      <c r="F3518" s="120">
        <v>0</v>
      </c>
      <c r="G3518" s="121">
        <v>0</v>
      </c>
      <c r="H3518" s="123">
        <v>0</v>
      </c>
      <c r="I3518" s="122">
        <v>0</v>
      </c>
      <c r="J3518" s="124">
        <f t="shared" si="54"/>
        <v>0</v>
      </c>
    </row>
    <row r="3519" spans="1:11" ht="15" customHeight="1" x14ac:dyDescent="0.2">
      <c r="A3519" s="120" t="s">
        <v>8425</v>
      </c>
      <c r="B3519" s="120" t="s">
        <v>4576</v>
      </c>
      <c r="C3519" s="98" t="s">
        <v>3540</v>
      </c>
      <c r="D3519" s="120" t="s">
        <v>3534</v>
      </c>
      <c r="E3519" s="98">
        <v>0</v>
      </c>
      <c r="F3519" s="120">
        <v>0</v>
      </c>
      <c r="G3519" s="121">
        <v>0</v>
      </c>
      <c r="H3519" s="123">
        <v>0</v>
      </c>
      <c r="I3519" s="122">
        <v>0</v>
      </c>
      <c r="J3519" s="124">
        <f t="shared" si="54"/>
        <v>0</v>
      </c>
    </row>
    <row r="3520" spans="1:11" ht="15" customHeight="1" x14ac:dyDescent="0.2">
      <c r="A3520" s="120" t="s">
        <v>8426</v>
      </c>
      <c r="B3520" s="120" t="s">
        <v>4576</v>
      </c>
      <c r="C3520" s="98" t="s">
        <v>3540</v>
      </c>
      <c r="D3520" s="120" t="s">
        <v>3534</v>
      </c>
      <c r="E3520" s="98">
        <v>0</v>
      </c>
      <c r="F3520" s="120">
        <v>0</v>
      </c>
      <c r="G3520" s="121">
        <v>0</v>
      </c>
      <c r="H3520" s="123">
        <v>0</v>
      </c>
      <c r="I3520" s="122">
        <v>0</v>
      </c>
      <c r="J3520" s="124">
        <f t="shared" si="54"/>
        <v>0</v>
      </c>
    </row>
    <row r="3521" spans="1:10" ht="15" customHeight="1" x14ac:dyDescent="0.2">
      <c r="A3521" s="120" t="s">
        <v>8427</v>
      </c>
      <c r="B3521" s="120" t="s">
        <v>4576</v>
      </c>
      <c r="C3521" s="98" t="s">
        <v>3540</v>
      </c>
      <c r="D3521" s="120" t="s">
        <v>3534</v>
      </c>
      <c r="E3521" s="98">
        <v>0</v>
      </c>
      <c r="F3521" s="120">
        <v>0</v>
      </c>
      <c r="G3521" s="121">
        <v>0</v>
      </c>
      <c r="H3521" s="123">
        <v>0</v>
      </c>
      <c r="I3521" s="122">
        <v>0</v>
      </c>
      <c r="J3521" s="124">
        <f t="shared" si="54"/>
        <v>0</v>
      </c>
    </row>
    <row r="3522" spans="1:10" ht="15" customHeight="1" x14ac:dyDescent="0.2">
      <c r="A3522" s="120" t="s">
        <v>8428</v>
      </c>
      <c r="B3522" s="120" t="s">
        <v>3532</v>
      </c>
      <c r="C3522" s="98" t="s">
        <v>3532</v>
      </c>
      <c r="D3522" s="120" t="s">
        <v>3534</v>
      </c>
      <c r="E3522" s="98">
        <v>0</v>
      </c>
      <c r="F3522" s="120">
        <v>0</v>
      </c>
      <c r="G3522" s="121">
        <v>0</v>
      </c>
      <c r="H3522" s="123">
        <v>0</v>
      </c>
      <c r="I3522" s="122">
        <v>0</v>
      </c>
      <c r="J3522" s="124">
        <f t="shared" ref="J3522:J3585" si="55">IF(D3522="gm", E3522*1000,+E3522)</f>
        <v>0</v>
      </c>
    </row>
    <row r="3523" spans="1:10" ht="15" customHeight="1" x14ac:dyDescent="0.2">
      <c r="A3523" s="120" t="s">
        <v>8429</v>
      </c>
      <c r="B3523" s="120" t="s">
        <v>4576</v>
      </c>
      <c r="C3523" s="98" t="s">
        <v>3533</v>
      </c>
      <c r="D3523" s="120" t="s">
        <v>3534</v>
      </c>
      <c r="E3523" s="98">
        <v>0</v>
      </c>
      <c r="F3523" s="120">
        <v>0</v>
      </c>
      <c r="G3523" s="121">
        <v>0</v>
      </c>
      <c r="H3523" s="123">
        <v>0</v>
      </c>
      <c r="I3523" s="122">
        <v>0</v>
      </c>
      <c r="J3523" s="124">
        <f t="shared" si="55"/>
        <v>0</v>
      </c>
    </row>
    <row r="3524" spans="1:10" ht="15" customHeight="1" x14ac:dyDescent="0.2">
      <c r="A3524" s="120" t="s">
        <v>8430</v>
      </c>
      <c r="B3524" s="120" t="s">
        <v>3532</v>
      </c>
      <c r="C3524" s="98" t="s">
        <v>3532</v>
      </c>
      <c r="D3524" s="120" t="s">
        <v>3534</v>
      </c>
      <c r="E3524" s="98">
        <v>0</v>
      </c>
      <c r="F3524" s="120">
        <v>0</v>
      </c>
      <c r="G3524" s="121">
        <v>0</v>
      </c>
      <c r="H3524" s="123">
        <v>0</v>
      </c>
      <c r="I3524" s="122">
        <v>0</v>
      </c>
      <c r="J3524" s="124">
        <f t="shared" si="55"/>
        <v>0</v>
      </c>
    </row>
    <row r="3525" spans="1:10" ht="15" customHeight="1" x14ac:dyDescent="0.2">
      <c r="A3525" s="120" t="s">
        <v>8431</v>
      </c>
      <c r="B3525" s="120" t="s">
        <v>4576</v>
      </c>
      <c r="C3525" s="98" t="s">
        <v>3532</v>
      </c>
      <c r="D3525" s="120" t="s">
        <v>3534</v>
      </c>
      <c r="E3525" s="98">
        <v>0</v>
      </c>
      <c r="F3525" s="120">
        <v>0</v>
      </c>
      <c r="G3525" s="121">
        <v>0</v>
      </c>
      <c r="H3525" s="123">
        <v>0</v>
      </c>
      <c r="I3525" s="122">
        <v>0</v>
      </c>
      <c r="J3525" s="124">
        <f t="shared" si="55"/>
        <v>0</v>
      </c>
    </row>
    <row r="3526" spans="1:10" ht="15" customHeight="1" x14ac:dyDescent="0.2">
      <c r="A3526" s="120" t="s">
        <v>8431</v>
      </c>
      <c r="B3526" s="120" t="s">
        <v>4576</v>
      </c>
      <c r="C3526" s="98" t="s">
        <v>3532</v>
      </c>
      <c r="D3526" s="120" t="s">
        <v>3534</v>
      </c>
      <c r="E3526" s="98">
        <v>0</v>
      </c>
      <c r="F3526" s="120">
        <v>0</v>
      </c>
      <c r="G3526" s="121">
        <v>0</v>
      </c>
      <c r="H3526" s="123">
        <v>0</v>
      </c>
      <c r="I3526" s="122">
        <v>0</v>
      </c>
      <c r="J3526" s="124">
        <f t="shared" si="55"/>
        <v>0</v>
      </c>
    </row>
    <row r="3527" spans="1:10" ht="15" customHeight="1" x14ac:dyDescent="0.2">
      <c r="A3527" s="120" t="s">
        <v>8432</v>
      </c>
      <c r="B3527" s="120" t="s">
        <v>3532</v>
      </c>
      <c r="C3527" s="98" t="s">
        <v>3532</v>
      </c>
      <c r="D3527" s="120" t="s">
        <v>3534</v>
      </c>
      <c r="E3527" s="98">
        <v>0</v>
      </c>
      <c r="F3527" s="120">
        <v>0</v>
      </c>
      <c r="G3527" s="121">
        <v>0</v>
      </c>
      <c r="H3527" s="123">
        <v>0</v>
      </c>
      <c r="I3527" s="122">
        <v>0</v>
      </c>
      <c r="J3527" s="124">
        <f t="shared" si="55"/>
        <v>0</v>
      </c>
    </row>
    <row r="3528" spans="1:10" ht="15" customHeight="1" x14ac:dyDescent="0.2">
      <c r="A3528" s="120" t="s">
        <v>8433</v>
      </c>
      <c r="B3528" s="120" t="s">
        <v>4576</v>
      </c>
      <c r="C3528" s="98" t="s">
        <v>3540</v>
      </c>
      <c r="D3528" s="120" t="s">
        <v>3534</v>
      </c>
      <c r="E3528" s="98">
        <v>0</v>
      </c>
      <c r="F3528" s="120">
        <v>0</v>
      </c>
      <c r="G3528" s="121">
        <v>0</v>
      </c>
      <c r="H3528" s="123">
        <v>0</v>
      </c>
      <c r="I3528" s="122">
        <v>0</v>
      </c>
      <c r="J3528" s="124">
        <f t="shared" si="55"/>
        <v>0</v>
      </c>
    </row>
    <row r="3529" spans="1:10" ht="15" customHeight="1" x14ac:dyDescent="0.2">
      <c r="A3529" s="120" t="s">
        <v>8434</v>
      </c>
      <c r="B3529" s="120" t="s">
        <v>4576</v>
      </c>
      <c r="C3529" s="98" t="s">
        <v>3540</v>
      </c>
      <c r="D3529" s="120" t="s">
        <v>3534</v>
      </c>
      <c r="E3529" s="98">
        <v>0</v>
      </c>
      <c r="F3529" s="120">
        <v>0</v>
      </c>
      <c r="G3529" s="121">
        <v>0</v>
      </c>
      <c r="H3529" s="123">
        <v>0</v>
      </c>
      <c r="I3529" s="122">
        <v>0</v>
      </c>
      <c r="J3529" s="124">
        <f t="shared" si="55"/>
        <v>0</v>
      </c>
    </row>
    <row r="3530" spans="1:10" ht="15" customHeight="1" x14ac:dyDescent="0.2">
      <c r="A3530" s="120" t="s">
        <v>8434</v>
      </c>
      <c r="B3530" s="120" t="s">
        <v>4576</v>
      </c>
      <c r="C3530" s="98" t="s">
        <v>3533</v>
      </c>
      <c r="D3530" s="120" t="s">
        <v>3534</v>
      </c>
      <c r="E3530" s="98">
        <v>0</v>
      </c>
      <c r="F3530" s="120">
        <v>0</v>
      </c>
      <c r="G3530" s="121">
        <v>0</v>
      </c>
      <c r="H3530" s="123">
        <v>0</v>
      </c>
      <c r="I3530" s="122">
        <v>0</v>
      </c>
      <c r="J3530" s="124">
        <f t="shared" si="55"/>
        <v>0</v>
      </c>
    </row>
    <row r="3531" spans="1:10" ht="15" customHeight="1" x14ac:dyDescent="0.2">
      <c r="A3531" s="120" t="s">
        <v>8435</v>
      </c>
      <c r="B3531" s="120" t="s">
        <v>3532</v>
      </c>
      <c r="C3531" s="98" t="s">
        <v>3533</v>
      </c>
      <c r="D3531" s="120" t="s">
        <v>3534</v>
      </c>
      <c r="E3531" s="98">
        <v>0</v>
      </c>
      <c r="F3531" s="120">
        <v>0</v>
      </c>
      <c r="G3531" s="121">
        <v>0</v>
      </c>
      <c r="H3531" s="123">
        <v>0</v>
      </c>
      <c r="I3531" s="122">
        <v>0</v>
      </c>
      <c r="J3531" s="124">
        <f t="shared" si="55"/>
        <v>0</v>
      </c>
    </row>
    <row r="3532" spans="1:10" ht="15" customHeight="1" x14ac:dyDescent="0.2">
      <c r="A3532" s="120" t="s">
        <v>8436</v>
      </c>
      <c r="B3532" s="120" t="s">
        <v>4576</v>
      </c>
      <c r="C3532" s="98" t="s">
        <v>3533</v>
      </c>
      <c r="D3532" s="120" t="s">
        <v>3534</v>
      </c>
      <c r="E3532" s="98">
        <v>0</v>
      </c>
      <c r="F3532" s="120">
        <v>0</v>
      </c>
      <c r="G3532" s="121">
        <v>0</v>
      </c>
      <c r="H3532" s="123">
        <v>0</v>
      </c>
      <c r="I3532" s="122">
        <v>0</v>
      </c>
      <c r="J3532" s="124">
        <f t="shared" si="55"/>
        <v>0</v>
      </c>
    </row>
    <row r="3533" spans="1:10" ht="15" customHeight="1" x14ac:dyDescent="0.2">
      <c r="A3533" s="120" t="s">
        <v>8437</v>
      </c>
      <c r="B3533" s="120" t="s">
        <v>3532</v>
      </c>
      <c r="C3533" s="98" t="s">
        <v>3533</v>
      </c>
      <c r="D3533" s="120" t="s">
        <v>3563</v>
      </c>
      <c r="E3533" s="98">
        <v>0</v>
      </c>
      <c r="F3533" s="120">
        <v>0</v>
      </c>
      <c r="G3533" s="121">
        <v>0</v>
      </c>
      <c r="H3533" s="123">
        <v>0</v>
      </c>
      <c r="I3533" s="122">
        <v>0</v>
      </c>
      <c r="J3533" s="124">
        <f t="shared" si="55"/>
        <v>0</v>
      </c>
    </row>
    <row r="3534" spans="1:10" ht="15" customHeight="1" x14ac:dyDescent="0.2">
      <c r="A3534" s="120" t="s">
        <v>8438</v>
      </c>
      <c r="B3534" s="120" t="s">
        <v>4576</v>
      </c>
      <c r="C3534" s="98" t="s">
        <v>3533</v>
      </c>
      <c r="D3534" s="120" t="s">
        <v>3563</v>
      </c>
      <c r="E3534" s="98">
        <v>0</v>
      </c>
      <c r="F3534" s="120">
        <v>0</v>
      </c>
      <c r="G3534" s="121">
        <v>0</v>
      </c>
      <c r="H3534" s="123">
        <v>0</v>
      </c>
      <c r="I3534" s="122">
        <v>0</v>
      </c>
      <c r="J3534" s="124">
        <f t="shared" si="55"/>
        <v>0</v>
      </c>
    </row>
    <row r="3535" spans="1:10" ht="15" customHeight="1" x14ac:dyDescent="0.2">
      <c r="A3535" s="120" t="s">
        <v>8439</v>
      </c>
      <c r="B3535" s="120" t="s">
        <v>4576</v>
      </c>
      <c r="C3535" s="98" t="s">
        <v>3533</v>
      </c>
      <c r="D3535" s="120" t="s">
        <v>3563</v>
      </c>
      <c r="E3535" s="98">
        <v>0</v>
      </c>
      <c r="F3535" s="120">
        <v>0</v>
      </c>
      <c r="G3535" s="121">
        <v>0</v>
      </c>
      <c r="H3535" s="123">
        <v>0</v>
      </c>
      <c r="I3535" s="122">
        <v>0</v>
      </c>
      <c r="J3535" s="124">
        <f t="shared" si="55"/>
        <v>0</v>
      </c>
    </row>
    <row r="3536" spans="1:10" ht="15" customHeight="1" x14ac:dyDescent="0.2">
      <c r="A3536" s="120" t="s">
        <v>8440</v>
      </c>
      <c r="B3536" s="120" t="s">
        <v>4576</v>
      </c>
      <c r="C3536" s="98" t="s">
        <v>3533</v>
      </c>
      <c r="D3536" s="120" t="s">
        <v>3563</v>
      </c>
      <c r="E3536" s="98">
        <v>0</v>
      </c>
      <c r="F3536" s="120">
        <v>0</v>
      </c>
      <c r="G3536" s="121">
        <v>0</v>
      </c>
      <c r="H3536" s="123">
        <v>0</v>
      </c>
      <c r="I3536" s="122">
        <v>0</v>
      </c>
      <c r="J3536" s="124">
        <f t="shared" si="55"/>
        <v>0</v>
      </c>
    </row>
    <row r="3537" spans="1:10" ht="15" customHeight="1" x14ac:dyDescent="0.2">
      <c r="A3537" s="120" t="s">
        <v>8441</v>
      </c>
      <c r="B3537" s="120" t="s">
        <v>4576</v>
      </c>
      <c r="C3537" s="98" t="s">
        <v>3533</v>
      </c>
      <c r="D3537" s="120" t="s">
        <v>3563</v>
      </c>
      <c r="E3537" s="98">
        <v>0</v>
      </c>
      <c r="F3537" s="120">
        <v>0</v>
      </c>
      <c r="G3537" s="121">
        <v>0</v>
      </c>
      <c r="H3537" s="123">
        <v>0</v>
      </c>
      <c r="I3537" s="122">
        <v>0</v>
      </c>
      <c r="J3537" s="124">
        <f t="shared" si="55"/>
        <v>0</v>
      </c>
    </row>
    <row r="3538" spans="1:10" ht="15" customHeight="1" x14ac:dyDescent="0.2">
      <c r="A3538" s="120" t="s">
        <v>8442</v>
      </c>
      <c r="B3538" s="120" t="s">
        <v>8443</v>
      </c>
      <c r="C3538" s="98" t="s">
        <v>3540</v>
      </c>
      <c r="D3538" s="120" t="s">
        <v>3563</v>
      </c>
      <c r="E3538" s="98">
        <v>0</v>
      </c>
      <c r="F3538" s="120">
        <v>0</v>
      </c>
      <c r="G3538" s="121">
        <v>0</v>
      </c>
      <c r="H3538" s="123">
        <v>0</v>
      </c>
      <c r="I3538" s="122">
        <v>0</v>
      </c>
      <c r="J3538" s="124">
        <f t="shared" si="55"/>
        <v>0</v>
      </c>
    </row>
    <row r="3539" spans="1:10" ht="15" customHeight="1" x14ac:dyDescent="0.2">
      <c r="A3539" s="120" t="s">
        <v>8444</v>
      </c>
      <c r="B3539" s="120" t="s">
        <v>4576</v>
      </c>
      <c r="C3539" s="98" t="s">
        <v>3540</v>
      </c>
      <c r="D3539" s="120" t="s">
        <v>3563</v>
      </c>
      <c r="E3539" s="98">
        <v>0</v>
      </c>
      <c r="F3539" s="120">
        <v>0</v>
      </c>
      <c r="G3539" s="121">
        <v>0</v>
      </c>
      <c r="H3539" s="123">
        <v>0</v>
      </c>
      <c r="I3539" s="122">
        <v>0</v>
      </c>
      <c r="J3539" s="124">
        <f t="shared" si="55"/>
        <v>0</v>
      </c>
    </row>
    <row r="3540" spans="1:10" ht="15" customHeight="1" x14ac:dyDescent="0.2">
      <c r="A3540" s="120" t="s">
        <v>8445</v>
      </c>
      <c r="B3540" s="120" t="s">
        <v>4576</v>
      </c>
      <c r="C3540" s="98" t="s">
        <v>3540</v>
      </c>
      <c r="D3540" s="120" t="s">
        <v>3563</v>
      </c>
      <c r="E3540" s="98">
        <v>0</v>
      </c>
      <c r="F3540" s="120">
        <v>0</v>
      </c>
      <c r="G3540" s="121">
        <v>0</v>
      </c>
      <c r="H3540" s="123">
        <v>0</v>
      </c>
      <c r="I3540" s="122">
        <v>0</v>
      </c>
      <c r="J3540" s="124">
        <f t="shared" si="55"/>
        <v>0</v>
      </c>
    </row>
    <row r="3541" spans="1:10" ht="15" customHeight="1" x14ac:dyDescent="0.2">
      <c r="A3541" s="120" t="s">
        <v>8446</v>
      </c>
      <c r="B3541" s="120" t="s">
        <v>3532</v>
      </c>
      <c r="C3541" s="98" t="s">
        <v>3532</v>
      </c>
      <c r="D3541" s="120" t="s">
        <v>3563</v>
      </c>
      <c r="E3541" s="98">
        <v>0</v>
      </c>
      <c r="F3541" s="120">
        <v>0</v>
      </c>
      <c r="G3541" s="121">
        <v>0</v>
      </c>
      <c r="H3541" s="123">
        <v>0</v>
      </c>
      <c r="I3541" s="122">
        <v>0</v>
      </c>
      <c r="J3541" s="124">
        <f t="shared" si="55"/>
        <v>0</v>
      </c>
    </row>
    <row r="3542" spans="1:10" ht="15" customHeight="1" x14ac:dyDescent="0.2">
      <c r="A3542" s="120" t="s">
        <v>8447</v>
      </c>
      <c r="B3542" s="120" t="s">
        <v>3532</v>
      </c>
      <c r="C3542" s="98" t="s">
        <v>3532</v>
      </c>
      <c r="D3542" s="120" t="s">
        <v>3563</v>
      </c>
      <c r="E3542" s="98">
        <v>0</v>
      </c>
      <c r="F3542" s="120">
        <v>0</v>
      </c>
      <c r="G3542" s="121">
        <v>0</v>
      </c>
      <c r="H3542" s="123">
        <v>0</v>
      </c>
      <c r="I3542" s="122">
        <v>0</v>
      </c>
      <c r="J3542" s="124">
        <f t="shared" si="55"/>
        <v>0</v>
      </c>
    </row>
    <row r="3543" spans="1:10" ht="15" customHeight="1" x14ac:dyDescent="0.2">
      <c r="A3543" s="120" t="s">
        <v>8448</v>
      </c>
      <c r="B3543" s="120" t="s">
        <v>4576</v>
      </c>
      <c r="C3543" s="98" t="s">
        <v>3533</v>
      </c>
      <c r="D3543" s="120" t="s">
        <v>3563</v>
      </c>
      <c r="E3543" s="98">
        <v>0</v>
      </c>
      <c r="F3543" s="120">
        <v>0</v>
      </c>
      <c r="G3543" s="121">
        <v>0</v>
      </c>
      <c r="H3543" s="123">
        <v>0</v>
      </c>
      <c r="I3543" s="122">
        <v>0</v>
      </c>
      <c r="J3543" s="124">
        <f t="shared" si="55"/>
        <v>0</v>
      </c>
    </row>
    <row r="3544" spans="1:10" ht="15" customHeight="1" x14ac:dyDescent="0.2">
      <c r="A3544" s="120" t="s">
        <v>8449</v>
      </c>
      <c r="B3544" s="120" t="s">
        <v>4576</v>
      </c>
      <c r="C3544" s="98" t="s">
        <v>3533</v>
      </c>
      <c r="D3544" s="120" t="s">
        <v>3563</v>
      </c>
      <c r="E3544" s="98">
        <v>0</v>
      </c>
      <c r="F3544" s="120">
        <v>0</v>
      </c>
      <c r="G3544" s="121">
        <v>0</v>
      </c>
      <c r="H3544" s="123">
        <v>0</v>
      </c>
      <c r="I3544" s="122">
        <v>0</v>
      </c>
      <c r="J3544" s="124">
        <f t="shared" si="55"/>
        <v>0</v>
      </c>
    </row>
    <row r="3545" spans="1:10" ht="15" customHeight="1" x14ac:dyDescent="0.2">
      <c r="A3545" s="120" t="s">
        <v>8450</v>
      </c>
      <c r="B3545" s="120" t="s">
        <v>4576</v>
      </c>
      <c r="C3545" s="98" t="s">
        <v>3533</v>
      </c>
      <c r="D3545" s="120" t="s">
        <v>3563</v>
      </c>
      <c r="E3545" s="98">
        <v>0</v>
      </c>
      <c r="F3545" s="120">
        <v>0</v>
      </c>
      <c r="G3545" s="121">
        <v>0</v>
      </c>
      <c r="H3545" s="123">
        <v>0</v>
      </c>
      <c r="I3545" s="122">
        <v>0</v>
      </c>
      <c r="J3545" s="124">
        <f t="shared" si="55"/>
        <v>0</v>
      </c>
    </row>
    <row r="3546" spans="1:10" ht="15" customHeight="1" x14ac:dyDescent="0.2">
      <c r="A3546" s="120" t="s">
        <v>8451</v>
      </c>
      <c r="B3546" s="120" t="s">
        <v>4576</v>
      </c>
      <c r="C3546" s="98" t="s">
        <v>3533</v>
      </c>
      <c r="D3546" s="120" t="s">
        <v>3563</v>
      </c>
      <c r="E3546" s="98">
        <v>0</v>
      </c>
      <c r="F3546" s="120">
        <v>0</v>
      </c>
      <c r="G3546" s="121">
        <v>0</v>
      </c>
      <c r="H3546" s="123">
        <v>0</v>
      </c>
      <c r="I3546" s="122">
        <v>0</v>
      </c>
      <c r="J3546" s="124">
        <f t="shared" si="55"/>
        <v>0</v>
      </c>
    </row>
    <row r="3547" spans="1:10" ht="15" customHeight="1" x14ac:dyDescent="0.2">
      <c r="A3547" s="120" t="s">
        <v>6097</v>
      </c>
      <c r="B3547" s="120" t="s">
        <v>4576</v>
      </c>
      <c r="C3547" s="98" t="s">
        <v>3532</v>
      </c>
      <c r="D3547" s="120" t="s">
        <v>3563</v>
      </c>
      <c r="E3547" s="98">
        <v>0</v>
      </c>
      <c r="F3547" s="120">
        <v>0</v>
      </c>
      <c r="G3547" s="121">
        <v>0</v>
      </c>
      <c r="H3547" s="123">
        <v>0</v>
      </c>
      <c r="I3547" s="122">
        <v>0</v>
      </c>
      <c r="J3547" s="124">
        <f t="shared" si="55"/>
        <v>0</v>
      </c>
    </row>
    <row r="3548" spans="1:10" ht="15" customHeight="1" x14ac:dyDescent="0.2">
      <c r="A3548" s="120" t="s">
        <v>8452</v>
      </c>
      <c r="B3548" s="120" t="s">
        <v>4576</v>
      </c>
      <c r="C3548" s="98" t="s">
        <v>3540</v>
      </c>
      <c r="D3548" s="120" t="s">
        <v>3563</v>
      </c>
      <c r="E3548" s="98">
        <v>0</v>
      </c>
      <c r="F3548" s="120">
        <v>0</v>
      </c>
      <c r="G3548" s="121">
        <v>0</v>
      </c>
      <c r="H3548" s="123">
        <v>0</v>
      </c>
      <c r="I3548" s="122">
        <v>0</v>
      </c>
      <c r="J3548" s="124">
        <f t="shared" si="55"/>
        <v>0</v>
      </c>
    </row>
    <row r="3549" spans="1:10" ht="15" customHeight="1" x14ac:dyDescent="0.2">
      <c r="A3549" s="120" t="s">
        <v>8453</v>
      </c>
      <c r="B3549" s="120" t="s">
        <v>4576</v>
      </c>
      <c r="C3549" s="98" t="s">
        <v>3540</v>
      </c>
      <c r="D3549" s="120" t="s">
        <v>3563</v>
      </c>
      <c r="E3549" s="98">
        <v>0</v>
      </c>
      <c r="F3549" s="120">
        <v>0</v>
      </c>
      <c r="G3549" s="121">
        <v>0</v>
      </c>
      <c r="H3549" s="123">
        <v>0</v>
      </c>
      <c r="I3549" s="122">
        <v>0</v>
      </c>
      <c r="J3549" s="124">
        <f t="shared" si="55"/>
        <v>0</v>
      </c>
    </row>
    <row r="3550" spans="1:10" ht="15" customHeight="1" x14ac:dyDescent="0.2">
      <c r="A3550" s="120" t="s">
        <v>8454</v>
      </c>
      <c r="B3550" s="120" t="s">
        <v>4576</v>
      </c>
      <c r="C3550" s="98" t="s">
        <v>3540</v>
      </c>
      <c r="D3550" s="120" t="s">
        <v>3563</v>
      </c>
      <c r="E3550" s="98">
        <v>0</v>
      </c>
      <c r="F3550" s="120">
        <v>0</v>
      </c>
      <c r="G3550" s="121">
        <v>0</v>
      </c>
      <c r="H3550" s="123">
        <v>0</v>
      </c>
      <c r="I3550" s="122">
        <v>0</v>
      </c>
      <c r="J3550" s="124">
        <f t="shared" si="55"/>
        <v>0</v>
      </c>
    </row>
    <row r="3551" spans="1:10" ht="15" customHeight="1" x14ac:dyDescent="0.2">
      <c r="A3551" s="120" t="s">
        <v>8455</v>
      </c>
      <c r="B3551" s="120" t="s">
        <v>4576</v>
      </c>
      <c r="C3551" s="98" t="s">
        <v>3540</v>
      </c>
      <c r="D3551" s="120" t="s">
        <v>3563</v>
      </c>
      <c r="E3551" s="98">
        <v>0</v>
      </c>
      <c r="F3551" s="120">
        <v>0</v>
      </c>
      <c r="G3551" s="121">
        <v>0</v>
      </c>
      <c r="H3551" s="123">
        <v>0</v>
      </c>
      <c r="I3551" s="122">
        <v>0</v>
      </c>
      <c r="J3551" s="124">
        <f t="shared" si="55"/>
        <v>0</v>
      </c>
    </row>
    <row r="3552" spans="1:10" ht="15" customHeight="1" x14ac:dyDescent="0.2">
      <c r="A3552" s="120" t="s">
        <v>8456</v>
      </c>
      <c r="B3552" s="120" t="s">
        <v>4576</v>
      </c>
      <c r="C3552" s="98" t="s">
        <v>3533</v>
      </c>
      <c r="D3552" s="120" t="s">
        <v>3563</v>
      </c>
      <c r="E3552" s="98">
        <v>0</v>
      </c>
      <c r="F3552" s="120">
        <v>0</v>
      </c>
      <c r="G3552" s="121">
        <v>0</v>
      </c>
      <c r="H3552" s="123">
        <v>0</v>
      </c>
      <c r="I3552" s="122">
        <v>0</v>
      </c>
      <c r="J3552" s="124">
        <f t="shared" si="55"/>
        <v>0</v>
      </c>
    </row>
    <row r="3553" spans="1:10" ht="15" customHeight="1" x14ac:dyDescent="0.2">
      <c r="A3553" s="120" t="s">
        <v>8457</v>
      </c>
      <c r="B3553" s="120" t="s">
        <v>3532</v>
      </c>
      <c r="C3553" s="98" t="s">
        <v>3533</v>
      </c>
      <c r="D3553" s="120" t="s">
        <v>3563</v>
      </c>
      <c r="E3553" s="98">
        <v>0</v>
      </c>
      <c r="F3553" s="120">
        <v>0</v>
      </c>
      <c r="G3553" s="121">
        <v>0</v>
      </c>
      <c r="H3553" s="123">
        <v>0</v>
      </c>
      <c r="I3553" s="122">
        <v>0</v>
      </c>
      <c r="J3553" s="124">
        <f t="shared" si="55"/>
        <v>0</v>
      </c>
    </row>
    <row r="3554" spans="1:10" ht="15" customHeight="1" x14ac:dyDescent="0.2">
      <c r="A3554" s="120" t="s">
        <v>5854</v>
      </c>
      <c r="B3554" s="120" t="s">
        <v>3532</v>
      </c>
      <c r="C3554" s="98" t="s">
        <v>3533</v>
      </c>
      <c r="D3554" s="120" t="s">
        <v>3563</v>
      </c>
      <c r="E3554" s="98">
        <v>0</v>
      </c>
      <c r="F3554" s="120">
        <v>0</v>
      </c>
      <c r="G3554" s="121">
        <v>0</v>
      </c>
      <c r="H3554" s="123">
        <v>0</v>
      </c>
      <c r="I3554" s="122">
        <v>0</v>
      </c>
      <c r="J3554" s="124">
        <f t="shared" si="55"/>
        <v>0</v>
      </c>
    </row>
    <row r="3555" spans="1:10" ht="15" customHeight="1" x14ac:dyDescent="0.2">
      <c r="A3555" s="120" t="s">
        <v>8458</v>
      </c>
      <c r="B3555" s="120" t="s">
        <v>3532</v>
      </c>
      <c r="C3555" s="98" t="s">
        <v>3533</v>
      </c>
      <c r="D3555" s="120" t="s">
        <v>3563</v>
      </c>
      <c r="E3555" s="98">
        <v>0</v>
      </c>
      <c r="F3555" s="120">
        <v>0</v>
      </c>
      <c r="G3555" s="121">
        <v>0</v>
      </c>
      <c r="H3555" s="123">
        <v>0</v>
      </c>
      <c r="I3555" s="122">
        <v>0</v>
      </c>
      <c r="J3555" s="124">
        <f t="shared" si="55"/>
        <v>0</v>
      </c>
    </row>
    <row r="3556" spans="1:10" ht="15" customHeight="1" x14ac:dyDescent="0.2">
      <c r="A3556" s="120" t="s">
        <v>8459</v>
      </c>
      <c r="B3556" s="120" t="s">
        <v>4576</v>
      </c>
      <c r="C3556" s="98" t="s">
        <v>3532</v>
      </c>
      <c r="D3556" s="120" t="s">
        <v>3563</v>
      </c>
      <c r="E3556" s="98">
        <v>0</v>
      </c>
      <c r="F3556" s="120">
        <v>0</v>
      </c>
      <c r="G3556" s="121">
        <v>0</v>
      </c>
      <c r="H3556" s="123">
        <v>0</v>
      </c>
      <c r="I3556" s="122">
        <v>0</v>
      </c>
      <c r="J3556" s="124">
        <f t="shared" si="55"/>
        <v>0</v>
      </c>
    </row>
    <row r="3557" spans="1:10" ht="15" customHeight="1" x14ac:dyDescent="0.2">
      <c r="A3557" s="120" t="s">
        <v>8460</v>
      </c>
      <c r="B3557" s="120" t="s">
        <v>3532</v>
      </c>
      <c r="C3557" s="98" t="s">
        <v>3532</v>
      </c>
      <c r="D3557" s="120" t="s">
        <v>3534</v>
      </c>
      <c r="E3557" s="98">
        <v>0</v>
      </c>
      <c r="F3557" s="120">
        <v>0</v>
      </c>
      <c r="G3557" s="121">
        <v>0</v>
      </c>
      <c r="H3557" s="123">
        <v>0</v>
      </c>
      <c r="I3557" s="122">
        <v>0</v>
      </c>
      <c r="J3557" s="124">
        <f t="shared" si="55"/>
        <v>0</v>
      </c>
    </row>
    <row r="3558" spans="1:10" ht="15" customHeight="1" x14ac:dyDescent="0.2">
      <c r="A3558" s="120" t="s">
        <v>8461</v>
      </c>
      <c r="B3558" s="120" t="s">
        <v>3532</v>
      </c>
      <c r="C3558" s="98" t="s">
        <v>3532</v>
      </c>
      <c r="D3558" s="120" t="s">
        <v>3534</v>
      </c>
      <c r="E3558" s="98">
        <v>0</v>
      </c>
      <c r="F3558" s="120">
        <v>0</v>
      </c>
      <c r="G3558" s="121">
        <v>0</v>
      </c>
      <c r="H3558" s="123">
        <v>0</v>
      </c>
      <c r="I3558" s="122">
        <v>0</v>
      </c>
      <c r="J3558" s="124">
        <f t="shared" si="55"/>
        <v>0</v>
      </c>
    </row>
    <row r="3559" spans="1:10" ht="15" customHeight="1" x14ac:dyDescent="0.2">
      <c r="A3559" s="120" t="s">
        <v>8462</v>
      </c>
      <c r="B3559" s="120" t="s">
        <v>3532</v>
      </c>
      <c r="C3559" s="98" t="s">
        <v>3532</v>
      </c>
      <c r="D3559" s="120" t="s">
        <v>3534</v>
      </c>
      <c r="E3559" s="98">
        <v>0</v>
      </c>
      <c r="F3559" s="120">
        <v>0</v>
      </c>
      <c r="G3559" s="121">
        <v>0</v>
      </c>
      <c r="H3559" s="123">
        <v>0</v>
      </c>
      <c r="I3559" s="122">
        <v>0</v>
      </c>
      <c r="J3559" s="124">
        <f t="shared" si="55"/>
        <v>0</v>
      </c>
    </row>
    <row r="3560" spans="1:10" ht="15" customHeight="1" x14ac:dyDescent="0.2">
      <c r="A3560" s="120" t="s">
        <v>8463</v>
      </c>
      <c r="B3560" s="120" t="s">
        <v>3532</v>
      </c>
      <c r="C3560" s="98" t="s">
        <v>3532</v>
      </c>
      <c r="D3560" s="120" t="s">
        <v>3534</v>
      </c>
      <c r="E3560" s="98">
        <v>0</v>
      </c>
      <c r="F3560" s="120">
        <v>0</v>
      </c>
      <c r="G3560" s="121">
        <v>0</v>
      </c>
      <c r="H3560" s="123">
        <v>0</v>
      </c>
      <c r="I3560" s="122">
        <v>0</v>
      </c>
      <c r="J3560" s="124">
        <f t="shared" si="55"/>
        <v>0</v>
      </c>
    </row>
    <row r="3561" spans="1:10" ht="15" customHeight="1" x14ac:dyDescent="0.2">
      <c r="A3561" s="120" t="s">
        <v>8464</v>
      </c>
      <c r="B3561" s="120" t="s">
        <v>3532</v>
      </c>
      <c r="C3561" s="98" t="s">
        <v>3532</v>
      </c>
      <c r="D3561" s="120" t="s">
        <v>3534</v>
      </c>
      <c r="E3561" s="98">
        <v>0</v>
      </c>
      <c r="F3561" s="120">
        <v>0</v>
      </c>
      <c r="G3561" s="121">
        <v>0</v>
      </c>
      <c r="H3561" s="123">
        <v>0</v>
      </c>
      <c r="I3561" s="122">
        <v>0</v>
      </c>
      <c r="J3561" s="124">
        <f t="shared" si="55"/>
        <v>0</v>
      </c>
    </row>
    <row r="3562" spans="1:10" ht="15" customHeight="1" x14ac:dyDescent="0.2">
      <c r="A3562" s="120" t="s">
        <v>8465</v>
      </c>
      <c r="B3562" s="120" t="s">
        <v>3532</v>
      </c>
      <c r="C3562" s="98" t="s">
        <v>3532</v>
      </c>
      <c r="D3562" s="120" t="s">
        <v>3534</v>
      </c>
      <c r="E3562" s="98">
        <v>0</v>
      </c>
      <c r="F3562" s="120">
        <v>0</v>
      </c>
      <c r="G3562" s="121">
        <v>0</v>
      </c>
      <c r="H3562" s="123">
        <v>0</v>
      </c>
      <c r="I3562" s="122">
        <v>0</v>
      </c>
      <c r="J3562" s="124">
        <f t="shared" si="55"/>
        <v>0</v>
      </c>
    </row>
    <row r="3563" spans="1:10" ht="15" customHeight="1" x14ac:dyDescent="0.2">
      <c r="A3563" s="120" t="s">
        <v>8466</v>
      </c>
      <c r="B3563" s="120" t="s">
        <v>3532</v>
      </c>
      <c r="C3563" s="98" t="s">
        <v>3532</v>
      </c>
      <c r="D3563" s="120" t="s">
        <v>3534</v>
      </c>
      <c r="E3563" s="98">
        <v>0</v>
      </c>
      <c r="F3563" s="120">
        <v>0</v>
      </c>
      <c r="G3563" s="121">
        <v>0</v>
      </c>
      <c r="H3563" s="123">
        <v>0</v>
      </c>
      <c r="I3563" s="122">
        <v>0</v>
      </c>
      <c r="J3563" s="124">
        <f t="shared" si="55"/>
        <v>0</v>
      </c>
    </row>
    <row r="3564" spans="1:10" ht="15" customHeight="1" x14ac:dyDescent="0.2">
      <c r="A3564" s="120" t="s">
        <v>8467</v>
      </c>
      <c r="B3564" s="120" t="s">
        <v>3532</v>
      </c>
      <c r="C3564" s="98" t="s">
        <v>3532</v>
      </c>
      <c r="D3564" s="120" t="s">
        <v>3534</v>
      </c>
      <c r="E3564" s="98">
        <v>0</v>
      </c>
      <c r="F3564" s="120">
        <v>0</v>
      </c>
      <c r="G3564" s="121">
        <v>0</v>
      </c>
      <c r="H3564" s="123">
        <v>0</v>
      </c>
      <c r="I3564" s="122">
        <v>0</v>
      </c>
      <c r="J3564" s="124">
        <f t="shared" si="55"/>
        <v>0</v>
      </c>
    </row>
    <row r="3565" spans="1:10" ht="15" customHeight="1" x14ac:dyDescent="0.2">
      <c r="A3565" s="120" t="s">
        <v>8468</v>
      </c>
      <c r="B3565" s="120" t="s">
        <v>3532</v>
      </c>
      <c r="C3565" s="98" t="s">
        <v>3532</v>
      </c>
      <c r="D3565" s="120" t="s">
        <v>3534</v>
      </c>
      <c r="E3565" s="98">
        <v>0</v>
      </c>
      <c r="F3565" s="120">
        <v>0</v>
      </c>
      <c r="G3565" s="121">
        <v>0</v>
      </c>
      <c r="H3565" s="123">
        <v>0</v>
      </c>
      <c r="I3565" s="122">
        <v>0</v>
      </c>
      <c r="J3565" s="124">
        <f t="shared" si="55"/>
        <v>0</v>
      </c>
    </row>
    <row r="3566" spans="1:10" ht="15" customHeight="1" x14ac:dyDescent="0.2">
      <c r="A3566" s="120" t="s">
        <v>8469</v>
      </c>
      <c r="B3566" s="120" t="s">
        <v>4001</v>
      </c>
      <c r="C3566" s="98" t="s">
        <v>3566</v>
      </c>
      <c r="D3566" s="120" t="s">
        <v>3534</v>
      </c>
      <c r="E3566" s="98">
        <v>0.25</v>
      </c>
      <c r="F3566" s="120">
        <v>0</v>
      </c>
      <c r="G3566" s="121">
        <v>0</v>
      </c>
      <c r="H3566" s="123">
        <v>0.25</v>
      </c>
      <c r="I3566" s="122">
        <v>0</v>
      </c>
      <c r="J3566" s="124">
        <f t="shared" si="55"/>
        <v>0.25</v>
      </c>
    </row>
    <row r="3567" spans="1:10" ht="15" customHeight="1" x14ac:dyDescent="0.2">
      <c r="A3567" s="120" t="s">
        <v>8470</v>
      </c>
      <c r="B3567" s="120" t="s">
        <v>8471</v>
      </c>
      <c r="C3567" s="98" t="s">
        <v>3533</v>
      </c>
      <c r="D3567" s="120" t="s">
        <v>3534</v>
      </c>
      <c r="E3567" s="98">
        <v>0</v>
      </c>
      <c r="F3567" s="120">
        <v>0</v>
      </c>
      <c r="G3567" s="121">
        <v>579</v>
      </c>
      <c r="H3567" s="123">
        <v>0</v>
      </c>
      <c r="I3567" s="122">
        <v>0</v>
      </c>
      <c r="J3567" s="124">
        <f t="shared" si="55"/>
        <v>0</v>
      </c>
    </row>
    <row r="3568" spans="1:10" ht="15" customHeight="1" x14ac:dyDescent="0.2">
      <c r="A3568" s="120" t="s">
        <v>8472</v>
      </c>
      <c r="B3568" s="120" t="s">
        <v>8473</v>
      </c>
      <c r="C3568" s="98" t="s">
        <v>3540</v>
      </c>
      <c r="D3568" s="120" t="s">
        <v>3534</v>
      </c>
      <c r="E3568" s="98">
        <v>0</v>
      </c>
      <c r="F3568" s="120">
        <v>0</v>
      </c>
      <c r="G3568" s="121">
        <v>1100</v>
      </c>
      <c r="H3568" s="123">
        <v>0</v>
      </c>
      <c r="I3568" s="122">
        <v>0</v>
      </c>
      <c r="J3568" s="124">
        <f t="shared" si="55"/>
        <v>0</v>
      </c>
    </row>
    <row r="3569" spans="1:11" ht="15" customHeight="1" x14ac:dyDescent="0.2">
      <c r="A3569" s="120" t="s">
        <v>8474</v>
      </c>
      <c r="B3569" s="120" t="s">
        <v>3532</v>
      </c>
      <c r="C3569" s="98" t="s">
        <v>3540</v>
      </c>
      <c r="D3569" s="120" t="s">
        <v>3534</v>
      </c>
      <c r="E3569" s="98">
        <v>0</v>
      </c>
      <c r="F3569" s="120">
        <v>0</v>
      </c>
      <c r="G3569" s="121">
        <v>0</v>
      </c>
      <c r="H3569" s="123">
        <v>0</v>
      </c>
      <c r="I3569" s="122">
        <v>0</v>
      </c>
      <c r="J3569" s="124">
        <f t="shared" si="55"/>
        <v>0</v>
      </c>
    </row>
    <row r="3570" spans="1:11" ht="15" customHeight="1" x14ac:dyDescent="0.2">
      <c r="A3570" s="120" t="s">
        <v>8475</v>
      </c>
      <c r="B3570" s="120" t="s">
        <v>8471</v>
      </c>
      <c r="C3570" s="98" t="s">
        <v>3533</v>
      </c>
      <c r="D3570" s="120" t="s">
        <v>3534</v>
      </c>
      <c r="E3570" s="98">
        <v>0</v>
      </c>
      <c r="F3570" s="120">
        <v>0</v>
      </c>
      <c r="G3570" s="121">
        <v>3388</v>
      </c>
      <c r="H3570" s="123">
        <v>0</v>
      </c>
      <c r="I3570" s="122">
        <v>0</v>
      </c>
      <c r="J3570" s="124">
        <f t="shared" si="55"/>
        <v>0</v>
      </c>
    </row>
    <row r="3571" spans="1:11" ht="15" customHeight="1" x14ac:dyDescent="0.2">
      <c r="A3571" s="120" t="s">
        <v>8476</v>
      </c>
      <c r="B3571" s="120" t="s">
        <v>4584</v>
      </c>
      <c r="C3571" s="98" t="s">
        <v>3533</v>
      </c>
      <c r="D3571" s="120" t="s">
        <v>3534</v>
      </c>
      <c r="E3571" s="98">
        <v>0</v>
      </c>
      <c r="F3571" s="120">
        <v>0</v>
      </c>
      <c r="G3571" s="121">
        <v>0</v>
      </c>
      <c r="H3571" s="123">
        <v>0</v>
      </c>
      <c r="I3571" s="122">
        <v>0</v>
      </c>
      <c r="J3571" s="124">
        <f t="shared" si="55"/>
        <v>0</v>
      </c>
    </row>
    <row r="3572" spans="1:11" ht="15" customHeight="1" x14ac:dyDescent="0.2">
      <c r="A3572" s="120" t="s">
        <v>8477</v>
      </c>
      <c r="B3572" s="120" t="s">
        <v>3532</v>
      </c>
      <c r="C3572" s="98" t="s">
        <v>3533</v>
      </c>
      <c r="D3572" s="120" t="s">
        <v>3534</v>
      </c>
      <c r="E3572" s="98">
        <v>0</v>
      </c>
      <c r="F3572" s="120">
        <v>0</v>
      </c>
      <c r="G3572" s="121">
        <v>0</v>
      </c>
      <c r="H3572" s="123">
        <v>0</v>
      </c>
      <c r="I3572" s="122">
        <v>0</v>
      </c>
      <c r="J3572" s="124">
        <f t="shared" si="55"/>
        <v>0</v>
      </c>
    </row>
    <row r="3573" spans="1:11" ht="15" customHeight="1" x14ac:dyDescent="0.2">
      <c r="A3573" s="120" t="s">
        <v>8478</v>
      </c>
      <c r="B3573" s="120" t="s">
        <v>4584</v>
      </c>
      <c r="C3573" s="98" t="s">
        <v>3533</v>
      </c>
      <c r="D3573" s="120" t="s">
        <v>3534</v>
      </c>
      <c r="E3573" s="98">
        <v>0</v>
      </c>
      <c r="F3573" s="120">
        <v>0</v>
      </c>
      <c r="G3573" s="121">
        <v>227</v>
      </c>
      <c r="H3573" s="123">
        <v>0</v>
      </c>
      <c r="I3573" s="122">
        <v>0</v>
      </c>
      <c r="J3573" s="124">
        <f t="shared" si="55"/>
        <v>0</v>
      </c>
      <c r="K3573" s="98" t="s">
        <v>8479</v>
      </c>
    </row>
    <row r="3574" spans="1:11" ht="15" customHeight="1" x14ac:dyDescent="0.2">
      <c r="A3574" s="120" t="s">
        <v>8480</v>
      </c>
      <c r="B3574" s="120" t="s">
        <v>3532</v>
      </c>
      <c r="C3574" s="98" t="s">
        <v>3533</v>
      </c>
      <c r="D3574" s="120" t="s">
        <v>3534</v>
      </c>
      <c r="E3574" s="98">
        <v>0</v>
      </c>
      <c r="F3574" s="120">
        <v>0</v>
      </c>
      <c r="G3574" s="121">
        <v>0</v>
      </c>
      <c r="H3574" s="123">
        <v>0</v>
      </c>
      <c r="I3574" s="122">
        <v>0</v>
      </c>
      <c r="J3574" s="124">
        <f t="shared" si="55"/>
        <v>0</v>
      </c>
    </row>
    <row r="3575" spans="1:11" ht="15" customHeight="1" x14ac:dyDescent="0.2">
      <c r="A3575" s="120" t="s">
        <v>8481</v>
      </c>
      <c r="B3575" s="120" t="s">
        <v>3532</v>
      </c>
      <c r="C3575" s="98" t="s">
        <v>3532</v>
      </c>
      <c r="D3575" s="120" t="s">
        <v>3534</v>
      </c>
      <c r="E3575" s="98">
        <v>0</v>
      </c>
      <c r="F3575" s="120">
        <v>0</v>
      </c>
      <c r="G3575" s="121">
        <v>1283</v>
      </c>
      <c r="H3575" s="123">
        <v>2.1432E-2</v>
      </c>
      <c r="I3575" s="122">
        <v>27.497256</v>
      </c>
      <c r="J3575" s="124">
        <f t="shared" si="55"/>
        <v>0</v>
      </c>
    </row>
    <row r="3576" spans="1:11" ht="15" customHeight="1" x14ac:dyDescent="0.2">
      <c r="A3576" s="120" t="s">
        <v>8482</v>
      </c>
      <c r="B3576" s="120" t="s">
        <v>3532</v>
      </c>
      <c r="C3576" s="98" t="s">
        <v>3533</v>
      </c>
      <c r="D3576" s="120" t="s">
        <v>3534</v>
      </c>
      <c r="E3576" s="98">
        <v>0</v>
      </c>
      <c r="F3576" s="120">
        <v>0</v>
      </c>
      <c r="G3576" s="121">
        <v>0</v>
      </c>
      <c r="H3576" s="123">
        <v>0</v>
      </c>
      <c r="I3576" s="122">
        <v>0</v>
      </c>
      <c r="J3576" s="124">
        <f t="shared" si="55"/>
        <v>0</v>
      </c>
    </row>
    <row r="3577" spans="1:11" ht="15" customHeight="1" x14ac:dyDescent="0.2">
      <c r="A3577" s="120" t="s">
        <v>8483</v>
      </c>
      <c r="B3577" s="120" t="s">
        <v>8484</v>
      </c>
      <c r="C3577" s="98" t="s">
        <v>3533</v>
      </c>
      <c r="D3577" s="120" t="s">
        <v>3534</v>
      </c>
      <c r="E3577" s="98">
        <v>0.11</v>
      </c>
      <c r="F3577" s="120">
        <v>0</v>
      </c>
      <c r="G3577" s="121">
        <v>221</v>
      </c>
      <c r="H3577" s="123">
        <v>0.11</v>
      </c>
      <c r="I3577" s="122">
        <v>24.31</v>
      </c>
      <c r="J3577" s="124">
        <f t="shared" si="55"/>
        <v>0.11</v>
      </c>
    </row>
    <row r="3578" spans="1:11" ht="15" customHeight="1" x14ac:dyDescent="0.2">
      <c r="A3578" s="120" t="s">
        <v>8485</v>
      </c>
      <c r="B3578" s="120" t="s">
        <v>4584</v>
      </c>
      <c r="C3578" s="98" t="s">
        <v>3533</v>
      </c>
      <c r="D3578" s="120" t="s">
        <v>3534</v>
      </c>
      <c r="E3578" s="98">
        <v>0.63344</v>
      </c>
      <c r="F3578" s="120">
        <v>0</v>
      </c>
      <c r="G3578" s="121">
        <v>1373</v>
      </c>
      <c r="H3578" s="123">
        <v>0.45289800000000002</v>
      </c>
      <c r="I3578" s="122">
        <v>621.82895400000007</v>
      </c>
      <c r="J3578" s="124">
        <f t="shared" si="55"/>
        <v>0.63344</v>
      </c>
    </row>
    <row r="3579" spans="1:11" ht="15" customHeight="1" x14ac:dyDescent="0.2">
      <c r="A3579" s="120" t="s">
        <v>8486</v>
      </c>
      <c r="B3579" s="120" t="s">
        <v>3532</v>
      </c>
      <c r="C3579" s="98" t="s">
        <v>3533</v>
      </c>
      <c r="D3579" s="120" t="s">
        <v>3534</v>
      </c>
      <c r="E3579" s="98">
        <v>0.27700000000000002</v>
      </c>
      <c r="F3579" s="120">
        <v>0</v>
      </c>
      <c r="G3579" s="121">
        <v>178</v>
      </c>
      <c r="H3579" s="123">
        <v>0.27700000000000002</v>
      </c>
      <c r="I3579" s="122">
        <v>49.306000000000004</v>
      </c>
      <c r="J3579" s="124">
        <f t="shared" si="55"/>
        <v>0.27700000000000002</v>
      </c>
    </row>
    <row r="3580" spans="1:11" ht="15" customHeight="1" x14ac:dyDescent="0.2">
      <c r="A3580" s="120" t="s">
        <v>8487</v>
      </c>
      <c r="B3580" s="120" t="s">
        <v>4584</v>
      </c>
      <c r="C3580" s="98" t="s">
        <v>3533</v>
      </c>
      <c r="D3580" s="120" t="s">
        <v>3534</v>
      </c>
      <c r="E3580" s="98">
        <v>0.29388399999999998</v>
      </c>
      <c r="F3580" s="120">
        <v>0</v>
      </c>
      <c r="G3580" s="121">
        <v>150</v>
      </c>
      <c r="H3580" s="123">
        <v>0.29388399999999998</v>
      </c>
      <c r="I3580" s="122">
        <v>44.082599999999999</v>
      </c>
      <c r="J3580" s="124">
        <f t="shared" si="55"/>
        <v>0.29388399999999998</v>
      </c>
    </row>
    <row r="3581" spans="1:11" ht="15" customHeight="1" x14ac:dyDescent="0.2">
      <c r="A3581" s="120" t="s">
        <v>8488</v>
      </c>
      <c r="B3581" s="120" t="s">
        <v>3532</v>
      </c>
      <c r="C3581" s="98" t="s">
        <v>3532</v>
      </c>
      <c r="D3581" s="120" t="s">
        <v>3534</v>
      </c>
      <c r="E3581" s="98">
        <v>0</v>
      </c>
      <c r="F3581" s="120">
        <v>0</v>
      </c>
      <c r="G3581" s="121">
        <v>87</v>
      </c>
      <c r="H3581" s="123">
        <v>0</v>
      </c>
      <c r="I3581" s="122">
        <v>0</v>
      </c>
      <c r="J3581" s="124">
        <f t="shared" si="55"/>
        <v>0</v>
      </c>
    </row>
    <row r="3582" spans="1:11" ht="15" customHeight="1" x14ac:dyDescent="0.2">
      <c r="A3582" s="120" t="s">
        <v>8489</v>
      </c>
      <c r="B3582" s="120" t="s">
        <v>3532</v>
      </c>
      <c r="C3582" s="98" t="s">
        <v>3533</v>
      </c>
      <c r="D3582" s="120" t="s">
        <v>3534</v>
      </c>
      <c r="E3582" s="98">
        <v>0</v>
      </c>
      <c r="F3582" s="120">
        <v>0</v>
      </c>
      <c r="G3582" s="121">
        <v>93</v>
      </c>
      <c r="H3582" s="123">
        <v>0</v>
      </c>
      <c r="I3582" s="122">
        <v>0</v>
      </c>
      <c r="J3582" s="124">
        <f t="shared" si="55"/>
        <v>0</v>
      </c>
    </row>
    <row r="3583" spans="1:11" ht="15" customHeight="1" x14ac:dyDescent="0.2">
      <c r="A3583" s="120" t="s">
        <v>8490</v>
      </c>
      <c r="B3583" s="120" t="s">
        <v>4584</v>
      </c>
      <c r="C3583" s="98" t="s">
        <v>3533</v>
      </c>
      <c r="D3583" s="120" t="s">
        <v>3534</v>
      </c>
      <c r="E3583" s="98">
        <v>0</v>
      </c>
      <c r="F3583" s="120">
        <v>0</v>
      </c>
      <c r="G3583" s="121">
        <v>212</v>
      </c>
      <c r="H3583" s="123">
        <v>0</v>
      </c>
      <c r="I3583" s="122">
        <v>0</v>
      </c>
      <c r="J3583" s="124">
        <f t="shared" si="55"/>
        <v>0</v>
      </c>
      <c r="K3583" s="98" t="s">
        <v>8491</v>
      </c>
    </row>
    <row r="3584" spans="1:11" ht="15" customHeight="1" x14ac:dyDescent="0.2">
      <c r="A3584" s="120" t="s">
        <v>8492</v>
      </c>
      <c r="B3584" s="120" t="s">
        <v>4584</v>
      </c>
      <c r="C3584" s="98" t="s">
        <v>3533</v>
      </c>
      <c r="D3584" s="120" t="s">
        <v>3534</v>
      </c>
      <c r="E3584" s="98">
        <v>0</v>
      </c>
      <c r="F3584" s="120">
        <v>0</v>
      </c>
      <c r="G3584" s="121">
        <v>0</v>
      </c>
      <c r="H3584" s="123">
        <v>0</v>
      </c>
      <c r="I3584" s="122">
        <v>0</v>
      </c>
      <c r="J3584" s="124">
        <f t="shared" si="55"/>
        <v>0</v>
      </c>
    </row>
    <row r="3585" spans="1:10" ht="15" customHeight="1" x14ac:dyDescent="0.2">
      <c r="A3585" s="120" t="s">
        <v>8493</v>
      </c>
      <c r="B3585" s="120" t="s">
        <v>3532</v>
      </c>
      <c r="C3585" s="98" t="s">
        <v>3533</v>
      </c>
      <c r="D3585" s="120" t="s">
        <v>3534</v>
      </c>
      <c r="E3585" s="98">
        <v>0</v>
      </c>
      <c r="F3585" s="120">
        <v>0</v>
      </c>
      <c r="G3585" s="121">
        <v>0</v>
      </c>
      <c r="H3585" s="123">
        <v>0</v>
      </c>
      <c r="I3585" s="122">
        <v>0</v>
      </c>
      <c r="J3585" s="124">
        <f t="shared" si="55"/>
        <v>0</v>
      </c>
    </row>
    <row r="3586" spans="1:10" ht="15" customHeight="1" x14ac:dyDescent="0.2">
      <c r="A3586" s="120" t="s">
        <v>8494</v>
      </c>
      <c r="B3586" s="120" t="s">
        <v>4584</v>
      </c>
      <c r="C3586" s="98" t="s">
        <v>3533</v>
      </c>
      <c r="D3586" s="120" t="s">
        <v>3534</v>
      </c>
      <c r="E3586" s="98">
        <v>0.330426884650318</v>
      </c>
      <c r="F3586" s="120">
        <v>0</v>
      </c>
      <c r="G3586" s="121">
        <v>249</v>
      </c>
      <c r="H3586" s="123">
        <v>0.33042700000000003</v>
      </c>
      <c r="I3586" s="122">
        <v>82.276323000000005</v>
      </c>
      <c r="J3586" s="124">
        <f t="shared" ref="J3586:J3649" si="56">IF(D3586="gm", E3586*1000,+E3586)</f>
        <v>0.330426884650318</v>
      </c>
    </row>
    <row r="3587" spans="1:10" ht="15" customHeight="1" x14ac:dyDescent="0.2">
      <c r="A3587" s="120" t="s">
        <v>8495</v>
      </c>
      <c r="B3587" s="120" t="s">
        <v>3532</v>
      </c>
      <c r="C3587" s="98" t="s">
        <v>3532</v>
      </c>
      <c r="D3587" s="120" t="s">
        <v>3563</v>
      </c>
      <c r="E3587" s="98">
        <v>0</v>
      </c>
      <c r="F3587" s="120">
        <v>0</v>
      </c>
      <c r="G3587" s="121">
        <v>0</v>
      </c>
      <c r="H3587" s="123">
        <v>0</v>
      </c>
      <c r="I3587" s="122">
        <v>0</v>
      </c>
      <c r="J3587" s="124">
        <f t="shared" si="56"/>
        <v>0</v>
      </c>
    </row>
    <row r="3588" spans="1:10" ht="15" customHeight="1" x14ac:dyDescent="0.2">
      <c r="A3588" s="120" t="s">
        <v>8496</v>
      </c>
      <c r="B3588" s="120" t="s">
        <v>3532</v>
      </c>
      <c r="C3588" s="98" t="s">
        <v>3532</v>
      </c>
      <c r="D3588" s="120" t="s">
        <v>3563</v>
      </c>
      <c r="E3588" s="98">
        <v>0</v>
      </c>
      <c r="F3588" s="120">
        <v>0</v>
      </c>
      <c r="G3588" s="121">
        <v>0</v>
      </c>
      <c r="H3588" s="123">
        <v>0</v>
      </c>
      <c r="I3588" s="122">
        <v>0</v>
      </c>
      <c r="J3588" s="124">
        <f t="shared" si="56"/>
        <v>0</v>
      </c>
    </row>
    <row r="3589" spans="1:10" ht="15" customHeight="1" x14ac:dyDescent="0.2">
      <c r="A3589" s="120" t="s">
        <v>8497</v>
      </c>
      <c r="B3589" s="120" t="s">
        <v>3532</v>
      </c>
      <c r="C3589" s="98" t="s">
        <v>3533</v>
      </c>
      <c r="D3589" s="120" t="s">
        <v>3563</v>
      </c>
      <c r="E3589" s="98">
        <v>0</v>
      </c>
      <c r="F3589" s="120">
        <v>0</v>
      </c>
      <c r="G3589" s="121">
        <v>0</v>
      </c>
      <c r="H3589" s="123">
        <v>0</v>
      </c>
      <c r="I3589" s="122">
        <v>0</v>
      </c>
      <c r="J3589" s="124">
        <f t="shared" si="56"/>
        <v>0</v>
      </c>
    </row>
    <row r="3590" spans="1:10" ht="15" customHeight="1" x14ac:dyDescent="0.2">
      <c r="A3590" s="120" t="s">
        <v>8498</v>
      </c>
      <c r="B3590" s="120" t="s">
        <v>3532</v>
      </c>
      <c r="C3590" s="98" t="s">
        <v>3532</v>
      </c>
      <c r="D3590" s="120" t="s">
        <v>3534</v>
      </c>
      <c r="E3590" s="98">
        <v>0</v>
      </c>
      <c r="F3590" s="120">
        <v>0</v>
      </c>
      <c r="G3590" s="121">
        <v>1137</v>
      </c>
      <c r="H3590" s="123">
        <v>0</v>
      </c>
      <c r="I3590" s="122">
        <v>0</v>
      </c>
      <c r="J3590" s="124">
        <f t="shared" si="56"/>
        <v>0</v>
      </c>
    </row>
    <row r="3591" spans="1:10" ht="15" customHeight="1" x14ac:dyDescent="0.2">
      <c r="A3591" s="120" t="s">
        <v>8499</v>
      </c>
      <c r="B3591" s="120" t="s">
        <v>3532</v>
      </c>
      <c r="C3591" s="98" t="s">
        <v>3532</v>
      </c>
      <c r="D3591" s="120" t="s">
        <v>3534</v>
      </c>
      <c r="E3591" s="98">
        <v>0</v>
      </c>
      <c r="F3591" s="120">
        <v>0</v>
      </c>
      <c r="G3591" s="121">
        <v>952</v>
      </c>
      <c r="H3591" s="123">
        <v>0</v>
      </c>
      <c r="I3591" s="122">
        <v>0</v>
      </c>
      <c r="J3591" s="124">
        <f t="shared" si="56"/>
        <v>0</v>
      </c>
    </row>
    <row r="3592" spans="1:10" ht="15" customHeight="1" x14ac:dyDescent="0.2">
      <c r="A3592" s="120" t="s">
        <v>8500</v>
      </c>
      <c r="B3592" s="120" t="s">
        <v>8501</v>
      </c>
      <c r="C3592" s="98" t="s">
        <v>3532</v>
      </c>
      <c r="D3592" s="120" t="s">
        <v>3534</v>
      </c>
      <c r="E3592" s="98">
        <v>0</v>
      </c>
      <c r="F3592" s="120">
        <v>0</v>
      </c>
      <c r="G3592" s="121">
        <v>0</v>
      </c>
      <c r="H3592" s="123">
        <v>0</v>
      </c>
      <c r="I3592" s="122">
        <v>0</v>
      </c>
      <c r="J3592" s="124">
        <f t="shared" si="56"/>
        <v>0</v>
      </c>
    </row>
    <row r="3593" spans="1:10" ht="15" customHeight="1" x14ac:dyDescent="0.2">
      <c r="A3593" s="120" t="s">
        <v>8502</v>
      </c>
      <c r="B3593" s="120" t="s">
        <v>8501</v>
      </c>
      <c r="C3593" s="98" t="s">
        <v>3540</v>
      </c>
      <c r="D3593" s="120" t="s">
        <v>3534</v>
      </c>
      <c r="E3593" s="98">
        <v>0</v>
      </c>
      <c r="F3593" s="120">
        <v>0</v>
      </c>
      <c r="G3593" s="121">
        <v>0</v>
      </c>
      <c r="H3593" s="123">
        <v>0</v>
      </c>
      <c r="I3593" s="122">
        <v>0</v>
      </c>
      <c r="J3593" s="124">
        <f t="shared" si="56"/>
        <v>0</v>
      </c>
    </row>
    <row r="3594" spans="1:10" ht="15" customHeight="1" x14ac:dyDescent="0.2">
      <c r="A3594" s="120" t="s">
        <v>8502</v>
      </c>
      <c r="B3594" s="120" t="s">
        <v>3532</v>
      </c>
      <c r="C3594" s="98" t="s">
        <v>3532</v>
      </c>
      <c r="D3594" s="120" t="s">
        <v>3534</v>
      </c>
      <c r="E3594" s="98">
        <v>0</v>
      </c>
      <c r="F3594" s="120">
        <v>0</v>
      </c>
      <c r="G3594" s="121">
        <v>587</v>
      </c>
      <c r="H3594" s="123">
        <v>0</v>
      </c>
      <c r="I3594" s="122">
        <v>0</v>
      </c>
      <c r="J3594" s="124">
        <f t="shared" si="56"/>
        <v>0</v>
      </c>
    </row>
    <row r="3595" spans="1:10" ht="15" customHeight="1" x14ac:dyDescent="0.2">
      <c r="A3595" s="120" t="s">
        <v>8503</v>
      </c>
      <c r="B3595" s="120" t="s">
        <v>3532</v>
      </c>
      <c r="C3595" s="98" t="s">
        <v>3533</v>
      </c>
      <c r="D3595" s="120" t="s">
        <v>3534</v>
      </c>
      <c r="E3595" s="98">
        <v>0</v>
      </c>
      <c r="F3595" s="120">
        <v>0</v>
      </c>
      <c r="G3595" s="121">
        <v>6914</v>
      </c>
      <c r="H3595" s="123">
        <v>0</v>
      </c>
      <c r="I3595" s="122">
        <v>0</v>
      </c>
      <c r="J3595" s="124">
        <f t="shared" si="56"/>
        <v>0</v>
      </c>
    </row>
    <row r="3596" spans="1:10" ht="15" customHeight="1" x14ac:dyDescent="0.2">
      <c r="A3596" s="120" t="s">
        <v>8504</v>
      </c>
      <c r="B3596" s="120" t="s">
        <v>3532</v>
      </c>
      <c r="C3596" s="98" t="s">
        <v>3533</v>
      </c>
      <c r="D3596" s="120" t="s">
        <v>3534</v>
      </c>
      <c r="E3596" s="98">
        <v>0</v>
      </c>
      <c r="F3596" s="120">
        <v>0</v>
      </c>
      <c r="G3596" s="121">
        <v>570</v>
      </c>
      <c r="H3596" s="123">
        <v>0</v>
      </c>
      <c r="I3596" s="122">
        <v>0</v>
      </c>
      <c r="J3596" s="124">
        <f t="shared" si="56"/>
        <v>0</v>
      </c>
    </row>
    <row r="3597" spans="1:10" ht="15" customHeight="1" x14ac:dyDescent="0.2">
      <c r="A3597" s="120" t="s">
        <v>8505</v>
      </c>
      <c r="B3597" s="120" t="s">
        <v>3532</v>
      </c>
      <c r="C3597" s="98" t="s">
        <v>3532</v>
      </c>
      <c r="D3597" s="120" t="s">
        <v>3534</v>
      </c>
      <c r="E3597" s="98">
        <v>0</v>
      </c>
      <c r="F3597" s="120">
        <v>0</v>
      </c>
      <c r="G3597" s="121">
        <v>357</v>
      </c>
      <c r="H3597" s="123">
        <v>0</v>
      </c>
      <c r="I3597" s="122">
        <v>0</v>
      </c>
      <c r="J3597" s="124">
        <f t="shared" si="56"/>
        <v>0</v>
      </c>
    </row>
    <row r="3598" spans="1:10" ht="15" customHeight="1" x14ac:dyDescent="0.2">
      <c r="A3598" s="120" t="s">
        <v>8506</v>
      </c>
      <c r="B3598" s="120" t="s">
        <v>3532</v>
      </c>
      <c r="C3598" s="98" t="s">
        <v>3533</v>
      </c>
      <c r="D3598" s="120" t="s">
        <v>3534</v>
      </c>
      <c r="E3598" s="98">
        <v>0</v>
      </c>
      <c r="F3598" s="120">
        <v>0</v>
      </c>
      <c r="G3598" s="121">
        <v>0</v>
      </c>
      <c r="H3598" s="123">
        <v>0</v>
      </c>
      <c r="I3598" s="122">
        <v>0</v>
      </c>
      <c r="J3598" s="124">
        <f t="shared" si="56"/>
        <v>0</v>
      </c>
    </row>
    <row r="3599" spans="1:10" ht="15" customHeight="1" x14ac:dyDescent="0.2">
      <c r="A3599" s="120" t="s">
        <v>8507</v>
      </c>
      <c r="B3599" s="120" t="s">
        <v>3532</v>
      </c>
      <c r="C3599" s="98" t="s">
        <v>3533</v>
      </c>
      <c r="D3599" s="120" t="s">
        <v>3534</v>
      </c>
      <c r="E3599" s="98">
        <v>0</v>
      </c>
      <c r="F3599" s="120">
        <v>0</v>
      </c>
      <c r="G3599" s="121">
        <v>102</v>
      </c>
      <c r="H3599" s="123">
        <v>0</v>
      </c>
      <c r="I3599" s="122">
        <v>0</v>
      </c>
      <c r="J3599" s="124">
        <f t="shared" si="56"/>
        <v>0</v>
      </c>
    </row>
    <row r="3600" spans="1:10" ht="15" customHeight="1" x14ac:dyDescent="0.2">
      <c r="A3600" s="120" t="s">
        <v>8508</v>
      </c>
      <c r="B3600" s="120" t="s">
        <v>3532</v>
      </c>
      <c r="C3600" s="98" t="s">
        <v>3532</v>
      </c>
      <c r="D3600" s="120" t="s">
        <v>3534</v>
      </c>
      <c r="E3600" s="98">
        <v>0</v>
      </c>
      <c r="F3600" s="120">
        <v>0</v>
      </c>
      <c r="G3600" s="121">
        <v>119</v>
      </c>
      <c r="H3600" s="123">
        <v>0</v>
      </c>
      <c r="I3600" s="122">
        <v>0</v>
      </c>
      <c r="J3600" s="124">
        <f t="shared" si="56"/>
        <v>0</v>
      </c>
    </row>
    <row r="3601" spans="1:11" ht="15" customHeight="1" x14ac:dyDescent="0.2">
      <c r="A3601" s="120" t="s">
        <v>8509</v>
      </c>
      <c r="B3601" s="120" t="s">
        <v>3532</v>
      </c>
      <c r="C3601" s="98" t="s">
        <v>3533</v>
      </c>
      <c r="D3601" s="120" t="s">
        <v>3563</v>
      </c>
      <c r="E3601" s="98">
        <v>0</v>
      </c>
      <c r="F3601" s="120">
        <v>0</v>
      </c>
      <c r="G3601" s="121">
        <v>0</v>
      </c>
      <c r="H3601" s="123">
        <v>0</v>
      </c>
      <c r="I3601" s="122">
        <v>0</v>
      </c>
      <c r="J3601" s="124">
        <f t="shared" si="56"/>
        <v>0</v>
      </c>
    </row>
    <row r="3602" spans="1:11" ht="15" customHeight="1" x14ac:dyDescent="0.2">
      <c r="A3602" s="120" t="s">
        <v>8510</v>
      </c>
      <c r="B3602" s="120" t="s">
        <v>3532</v>
      </c>
      <c r="C3602" s="98" t="s">
        <v>3533</v>
      </c>
      <c r="D3602" s="120" t="s">
        <v>3563</v>
      </c>
      <c r="E3602" s="98">
        <v>0</v>
      </c>
      <c r="F3602" s="120">
        <v>0</v>
      </c>
      <c r="G3602" s="121">
        <v>0</v>
      </c>
      <c r="H3602" s="123">
        <v>0</v>
      </c>
      <c r="I3602" s="122">
        <v>0</v>
      </c>
      <c r="J3602" s="124">
        <f t="shared" si="56"/>
        <v>0</v>
      </c>
    </row>
    <row r="3603" spans="1:11" ht="15" customHeight="1" x14ac:dyDescent="0.2">
      <c r="A3603" s="120" t="s">
        <v>8511</v>
      </c>
      <c r="B3603" s="120" t="s">
        <v>3599</v>
      </c>
      <c r="C3603" s="98" t="s">
        <v>3533</v>
      </c>
      <c r="D3603" s="120" t="s">
        <v>3534</v>
      </c>
      <c r="E3603" s="98">
        <v>0.129</v>
      </c>
      <c r="F3603" s="120">
        <v>0</v>
      </c>
      <c r="G3603" s="121">
        <v>410</v>
      </c>
      <c r="H3603" s="123">
        <v>0.129</v>
      </c>
      <c r="I3603" s="122">
        <v>52.89</v>
      </c>
      <c r="J3603" s="124">
        <f t="shared" si="56"/>
        <v>0.129</v>
      </c>
      <c r="K3603" s="98" t="s">
        <v>8512</v>
      </c>
    </row>
    <row r="3604" spans="1:11" ht="15" customHeight="1" x14ac:dyDescent="0.2">
      <c r="A3604" s="120" t="s">
        <v>8513</v>
      </c>
      <c r="B3604" s="120" t="s">
        <v>3599</v>
      </c>
      <c r="C3604" s="98" t="s">
        <v>3533</v>
      </c>
      <c r="D3604" s="120" t="s">
        <v>3534</v>
      </c>
      <c r="E3604" s="98">
        <v>1.59</v>
      </c>
      <c r="F3604" s="120">
        <v>0</v>
      </c>
      <c r="G3604" s="121">
        <v>356</v>
      </c>
      <c r="H3604" s="123">
        <v>1.59</v>
      </c>
      <c r="I3604" s="122">
        <v>566.04000000000008</v>
      </c>
      <c r="J3604" s="124">
        <f t="shared" si="56"/>
        <v>1.59</v>
      </c>
      <c r="K3604" s="98" t="s">
        <v>8514</v>
      </c>
    </row>
    <row r="3605" spans="1:11" ht="15" customHeight="1" x14ac:dyDescent="0.2">
      <c r="A3605" s="120" t="s">
        <v>8515</v>
      </c>
      <c r="B3605" s="120" t="s">
        <v>3629</v>
      </c>
      <c r="C3605" s="98" t="s">
        <v>3533</v>
      </c>
      <c r="D3605" s="120" t="s">
        <v>3534</v>
      </c>
      <c r="E3605" s="98">
        <v>0.22969006211180099</v>
      </c>
      <c r="F3605" s="120">
        <v>0</v>
      </c>
      <c r="G3605" s="121">
        <v>6171</v>
      </c>
      <c r="H3605" s="123">
        <v>0.22969000000000001</v>
      </c>
      <c r="I3605" s="122">
        <v>1417.4169899999999</v>
      </c>
      <c r="J3605" s="124">
        <f t="shared" si="56"/>
        <v>0.22969006211180099</v>
      </c>
      <c r="K3605" s="98" t="s">
        <v>8516</v>
      </c>
    </row>
    <row r="3606" spans="1:11" ht="15" customHeight="1" x14ac:dyDescent="0.2">
      <c r="A3606" s="120" t="s">
        <v>8517</v>
      </c>
      <c r="B3606" s="120" t="s">
        <v>2332</v>
      </c>
      <c r="C3606" s="98" t="s">
        <v>3533</v>
      </c>
      <c r="D3606" s="120" t="s">
        <v>3563</v>
      </c>
      <c r="E3606" s="98">
        <v>0.21875</v>
      </c>
      <c r="F3606" s="120">
        <v>0</v>
      </c>
      <c r="G3606" s="121">
        <v>0</v>
      </c>
      <c r="H3606" s="123">
        <v>0.21875</v>
      </c>
      <c r="I3606" s="122">
        <v>0</v>
      </c>
      <c r="J3606" s="124">
        <f t="shared" si="56"/>
        <v>218.75</v>
      </c>
    </row>
    <row r="3607" spans="1:11" ht="15" customHeight="1" x14ac:dyDescent="0.2">
      <c r="A3607" s="120" t="s">
        <v>8518</v>
      </c>
      <c r="B3607" s="120" t="s">
        <v>8519</v>
      </c>
      <c r="C3607" s="98" t="s">
        <v>3533</v>
      </c>
      <c r="D3607" s="120" t="s">
        <v>3563</v>
      </c>
      <c r="E3607" s="98">
        <v>6.3990000000000005E-2</v>
      </c>
      <c r="F3607" s="120">
        <v>0</v>
      </c>
      <c r="G3607" s="121">
        <v>0</v>
      </c>
      <c r="H3607" s="123">
        <v>6.3990000000000005E-2</v>
      </c>
      <c r="I3607" s="122">
        <v>0</v>
      </c>
      <c r="J3607" s="124">
        <f t="shared" si="56"/>
        <v>63.99</v>
      </c>
    </row>
    <row r="3608" spans="1:11" ht="15" customHeight="1" x14ac:dyDescent="0.2">
      <c r="A3608" s="120" t="s">
        <v>8520</v>
      </c>
      <c r="B3608" s="120" t="s">
        <v>2184</v>
      </c>
      <c r="C3608" s="98" t="s">
        <v>3533</v>
      </c>
      <c r="D3608" s="120" t="s">
        <v>3534</v>
      </c>
      <c r="E3608" s="98">
        <v>3.6000000000000002E-4</v>
      </c>
      <c r="F3608" s="120">
        <v>0</v>
      </c>
      <c r="G3608" s="121">
        <v>0</v>
      </c>
      <c r="H3608" s="123">
        <v>3.6000000000000002E-4</v>
      </c>
      <c r="I3608" s="122">
        <v>0</v>
      </c>
      <c r="J3608" s="124">
        <f t="shared" si="56"/>
        <v>3.6000000000000002E-4</v>
      </c>
    </row>
    <row r="3609" spans="1:11" ht="15" customHeight="1" x14ac:dyDescent="0.2">
      <c r="A3609" s="120" t="s">
        <v>8521</v>
      </c>
      <c r="B3609" s="120" t="s">
        <v>6021</v>
      </c>
      <c r="C3609" s="98" t="s">
        <v>3533</v>
      </c>
      <c r="D3609" s="120" t="s">
        <v>3563</v>
      </c>
      <c r="E3609" s="98">
        <v>1.15E-3</v>
      </c>
      <c r="F3609" s="120">
        <v>0</v>
      </c>
      <c r="G3609" s="121">
        <v>0</v>
      </c>
      <c r="H3609" s="123">
        <v>1.15E-3</v>
      </c>
      <c r="I3609" s="122">
        <v>0</v>
      </c>
      <c r="J3609" s="124">
        <f t="shared" si="56"/>
        <v>1.1499999999999999</v>
      </c>
    </row>
    <row r="3610" spans="1:11" ht="15" customHeight="1" x14ac:dyDescent="0.2">
      <c r="A3610" s="120" t="s">
        <v>8522</v>
      </c>
      <c r="B3610" s="120" t="s">
        <v>8523</v>
      </c>
      <c r="C3610" s="98" t="s">
        <v>3533</v>
      </c>
      <c r="D3610" s="120" t="s">
        <v>3563</v>
      </c>
      <c r="E3610" s="98">
        <v>7.7161013513513503E-3</v>
      </c>
      <c r="F3610" s="120">
        <v>0</v>
      </c>
      <c r="G3610" s="121">
        <v>2351180</v>
      </c>
      <c r="H3610" s="123">
        <v>7.7200000000000003E-3</v>
      </c>
      <c r="I3610" s="122">
        <v>18151.1096</v>
      </c>
      <c r="J3610" s="124">
        <f t="shared" si="56"/>
        <v>7.7161013513513499</v>
      </c>
      <c r="K3610" s="98" t="s">
        <v>8524</v>
      </c>
    </row>
    <row r="3611" spans="1:11" ht="15" customHeight="1" x14ac:dyDescent="0.2">
      <c r="A3611" s="120" t="s">
        <v>8525</v>
      </c>
      <c r="B3611" s="120" t="s">
        <v>8526</v>
      </c>
      <c r="C3611" s="98" t="s">
        <v>3533</v>
      </c>
      <c r="D3611" s="120" t="s">
        <v>3563</v>
      </c>
      <c r="E3611" s="98">
        <v>0.05</v>
      </c>
      <c r="F3611" s="120">
        <v>0</v>
      </c>
      <c r="G3611" s="121">
        <v>3782225</v>
      </c>
      <c r="H3611" s="123">
        <v>0.05</v>
      </c>
      <c r="I3611" s="122">
        <v>189111.25</v>
      </c>
      <c r="J3611" s="124">
        <f t="shared" si="56"/>
        <v>50</v>
      </c>
      <c r="K3611" s="98" t="s">
        <v>2375</v>
      </c>
    </row>
    <row r="3612" spans="1:11" ht="15" customHeight="1" x14ac:dyDescent="0.2">
      <c r="A3612" s="120" t="s">
        <v>8527</v>
      </c>
      <c r="B3612" s="120" t="s">
        <v>4783</v>
      </c>
      <c r="C3612" s="98" t="s">
        <v>3533</v>
      </c>
      <c r="D3612" s="120" t="s">
        <v>3563</v>
      </c>
      <c r="E3612" s="98">
        <v>2.5000000000000001E-2</v>
      </c>
      <c r="F3612" s="120">
        <v>0</v>
      </c>
      <c r="G3612" s="121">
        <v>0</v>
      </c>
      <c r="H3612" s="123">
        <v>2.5000000000000001E-2</v>
      </c>
      <c r="I3612" s="122">
        <v>0</v>
      </c>
      <c r="J3612" s="124">
        <f t="shared" si="56"/>
        <v>25</v>
      </c>
    </row>
    <row r="3613" spans="1:11" ht="15" customHeight="1" x14ac:dyDescent="0.2">
      <c r="A3613" s="120" t="s">
        <v>8528</v>
      </c>
      <c r="B3613" s="120" t="s">
        <v>5182</v>
      </c>
      <c r="C3613" s="98" t="s">
        <v>3533</v>
      </c>
      <c r="D3613" s="120" t="s">
        <v>3563</v>
      </c>
      <c r="E3613" s="98">
        <v>0.29699999999999999</v>
      </c>
      <c r="F3613" s="120">
        <v>0</v>
      </c>
      <c r="G3613" s="121">
        <v>11350</v>
      </c>
      <c r="H3613" s="123">
        <v>0.29699999999999999</v>
      </c>
      <c r="I3613" s="122">
        <v>3370.95</v>
      </c>
      <c r="J3613" s="124">
        <f t="shared" si="56"/>
        <v>297</v>
      </c>
      <c r="K3613" s="98" t="s">
        <v>8529</v>
      </c>
    </row>
    <row r="3614" spans="1:11" ht="15" customHeight="1" x14ac:dyDescent="0.2">
      <c r="A3614" s="120" t="s">
        <v>8530</v>
      </c>
      <c r="B3614" s="120" t="s">
        <v>3532</v>
      </c>
      <c r="C3614" s="98" t="s">
        <v>3533</v>
      </c>
      <c r="D3614" s="120" t="s">
        <v>3534</v>
      </c>
      <c r="E3614" s="98">
        <v>0</v>
      </c>
      <c r="F3614" s="120">
        <v>0</v>
      </c>
      <c r="G3614" s="121">
        <v>364</v>
      </c>
      <c r="H3614" s="123">
        <v>0</v>
      </c>
      <c r="I3614" s="122">
        <v>0</v>
      </c>
      <c r="J3614" s="124">
        <f t="shared" si="56"/>
        <v>0</v>
      </c>
    </row>
    <row r="3615" spans="1:11" ht="15" customHeight="1" x14ac:dyDescent="0.2">
      <c r="A3615" s="120" t="s">
        <v>8531</v>
      </c>
      <c r="B3615" s="120" t="s">
        <v>3532</v>
      </c>
      <c r="C3615" s="98" t="s">
        <v>3533</v>
      </c>
      <c r="D3615" s="120" t="s">
        <v>3534</v>
      </c>
      <c r="E3615" s="98">
        <v>0</v>
      </c>
      <c r="F3615" s="120">
        <v>0</v>
      </c>
      <c r="G3615" s="121">
        <v>1716</v>
      </c>
      <c r="H3615" s="123">
        <v>0</v>
      </c>
      <c r="I3615" s="122">
        <v>0</v>
      </c>
      <c r="J3615" s="124">
        <f t="shared" si="56"/>
        <v>0</v>
      </c>
    </row>
    <row r="3616" spans="1:11" ht="15" customHeight="1" x14ac:dyDescent="0.2">
      <c r="A3616" s="120" t="s">
        <v>8532</v>
      </c>
      <c r="B3616" s="120" t="s">
        <v>3532</v>
      </c>
      <c r="C3616" s="98" t="s">
        <v>3533</v>
      </c>
      <c r="D3616" s="120" t="s">
        <v>3534</v>
      </c>
      <c r="E3616" s="98">
        <v>0</v>
      </c>
      <c r="F3616" s="120">
        <v>0</v>
      </c>
      <c r="G3616" s="121">
        <v>9674</v>
      </c>
      <c r="H3616" s="123">
        <v>0</v>
      </c>
      <c r="I3616" s="122">
        <v>0</v>
      </c>
      <c r="J3616" s="124">
        <f t="shared" si="56"/>
        <v>0</v>
      </c>
    </row>
    <row r="3617" spans="1:11" ht="15" customHeight="1" x14ac:dyDescent="0.2">
      <c r="A3617" s="120" t="s">
        <v>8533</v>
      </c>
      <c r="B3617" s="120" t="s">
        <v>3532</v>
      </c>
      <c r="C3617" s="98" t="s">
        <v>3533</v>
      </c>
      <c r="D3617" s="120" t="s">
        <v>3534</v>
      </c>
      <c r="E3617" s="98">
        <v>0</v>
      </c>
      <c r="F3617" s="120">
        <v>0</v>
      </c>
      <c r="G3617" s="121">
        <v>0</v>
      </c>
      <c r="H3617" s="123">
        <v>0</v>
      </c>
      <c r="I3617" s="122">
        <v>0</v>
      </c>
      <c r="J3617" s="124">
        <f t="shared" si="56"/>
        <v>0</v>
      </c>
    </row>
    <row r="3618" spans="1:11" ht="15" customHeight="1" x14ac:dyDescent="0.2">
      <c r="A3618" s="120" t="s">
        <v>8534</v>
      </c>
      <c r="B3618" s="120" t="s">
        <v>3532</v>
      </c>
      <c r="C3618" s="98" t="s">
        <v>3533</v>
      </c>
      <c r="D3618" s="120" t="s">
        <v>3534</v>
      </c>
      <c r="E3618" s="98">
        <v>0</v>
      </c>
      <c r="F3618" s="120">
        <v>0</v>
      </c>
      <c r="G3618" s="121">
        <v>137</v>
      </c>
      <c r="H3618" s="123">
        <v>0</v>
      </c>
      <c r="I3618" s="122">
        <v>0</v>
      </c>
      <c r="J3618" s="124">
        <f t="shared" si="56"/>
        <v>0</v>
      </c>
    </row>
    <row r="3619" spans="1:11" ht="15" customHeight="1" x14ac:dyDescent="0.2">
      <c r="A3619" s="120" t="s">
        <v>8535</v>
      </c>
      <c r="B3619" s="120" t="s">
        <v>8254</v>
      </c>
      <c r="C3619" s="98" t="s">
        <v>3533</v>
      </c>
      <c r="D3619" s="120" t="s">
        <v>3563</v>
      </c>
      <c r="E3619" s="98">
        <v>0</v>
      </c>
      <c r="F3619" s="120">
        <v>0</v>
      </c>
      <c r="G3619" s="121">
        <v>65760</v>
      </c>
      <c r="H3619" s="123">
        <v>0</v>
      </c>
      <c r="I3619" s="122">
        <v>0</v>
      </c>
      <c r="J3619" s="124">
        <f t="shared" si="56"/>
        <v>0</v>
      </c>
    </row>
    <row r="3620" spans="1:11" ht="15" customHeight="1" x14ac:dyDescent="0.2">
      <c r="A3620" s="120" t="s">
        <v>8536</v>
      </c>
      <c r="B3620" s="120" t="s">
        <v>8254</v>
      </c>
      <c r="C3620" s="98" t="s">
        <v>3533</v>
      </c>
      <c r="D3620" s="120" t="s">
        <v>3563</v>
      </c>
      <c r="E3620" s="98">
        <v>0</v>
      </c>
      <c r="F3620" s="120">
        <v>0</v>
      </c>
      <c r="G3620" s="121">
        <v>33775</v>
      </c>
      <c r="H3620" s="123">
        <v>0</v>
      </c>
      <c r="I3620" s="122">
        <v>0</v>
      </c>
      <c r="J3620" s="124">
        <f t="shared" si="56"/>
        <v>0</v>
      </c>
    </row>
    <row r="3621" spans="1:11" ht="15" customHeight="1" x14ac:dyDescent="0.2">
      <c r="A3621" s="120" t="s">
        <v>7006</v>
      </c>
      <c r="B3621" s="120" t="s">
        <v>8254</v>
      </c>
      <c r="C3621" s="98" t="s">
        <v>3533</v>
      </c>
      <c r="D3621" s="120" t="s">
        <v>3563</v>
      </c>
      <c r="E3621" s="98">
        <v>0</v>
      </c>
      <c r="F3621" s="120">
        <v>0</v>
      </c>
      <c r="G3621" s="121">
        <v>23515</v>
      </c>
      <c r="H3621" s="123">
        <v>0</v>
      </c>
      <c r="I3621" s="122">
        <v>0</v>
      </c>
      <c r="J3621" s="124">
        <f t="shared" si="56"/>
        <v>0</v>
      </c>
    </row>
    <row r="3622" spans="1:11" ht="15" customHeight="1" x14ac:dyDescent="0.2">
      <c r="A3622" s="120" t="s">
        <v>8537</v>
      </c>
      <c r="B3622" s="120" t="s">
        <v>8254</v>
      </c>
      <c r="C3622" s="98" t="s">
        <v>3533</v>
      </c>
      <c r="D3622" s="120" t="s">
        <v>3563</v>
      </c>
      <c r="E3622" s="98">
        <v>0</v>
      </c>
      <c r="F3622" s="120">
        <v>0</v>
      </c>
      <c r="G3622" s="121">
        <v>24065</v>
      </c>
      <c r="H3622" s="123">
        <v>0</v>
      </c>
      <c r="I3622" s="122">
        <v>0</v>
      </c>
      <c r="J3622" s="124">
        <f t="shared" si="56"/>
        <v>0</v>
      </c>
    </row>
    <row r="3623" spans="1:11" ht="15" customHeight="1" x14ac:dyDescent="0.2">
      <c r="A3623" s="120" t="s">
        <v>8538</v>
      </c>
      <c r="B3623" s="120" t="s">
        <v>3532</v>
      </c>
      <c r="C3623" s="98" t="s">
        <v>3533</v>
      </c>
      <c r="D3623" s="120" t="s">
        <v>3534</v>
      </c>
      <c r="E3623" s="98">
        <v>0</v>
      </c>
      <c r="F3623" s="120">
        <v>0</v>
      </c>
      <c r="G3623" s="121">
        <v>903</v>
      </c>
      <c r="H3623" s="123">
        <v>0</v>
      </c>
      <c r="I3623" s="122">
        <v>0</v>
      </c>
      <c r="J3623" s="124">
        <f t="shared" si="56"/>
        <v>0</v>
      </c>
    </row>
    <row r="3624" spans="1:11" ht="15" customHeight="1" x14ac:dyDescent="0.2">
      <c r="A3624" s="120" t="s">
        <v>8539</v>
      </c>
      <c r="B3624" s="120" t="s">
        <v>3532</v>
      </c>
      <c r="C3624" s="98" t="s">
        <v>3533</v>
      </c>
      <c r="D3624" s="120" t="s">
        <v>3534</v>
      </c>
      <c r="E3624" s="98">
        <v>0</v>
      </c>
      <c r="F3624" s="120">
        <v>0</v>
      </c>
      <c r="G3624" s="121">
        <v>0</v>
      </c>
      <c r="H3624" s="123">
        <v>0</v>
      </c>
      <c r="I3624" s="122">
        <v>0</v>
      </c>
      <c r="J3624" s="124">
        <f t="shared" si="56"/>
        <v>0</v>
      </c>
    </row>
    <row r="3625" spans="1:11" ht="15" customHeight="1" x14ac:dyDescent="0.2">
      <c r="A3625" s="120" t="s">
        <v>8540</v>
      </c>
      <c r="B3625" s="120" t="s">
        <v>2254</v>
      </c>
      <c r="C3625" s="98" t="s">
        <v>3533</v>
      </c>
      <c r="D3625" s="120" t="s">
        <v>3563</v>
      </c>
      <c r="E3625" s="98">
        <v>3.1E-2</v>
      </c>
      <c r="F3625" s="120">
        <v>0</v>
      </c>
      <c r="G3625" s="121">
        <v>10400</v>
      </c>
      <c r="H3625" s="123">
        <v>3.1E-2</v>
      </c>
      <c r="I3625" s="122">
        <v>322.39999999999998</v>
      </c>
      <c r="J3625" s="124">
        <f t="shared" si="56"/>
        <v>31</v>
      </c>
      <c r="K3625" s="98" t="s">
        <v>5189</v>
      </c>
    </row>
    <row r="3626" spans="1:11" ht="15" customHeight="1" x14ac:dyDescent="0.2">
      <c r="A3626" s="120" t="s">
        <v>8541</v>
      </c>
      <c r="B3626" s="120" t="s">
        <v>5216</v>
      </c>
      <c r="C3626" s="98" t="s">
        <v>3533</v>
      </c>
      <c r="D3626" s="120" t="s">
        <v>3563</v>
      </c>
      <c r="E3626" s="98">
        <v>2.4E-2</v>
      </c>
      <c r="F3626" s="120">
        <v>0</v>
      </c>
      <c r="G3626" s="121">
        <v>10600</v>
      </c>
      <c r="H3626" s="123">
        <v>2.4E-2</v>
      </c>
      <c r="I3626" s="122">
        <v>254.4</v>
      </c>
      <c r="J3626" s="124">
        <f t="shared" si="56"/>
        <v>24</v>
      </c>
      <c r="K3626" s="98" t="s">
        <v>2387</v>
      </c>
    </row>
    <row r="3627" spans="1:11" ht="15" customHeight="1" x14ac:dyDescent="0.2">
      <c r="A3627" s="120" t="s">
        <v>8542</v>
      </c>
      <c r="B3627" s="120" t="s">
        <v>6387</v>
      </c>
      <c r="C3627" s="98" t="s">
        <v>3533</v>
      </c>
      <c r="D3627" s="120" t="s">
        <v>3563</v>
      </c>
      <c r="E3627" s="98">
        <v>1.2</v>
      </c>
      <c r="F3627" s="120">
        <v>0</v>
      </c>
      <c r="G3627" s="121">
        <v>2170</v>
      </c>
      <c r="H3627" s="123">
        <v>1.2</v>
      </c>
      <c r="I3627" s="122">
        <v>2604</v>
      </c>
      <c r="J3627" s="124">
        <f t="shared" si="56"/>
        <v>1200</v>
      </c>
      <c r="K3627" s="98" t="s">
        <v>8543</v>
      </c>
    </row>
    <row r="3628" spans="1:11" ht="15" customHeight="1" x14ac:dyDescent="0.2">
      <c r="A3628" s="120" t="s">
        <v>8544</v>
      </c>
      <c r="B3628" s="120" t="s">
        <v>6663</v>
      </c>
      <c r="C3628" s="98" t="s">
        <v>3533</v>
      </c>
      <c r="D3628" s="120" t="s">
        <v>3563</v>
      </c>
      <c r="E3628" s="98">
        <v>0.218</v>
      </c>
      <c r="F3628" s="120">
        <v>0</v>
      </c>
      <c r="G3628" s="121">
        <v>18800</v>
      </c>
      <c r="H3628" s="123">
        <v>0.218</v>
      </c>
      <c r="I3628" s="122">
        <v>4098.3999999999996</v>
      </c>
      <c r="J3628" s="124">
        <f t="shared" si="56"/>
        <v>218</v>
      </c>
      <c r="K3628" s="98" t="s">
        <v>3272</v>
      </c>
    </row>
    <row r="3629" spans="1:11" ht="15" customHeight="1" x14ac:dyDescent="0.2">
      <c r="A3629" s="120" t="s">
        <v>8545</v>
      </c>
      <c r="B3629" s="120" t="s">
        <v>5216</v>
      </c>
      <c r="C3629" s="98" t="s">
        <v>3533</v>
      </c>
      <c r="D3629" s="120" t="s">
        <v>3563</v>
      </c>
      <c r="E3629" s="98">
        <v>1.4999999999999999E-2</v>
      </c>
      <c r="F3629" s="120">
        <v>0</v>
      </c>
      <c r="G3629" s="121">
        <v>13945</v>
      </c>
      <c r="H3629" s="123">
        <v>1.4999999999999999E-2</v>
      </c>
      <c r="I3629" s="122">
        <v>209.17499999999998</v>
      </c>
      <c r="J3629" s="124">
        <f t="shared" si="56"/>
        <v>15</v>
      </c>
      <c r="K3629" s="98" t="s">
        <v>2387</v>
      </c>
    </row>
    <row r="3630" spans="1:11" ht="15" customHeight="1" x14ac:dyDescent="0.2">
      <c r="A3630" s="120" t="s">
        <v>8546</v>
      </c>
      <c r="B3630" s="120" t="s">
        <v>2566</v>
      </c>
      <c r="C3630" s="98" t="s">
        <v>3533</v>
      </c>
      <c r="D3630" s="120" t="s">
        <v>3563</v>
      </c>
      <c r="E3630" s="98">
        <v>0.193</v>
      </c>
      <c r="F3630" s="120">
        <v>0</v>
      </c>
      <c r="G3630" s="121">
        <v>0</v>
      </c>
      <c r="H3630" s="123">
        <v>0.193</v>
      </c>
      <c r="I3630" s="122">
        <v>0</v>
      </c>
      <c r="J3630" s="124">
        <f t="shared" si="56"/>
        <v>193</v>
      </c>
      <c r="K3630" s="98" t="s">
        <v>5571</v>
      </c>
    </row>
    <row r="3631" spans="1:11" ht="15" customHeight="1" x14ac:dyDescent="0.2">
      <c r="A3631" s="120" t="s">
        <v>8547</v>
      </c>
      <c r="B3631" s="120" t="s">
        <v>6743</v>
      </c>
      <c r="C3631" s="98" t="s">
        <v>3533</v>
      </c>
      <c r="D3631" s="120" t="s">
        <v>3563</v>
      </c>
      <c r="E3631" s="98">
        <v>0</v>
      </c>
      <c r="F3631" s="120">
        <v>0</v>
      </c>
      <c r="G3631" s="121">
        <v>0</v>
      </c>
      <c r="H3631" s="123">
        <v>0</v>
      </c>
      <c r="I3631" s="122">
        <v>0</v>
      </c>
      <c r="J3631" s="124">
        <f t="shared" si="56"/>
        <v>0</v>
      </c>
      <c r="K3631" s="98" t="s">
        <v>8548</v>
      </c>
    </row>
    <row r="3632" spans="1:11" ht="15" customHeight="1" x14ac:dyDescent="0.2">
      <c r="A3632" s="120" t="s">
        <v>8549</v>
      </c>
      <c r="B3632" s="120" t="s">
        <v>3532</v>
      </c>
      <c r="C3632" s="98" t="s">
        <v>3533</v>
      </c>
      <c r="D3632" s="120" t="s">
        <v>3534</v>
      </c>
      <c r="E3632" s="98">
        <v>0</v>
      </c>
      <c r="F3632" s="120">
        <v>0</v>
      </c>
      <c r="G3632" s="121">
        <v>1489</v>
      </c>
      <c r="H3632" s="123">
        <v>0</v>
      </c>
      <c r="I3632" s="122">
        <v>0</v>
      </c>
      <c r="J3632" s="124">
        <f t="shared" si="56"/>
        <v>0</v>
      </c>
    </row>
    <row r="3633" spans="1:11" ht="15" customHeight="1" x14ac:dyDescent="0.2">
      <c r="A3633" s="120" t="s">
        <v>8550</v>
      </c>
      <c r="B3633" s="120" t="s">
        <v>3532</v>
      </c>
      <c r="C3633" s="98" t="s">
        <v>3533</v>
      </c>
      <c r="D3633" s="120" t="s">
        <v>3534</v>
      </c>
      <c r="E3633" s="98">
        <v>0</v>
      </c>
      <c r="F3633" s="120">
        <v>0</v>
      </c>
      <c r="G3633" s="121">
        <v>1038</v>
      </c>
      <c r="H3633" s="123">
        <v>0</v>
      </c>
      <c r="I3633" s="122">
        <v>0</v>
      </c>
      <c r="J3633" s="124">
        <f t="shared" si="56"/>
        <v>0</v>
      </c>
    </row>
    <row r="3634" spans="1:11" ht="15" customHeight="1" x14ac:dyDescent="0.2">
      <c r="A3634" s="120" t="s">
        <v>8551</v>
      </c>
      <c r="B3634" s="120" t="s">
        <v>3705</v>
      </c>
      <c r="C3634" s="98" t="s">
        <v>3533</v>
      </c>
      <c r="D3634" s="120" t="s">
        <v>3534</v>
      </c>
      <c r="E3634" s="98">
        <v>0.17799999999999999</v>
      </c>
      <c r="F3634" s="120">
        <v>0</v>
      </c>
      <c r="G3634" s="121">
        <v>4410</v>
      </c>
      <c r="H3634" s="123">
        <v>0.17799999999999999</v>
      </c>
      <c r="I3634" s="122">
        <v>784.98</v>
      </c>
      <c r="J3634" s="124">
        <f t="shared" si="56"/>
        <v>0.17799999999999999</v>
      </c>
      <c r="K3634" s="98" t="s">
        <v>8552</v>
      </c>
    </row>
    <row r="3635" spans="1:11" ht="15" customHeight="1" x14ac:dyDescent="0.2">
      <c r="A3635" s="120" t="s">
        <v>8553</v>
      </c>
      <c r="B3635" s="120" t="s">
        <v>3907</v>
      </c>
      <c r="C3635" s="98" t="s">
        <v>3533</v>
      </c>
      <c r="D3635" s="120" t="s">
        <v>3534</v>
      </c>
      <c r="E3635" s="98">
        <v>1.28</v>
      </c>
      <c r="F3635" s="120">
        <v>0</v>
      </c>
      <c r="G3635" s="121">
        <v>11605</v>
      </c>
      <c r="H3635" s="123">
        <v>1.28</v>
      </c>
      <c r="I3635" s="122">
        <v>14854.4</v>
      </c>
      <c r="J3635" s="124">
        <f t="shared" si="56"/>
        <v>1.28</v>
      </c>
      <c r="K3635" s="98" t="s">
        <v>8554</v>
      </c>
    </row>
    <row r="3636" spans="1:11" ht="15" customHeight="1" x14ac:dyDescent="0.2">
      <c r="A3636" s="120" t="s">
        <v>8555</v>
      </c>
      <c r="B3636" s="120" t="s">
        <v>3599</v>
      </c>
      <c r="C3636" s="98" t="s">
        <v>3533</v>
      </c>
      <c r="D3636" s="120" t="s">
        <v>3534</v>
      </c>
      <c r="E3636" s="98">
        <v>0</v>
      </c>
      <c r="F3636" s="120">
        <v>0</v>
      </c>
      <c r="G3636" s="121">
        <v>0</v>
      </c>
      <c r="H3636" s="123">
        <v>0</v>
      </c>
      <c r="I3636" s="122">
        <v>0</v>
      </c>
      <c r="J3636" s="124">
        <f t="shared" si="56"/>
        <v>0</v>
      </c>
      <c r="K3636" s="98" t="s">
        <v>8556</v>
      </c>
    </row>
    <row r="3637" spans="1:11" ht="15" customHeight="1" x14ac:dyDescent="0.2">
      <c r="A3637" s="120" t="s">
        <v>8557</v>
      </c>
      <c r="B3637" s="120" t="s">
        <v>3692</v>
      </c>
      <c r="C3637" s="98" t="s">
        <v>3533</v>
      </c>
      <c r="D3637" s="120" t="s">
        <v>3534</v>
      </c>
      <c r="E3637" s="98">
        <v>0</v>
      </c>
      <c r="F3637" s="120">
        <v>0</v>
      </c>
      <c r="G3637" s="121">
        <v>0</v>
      </c>
      <c r="H3637" s="123">
        <v>0</v>
      </c>
      <c r="I3637" s="122">
        <v>0</v>
      </c>
      <c r="J3637" s="124">
        <f t="shared" si="56"/>
        <v>0</v>
      </c>
      <c r="K3637" s="98" t="s">
        <v>8558</v>
      </c>
    </row>
    <row r="3638" spans="1:11" ht="15" customHeight="1" x14ac:dyDescent="0.2">
      <c r="A3638" s="120" t="s">
        <v>8559</v>
      </c>
      <c r="B3638" s="120" t="s">
        <v>3532</v>
      </c>
      <c r="C3638" s="98" t="s">
        <v>3533</v>
      </c>
      <c r="D3638" s="120" t="s">
        <v>3534</v>
      </c>
      <c r="E3638" s="98">
        <v>0</v>
      </c>
      <c r="F3638" s="120">
        <v>0</v>
      </c>
      <c r="G3638" s="121">
        <v>1853</v>
      </c>
      <c r="H3638" s="123">
        <v>0</v>
      </c>
      <c r="I3638" s="122">
        <v>0</v>
      </c>
      <c r="J3638" s="124">
        <f t="shared" si="56"/>
        <v>0</v>
      </c>
    </row>
    <row r="3639" spans="1:11" ht="15" customHeight="1" x14ac:dyDescent="0.2">
      <c r="A3639" s="120" t="s">
        <v>8560</v>
      </c>
      <c r="B3639" s="120" t="s">
        <v>2184</v>
      </c>
      <c r="C3639" s="98" t="s">
        <v>3533</v>
      </c>
      <c r="D3639" s="120" t="s">
        <v>3534</v>
      </c>
      <c r="E3639" s="98">
        <v>1.95E-2</v>
      </c>
      <c r="F3639" s="120">
        <v>0</v>
      </c>
      <c r="G3639" s="121">
        <v>0</v>
      </c>
      <c r="H3639" s="123">
        <v>1.95E-2</v>
      </c>
      <c r="I3639" s="122">
        <v>0</v>
      </c>
      <c r="J3639" s="124">
        <f t="shared" si="56"/>
        <v>1.95E-2</v>
      </c>
      <c r="K3639" s="98" t="s">
        <v>2387</v>
      </c>
    </row>
    <row r="3640" spans="1:11" ht="15" customHeight="1" x14ac:dyDescent="0.2">
      <c r="A3640" s="120" t="s">
        <v>8561</v>
      </c>
      <c r="B3640" s="120" t="s">
        <v>2184</v>
      </c>
      <c r="C3640" s="98" t="s">
        <v>3533</v>
      </c>
      <c r="D3640" s="120" t="s">
        <v>3534</v>
      </c>
      <c r="E3640" s="98">
        <v>2.5000000000000001E-2</v>
      </c>
      <c r="F3640" s="120">
        <v>0</v>
      </c>
      <c r="G3640" s="121">
        <v>0</v>
      </c>
      <c r="H3640" s="123">
        <v>2.5000000000000001E-2</v>
      </c>
      <c r="I3640" s="122">
        <v>0</v>
      </c>
      <c r="J3640" s="124">
        <f t="shared" si="56"/>
        <v>2.5000000000000001E-2</v>
      </c>
      <c r="K3640" s="98" t="s">
        <v>2379</v>
      </c>
    </row>
    <row r="3641" spans="1:11" ht="15" customHeight="1" x14ac:dyDescent="0.2">
      <c r="A3641" s="120" t="s">
        <v>8562</v>
      </c>
      <c r="B3641" s="120" t="s">
        <v>3532</v>
      </c>
      <c r="C3641" s="98" t="s">
        <v>3533</v>
      </c>
      <c r="D3641" s="120" t="s">
        <v>3534</v>
      </c>
      <c r="E3641" s="98">
        <v>3.5270000000000003E-2</v>
      </c>
      <c r="F3641" s="120">
        <v>0</v>
      </c>
      <c r="G3641" s="121">
        <v>0</v>
      </c>
      <c r="H3641" s="123">
        <v>3.5270000000000003E-2</v>
      </c>
      <c r="I3641" s="122">
        <v>0</v>
      </c>
      <c r="J3641" s="124">
        <f t="shared" si="56"/>
        <v>3.5270000000000003E-2</v>
      </c>
    </row>
    <row r="3642" spans="1:11" ht="15" customHeight="1" x14ac:dyDescent="0.2">
      <c r="A3642" s="120" t="s">
        <v>8563</v>
      </c>
      <c r="B3642" s="120" t="s">
        <v>5142</v>
      </c>
      <c r="C3642" s="98" t="s">
        <v>3533</v>
      </c>
      <c r="D3642" s="120" t="s">
        <v>3563</v>
      </c>
      <c r="E3642" s="98">
        <v>7.4999999999999997E-2</v>
      </c>
      <c r="F3642" s="120">
        <v>0</v>
      </c>
      <c r="G3642" s="121">
        <v>417495</v>
      </c>
      <c r="H3642" s="123">
        <v>7.4999999999999997E-2</v>
      </c>
      <c r="I3642" s="122">
        <v>31312.125</v>
      </c>
      <c r="J3642" s="124">
        <f t="shared" si="56"/>
        <v>75</v>
      </c>
      <c r="K3642" s="98" t="s">
        <v>6605</v>
      </c>
    </row>
    <row r="3643" spans="1:11" ht="15" customHeight="1" x14ac:dyDescent="0.2">
      <c r="A3643" s="120" t="s">
        <v>8564</v>
      </c>
      <c r="B3643" s="120" t="s">
        <v>6547</v>
      </c>
      <c r="C3643" s="98" t="s">
        <v>3533</v>
      </c>
      <c r="D3643" s="120" t="s">
        <v>3563</v>
      </c>
      <c r="E3643" s="98">
        <v>0.3</v>
      </c>
      <c r="F3643" s="120">
        <v>0</v>
      </c>
      <c r="G3643" s="121">
        <v>0</v>
      </c>
      <c r="H3643" s="123">
        <v>0.3</v>
      </c>
      <c r="I3643" s="122">
        <v>0</v>
      </c>
      <c r="J3643" s="124">
        <f t="shared" si="56"/>
        <v>300</v>
      </c>
      <c r="K3643" s="98" t="s">
        <v>5571</v>
      </c>
    </row>
    <row r="3644" spans="1:11" ht="15" customHeight="1" x14ac:dyDescent="0.2">
      <c r="A3644" s="120" t="s">
        <v>8565</v>
      </c>
      <c r="B3644" s="120" t="s">
        <v>6743</v>
      </c>
      <c r="C3644" s="98" t="s">
        <v>3533</v>
      </c>
      <c r="D3644" s="120" t="s">
        <v>3563</v>
      </c>
      <c r="E3644" s="98">
        <v>2.9350000000000001E-2</v>
      </c>
      <c r="F3644" s="120">
        <v>0</v>
      </c>
      <c r="G3644" s="121">
        <v>0</v>
      </c>
      <c r="H3644" s="123">
        <v>2.9350000000000001E-2</v>
      </c>
      <c r="I3644" s="122">
        <v>0</v>
      </c>
      <c r="J3644" s="124">
        <f t="shared" si="56"/>
        <v>29.35</v>
      </c>
      <c r="K3644" s="98" t="s">
        <v>8566</v>
      </c>
    </row>
    <row r="3645" spans="1:11" ht="15" customHeight="1" x14ac:dyDescent="0.2">
      <c r="A3645" s="120" t="s">
        <v>8567</v>
      </c>
      <c r="B3645" s="120" t="s">
        <v>2254</v>
      </c>
      <c r="C3645" s="98" t="s">
        <v>3533</v>
      </c>
      <c r="D3645" s="120" t="s">
        <v>3563</v>
      </c>
      <c r="E3645" s="98">
        <v>9.9000000000000005E-2</v>
      </c>
      <c r="F3645" s="120">
        <v>0</v>
      </c>
      <c r="G3645" s="121">
        <v>20000</v>
      </c>
      <c r="H3645" s="123">
        <v>9.9000000000000005E-2</v>
      </c>
      <c r="I3645" s="122">
        <v>1980</v>
      </c>
      <c r="J3645" s="124">
        <f t="shared" si="56"/>
        <v>99</v>
      </c>
      <c r="K3645" s="98" t="s">
        <v>5189</v>
      </c>
    </row>
    <row r="3646" spans="1:11" ht="15" customHeight="1" x14ac:dyDescent="0.2">
      <c r="A3646" s="120" t="s">
        <v>8568</v>
      </c>
      <c r="B3646" s="120" t="s">
        <v>5131</v>
      </c>
      <c r="C3646" s="98" t="s">
        <v>3533</v>
      </c>
      <c r="D3646" s="120" t="s">
        <v>3563</v>
      </c>
      <c r="E3646" s="98">
        <v>9.9206999999999993E-3</v>
      </c>
      <c r="F3646" s="120">
        <v>0</v>
      </c>
      <c r="G3646" s="121">
        <v>10086725</v>
      </c>
      <c r="H3646" s="123">
        <v>9.92E-3</v>
      </c>
      <c r="I3646" s="122">
        <v>100060.31200000001</v>
      </c>
      <c r="J3646" s="124">
        <f t="shared" si="56"/>
        <v>9.9207000000000001</v>
      </c>
      <c r="K3646" s="98" t="s">
        <v>8569</v>
      </c>
    </row>
    <row r="3647" spans="1:11" ht="15" customHeight="1" x14ac:dyDescent="0.2">
      <c r="A3647" s="120" t="s">
        <v>8570</v>
      </c>
      <c r="B3647" s="120" t="s">
        <v>2184</v>
      </c>
      <c r="C3647" s="98" t="s">
        <v>3533</v>
      </c>
      <c r="D3647" s="120" t="s">
        <v>3563</v>
      </c>
      <c r="E3647" s="98">
        <v>0.02</v>
      </c>
      <c r="F3647" s="120">
        <v>0</v>
      </c>
      <c r="G3647" s="121">
        <v>20000</v>
      </c>
      <c r="H3647" s="123">
        <v>0.02</v>
      </c>
      <c r="I3647" s="122">
        <v>400</v>
      </c>
      <c r="J3647" s="124">
        <f t="shared" si="56"/>
        <v>20</v>
      </c>
    </row>
    <row r="3648" spans="1:11" ht="15" customHeight="1" x14ac:dyDescent="0.2">
      <c r="A3648" s="120" t="s">
        <v>8571</v>
      </c>
      <c r="B3648" s="120" t="s">
        <v>4783</v>
      </c>
      <c r="C3648" s="98" t="s">
        <v>3533</v>
      </c>
      <c r="D3648" s="120" t="s">
        <v>3563</v>
      </c>
      <c r="E3648" s="98">
        <v>2.0619999999999999E-2</v>
      </c>
      <c r="F3648" s="120">
        <v>0</v>
      </c>
      <c r="G3648" s="121">
        <v>22680</v>
      </c>
      <c r="H3648" s="123">
        <v>2.0619999999999999E-2</v>
      </c>
      <c r="I3648" s="122">
        <v>467.66159999999996</v>
      </c>
      <c r="J3648" s="124">
        <f t="shared" si="56"/>
        <v>20.62</v>
      </c>
      <c r="K3648" s="98" t="s">
        <v>8572</v>
      </c>
    </row>
    <row r="3649" spans="1:11" ht="15" customHeight="1" x14ac:dyDescent="0.2">
      <c r="A3649" s="120" t="s">
        <v>8573</v>
      </c>
      <c r="B3649" s="120" t="s">
        <v>4482</v>
      </c>
      <c r="C3649" s="98" t="s">
        <v>3533</v>
      </c>
      <c r="D3649" s="120" t="s">
        <v>3534</v>
      </c>
      <c r="E3649" s="98">
        <v>45</v>
      </c>
      <c r="F3649" s="120">
        <v>0</v>
      </c>
      <c r="G3649" s="121">
        <v>1</v>
      </c>
      <c r="H3649" s="123">
        <v>45</v>
      </c>
      <c r="I3649" s="122">
        <v>45</v>
      </c>
      <c r="J3649" s="124">
        <f t="shared" si="56"/>
        <v>45</v>
      </c>
      <c r="K3649" s="98" t="s">
        <v>8574</v>
      </c>
    </row>
    <row r="3650" spans="1:11" ht="15" customHeight="1" x14ac:dyDescent="0.2">
      <c r="A3650" s="120" t="s">
        <v>8575</v>
      </c>
      <c r="B3650" s="120" t="s">
        <v>3532</v>
      </c>
      <c r="C3650" s="98" t="s">
        <v>3533</v>
      </c>
      <c r="D3650" s="120" t="s">
        <v>3534</v>
      </c>
      <c r="E3650" s="98">
        <v>0</v>
      </c>
      <c r="F3650" s="120">
        <v>0</v>
      </c>
      <c r="G3650" s="121">
        <v>0</v>
      </c>
      <c r="H3650" s="123">
        <v>0</v>
      </c>
      <c r="I3650" s="122">
        <v>0</v>
      </c>
      <c r="J3650" s="124">
        <f t="shared" ref="J3650:J3713" si="57">IF(D3650="gm", E3650*1000,+E3650)</f>
        <v>0</v>
      </c>
    </row>
    <row r="3651" spans="1:11" ht="15" customHeight="1" x14ac:dyDescent="0.2">
      <c r="A3651" s="120" t="s">
        <v>8576</v>
      </c>
      <c r="B3651" s="120" t="s">
        <v>3532</v>
      </c>
      <c r="C3651" s="98" t="s">
        <v>3533</v>
      </c>
      <c r="D3651" s="120" t="s">
        <v>3534</v>
      </c>
      <c r="E3651" s="98">
        <v>0</v>
      </c>
      <c r="F3651" s="120">
        <v>0</v>
      </c>
      <c r="G3651" s="121">
        <v>2685</v>
      </c>
      <c r="H3651" s="123">
        <v>0</v>
      </c>
      <c r="I3651" s="122">
        <v>0</v>
      </c>
      <c r="J3651" s="124">
        <f t="shared" si="57"/>
        <v>0</v>
      </c>
    </row>
    <row r="3652" spans="1:11" ht="15" customHeight="1" x14ac:dyDescent="0.2">
      <c r="A3652" s="120" t="s">
        <v>8577</v>
      </c>
      <c r="B3652" s="120" t="s">
        <v>3532</v>
      </c>
      <c r="C3652" s="98" t="s">
        <v>3533</v>
      </c>
      <c r="D3652" s="120" t="s">
        <v>3534</v>
      </c>
      <c r="E3652" s="98">
        <v>0</v>
      </c>
      <c r="F3652" s="120">
        <v>0</v>
      </c>
      <c r="G3652" s="121">
        <v>498</v>
      </c>
      <c r="H3652" s="123">
        <v>0</v>
      </c>
      <c r="I3652" s="122">
        <v>0</v>
      </c>
      <c r="J3652" s="124">
        <f t="shared" si="57"/>
        <v>0</v>
      </c>
    </row>
    <row r="3653" spans="1:11" ht="15" customHeight="1" x14ac:dyDescent="0.2">
      <c r="A3653" s="120" t="s">
        <v>8578</v>
      </c>
      <c r="B3653" s="120" t="s">
        <v>3532</v>
      </c>
      <c r="C3653" s="98" t="s">
        <v>3533</v>
      </c>
      <c r="D3653" s="120" t="s">
        <v>3534</v>
      </c>
      <c r="E3653" s="98">
        <v>0</v>
      </c>
      <c r="F3653" s="120">
        <v>0</v>
      </c>
      <c r="G3653" s="121">
        <v>554</v>
      </c>
      <c r="H3653" s="123">
        <v>0</v>
      </c>
      <c r="I3653" s="122">
        <v>0</v>
      </c>
      <c r="J3653" s="124">
        <f t="shared" si="57"/>
        <v>0</v>
      </c>
    </row>
    <row r="3654" spans="1:11" ht="15" customHeight="1" x14ac:dyDescent="0.2">
      <c r="A3654" s="120" t="s">
        <v>8579</v>
      </c>
      <c r="B3654" s="120" t="s">
        <v>3532</v>
      </c>
      <c r="C3654" s="98" t="s">
        <v>3533</v>
      </c>
      <c r="D3654" s="120" t="s">
        <v>3534</v>
      </c>
      <c r="E3654" s="98">
        <v>0</v>
      </c>
      <c r="F3654" s="120">
        <v>0</v>
      </c>
      <c r="G3654" s="121">
        <v>370</v>
      </c>
      <c r="H3654" s="123">
        <v>0</v>
      </c>
      <c r="I3654" s="122">
        <v>0</v>
      </c>
      <c r="J3654" s="124">
        <f t="shared" si="57"/>
        <v>0</v>
      </c>
    </row>
    <row r="3655" spans="1:11" ht="15" customHeight="1" x14ac:dyDescent="0.2">
      <c r="A3655" s="120" t="s">
        <v>8580</v>
      </c>
      <c r="B3655" s="120" t="s">
        <v>3532</v>
      </c>
      <c r="C3655" s="98" t="s">
        <v>3533</v>
      </c>
      <c r="D3655" s="120" t="s">
        <v>3534</v>
      </c>
      <c r="E3655" s="98">
        <v>0</v>
      </c>
      <c r="F3655" s="120">
        <v>0</v>
      </c>
      <c r="G3655" s="121">
        <v>1087</v>
      </c>
      <c r="H3655" s="123">
        <v>0</v>
      </c>
      <c r="I3655" s="122">
        <v>0</v>
      </c>
      <c r="J3655" s="124">
        <f t="shared" si="57"/>
        <v>0</v>
      </c>
    </row>
    <row r="3656" spans="1:11" ht="15" customHeight="1" x14ac:dyDescent="0.2">
      <c r="A3656" s="120" t="s">
        <v>8581</v>
      </c>
      <c r="B3656" s="120" t="s">
        <v>3532</v>
      </c>
      <c r="C3656" s="98" t="s">
        <v>3533</v>
      </c>
      <c r="D3656" s="120" t="s">
        <v>3534</v>
      </c>
      <c r="E3656" s="98">
        <v>0</v>
      </c>
      <c r="F3656" s="120">
        <v>0</v>
      </c>
      <c r="G3656" s="121">
        <v>2926</v>
      </c>
      <c r="H3656" s="123">
        <v>0</v>
      </c>
      <c r="I3656" s="122">
        <v>0</v>
      </c>
      <c r="J3656" s="124">
        <f t="shared" si="57"/>
        <v>0</v>
      </c>
    </row>
    <row r="3657" spans="1:11" ht="15" customHeight="1" x14ac:dyDescent="0.2">
      <c r="A3657" s="120" t="s">
        <v>7555</v>
      </c>
      <c r="B3657" s="120" t="s">
        <v>3532</v>
      </c>
      <c r="C3657" s="98" t="s">
        <v>3532</v>
      </c>
      <c r="D3657" s="120" t="s">
        <v>3534</v>
      </c>
      <c r="E3657" s="98">
        <v>0</v>
      </c>
      <c r="F3657" s="120">
        <v>0</v>
      </c>
      <c r="G3657" s="121">
        <v>2413</v>
      </c>
      <c r="H3657" s="123">
        <v>0</v>
      </c>
      <c r="I3657" s="122">
        <v>0</v>
      </c>
      <c r="J3657" s="124">
        <f t="shared" si="57"/>
        <v>0</v>
      </c>
    </row>
    <row r="3658" spans="1:11" ht="15" customHeight="1" x14ac:dyDescent="0.2">
      <c r="A3658" s="120" t="s">
        <v>8582</v>
      </c>
      <c r="B3658" s="120" t="s">
        <v>3532</v>
      </c>
      <c r="C3658" s="98" t="s">
        <v>3533</v>
      </c>
      <c r="D3658" s="120" t="s">
        <v>3534</v>
      </c>
      <c r="E3658" s="98">
        <v>0</v>
      </c>
      <c r="F3658" s="120">
        <v>0</v>
      </c>
      <c r="G3658" s="121">
        <v>1207</v>
      </c>
      <c r="H3658" s="123">
        <v>0</v>
      </c>
      <c r="I3658" s="122">
        <v>0</v>
      </c>
      <c r="J3658" s="124">
        <f t="shared" si="57"/>
        <v>0</v>
      </c>
    </row>
    <row r="3659" spans="1:11" ht="15" customHeight="1" x14ac:dyDescent="0.2">
      <c r="A3659" s="120" t="s">
        <v>8583</v>
      </c>
      <c r="B3659" s="120" t="s">
        <v>3532</v>
      </c>
      <c r="C3659" s="98" t="s">
        <v>3533</v>
      </c>
      <c r="D3659" s="120" t="s">
        <v>3534</v>
      </c>
      <c r="E3659" s="98">
        <v>0</v>
      </c>
      <c r="F3659" s="120">
        <v>0</v>
      </c>
      <c r="G3659" s="121">
        <v>0</v>
      </c>
      <c r="H3659" s="123">
        <v>0</v>
      </c>
      <c r="I3659" s="122">
        <v>0</v>
      </c>
      <c r="J3659" s="124">
        <f t="shared" si="57"/>
        <v>0</v>
      </c>
    </row>
    <row r="3660" spans="1:11" ht="15" customHeight="1" x14ac:dyDescent="0.2">
      <c r="A3660" s="120" t="s">
        <v>8584</v>
      </c>
      <c r="B3660" s="120" t="s">
        <v>3532</v>
      </c>
      <c r="C3660" s="98" t="s">
        <v>3533</v>
      </c>
      <c r="D3660" s="120" t="s">
        <v>3534</v>
      </c>
      <c r="E3660" s="98">
        <v>0</v>
      </c>
      <c r="F3660" s="120">
        <v>0</v>
      </c>
      <c r="G3660" s="121">
        <v>0</v>
      </c>
      <c r="H3660" s="123">
        <v>0</v>
      </c>
      <c r="I3660" s="122">
        <v>0</v>
      </c>
      <c r="J3660" s="124">
        <f t="shared" si="57"/>
        <v>0</v>
      </c>
    </row>
    <row r="3661" spans="1:11" ht="15" customHeight="1" x14ac:dyDescent="0.2">
      <c r="A3661" s="120" t="s">
        <v>8585</v>
      </c>
      <c r="B3661" s="120" t="s">
        <v>3532</v>
      </c>
      <c r="C3661" s="98" t="s">
        <v>3533</v>
      </c>
      <c r="D3661" s="120" t="s">
        <v>3534</v>
      </c>
      <c r="E3661" s="98">
        <v>0.11409999999999999</v>
      </c>
      <c r="F3661" s="120">
        <v>0</v>
      </c>
      <c r="G3661" s="121">
        <v>3309</v>
      </c>
      <c r="H3661" s="123">
        <v>0.11409999999999999</v>
      </c>
      <c r="I3661" s="122">
        <v>377.55689999999998</v>
      </c>
      <c r="J3661" s="124">
        <f t="shared" si="57"/>
        <v>0.11409999999999999</v>
      </c>
    </row>
    <row r="3662" spans="1:11" ht="15" customHeight="1" x14ac:dyDescent="0.2">
      <c r="A3662" s="120" t="s">
        <v>8586</v>
      </c>
      <c r="B3662" s="120" t="s">
        <v>3532</v>
      </c>
      <c r="C3662" s="98" t="s">
        <v>3533</v>
      </c>
      <c r="D3662" s="120" t="s">
        <v>3534</v>
      </c>
      <c r="E3662" s="98">
        <v>0.11559999999999999</v>
      </c>
      <c r="F3662" s="120">
        <v>0</v>
      </c>
      <c r="G3662" s="121">
        <v>2601</v>
      </c>
      <c r="H3662" s="123">
        <v>0.11559999999999999</v>
      </c>
      <c r="I3662" s="122">
        <v>300.67559999999997</v>
      </c>
      <c r="J3662" s="124">
        <f t="shared" si="57"/>
        <v>0.11559999999999999</v>
      </c>
    </row>
    <row r="3663" spans="1:11" ht="15" customHeight="1" x14ac:dyDescent="0.2">
      <c r="A3663" s="120" t="s">
        <v>8587</v>
      </c>
      <c r="B3663" s="120" t="s">
        <v>3532</v>
      </c>
      <c r="C3663" s="98" t="s">
        <v>3533</v>
      </c>
      <c r="D3663" s="120" t="s">
        <v>3534</v>
      </c>
      <c r="E3663" s="98">
        <v>0.98</v>
      </c>
      <c r="F3663" s="120">
        <v>0</v>
      </c>
      <c r="G3663" s="121">
        <v>0</v>
      </c>
      <c r="H3663" s="123">
        <v>0</v>
      </c>
      <c r="I3663" s="122">
        <v>0</v>
      </c>
      <c r="J3663" s="124">
        <f t="shared" si="57"/>
        <v>0.98</v>
      </c>
    </row>
    <row r="3664" spans="1:11" ht="15" customHeight="1" x14ac:dyDescent="0.2">
      <c r="A3664" s="120" t="s">
        <v>8588</v>
      </c>
      <c r="B3664" s="120" t="s">
        <v>3532</v>
      </c>
      <c r="C3664" s="98" t="s">
        <v>3533</v>
      </c>
      <c r="D3664" s="120" t="s">
        <v>3534</v>
      </c>
      <c r="E3664" s="98">
        <v>0.10199999999999999</v>
      </c>
      <c r="F3664" s="120">
        <v>0</v>
      </c>
      <c r="G3664" s="121">
        <v>0</v>
      </c>
      <c r="H3664" s="123">
        <v>0</v>
      </c>
      <c r="I3664" s="122">
        <v>0</v>
      </c>
      <c r="J3664" s="124">
        <f t="shared" si="57"/>
        <v>0.10199999999999999</v>
      </c>
    </row>
    <row r="3665" spans="1:11" ht="15" customHeight="1" x14ac:dyDescent="0.2">
      <c r="A3665" s="120" t="s">
        <v>8589</v>
      </c>
      <c r="B3665" s="120" t="s">
        <v>3532</v>
      </c>
      <c r="C3665" s="98" t="s">
        <v>3533</v>
      </c>
      <c r="D3665" s="120" t="s">
        <v>3534</v>
      </c>
      <c r="E3665" s="98">
        <v>0.115967857142857</v>
      </c>
      <c r="F3665" s="120">
        <v>0</v>
      </c>
      <c r="G3665" s="121">
        <v>0</v>
      </c>
      <c r="H3665" s="123">
        <v>0</v>
      </c>
      <c r="I3665" s="122">
        <v>0</v>
      </c>
      <c r="J3665" s="124">
        <f t="shared" si="57"/>
        <v>0.115967857142857</v>
      </c>
    </row>
    <row r="3666" spans="1:11" ht="15" customHeight="1" x14ac:dyDescent="0.2">
      <c r="A3666" s="120" t="s">
        <v>8590</v>
      </c>
      <c r="B3666" s="120" t="s">
        <v>3532</v>
      </c>
      <c r="C3666" s="98" t="s">
        <v>3533</v>
      </c>
      <c r="D3666" s="120" t="s">
        <v>3534</v>
      </c>
      <c r="E3666" s="98">
        <v>0</v>
      </c>
      <c r="F3666" s="120">
        <v>0</v>
      </c>
      <c r="G3666" s="121">
        <v>0</v>
      </c>
      <c r="H3666" s="123">
        <v>0</v>
      </c>
      <c r="I3666" s="122">
        <v>0</v>
      </c>
      <c r="J3666" s="124">
        <f t="shared" si="57"/>
        <v>0</v>
      </c>
    </row>
    <row r="3667" spans="1:11" ht="15" customHeight="1" x14ac:dyDescent="0.2">
      <c r="A3667" s="120" t="s">
        <v>8591</v>
      </c>
      <c r="B3667" s="120" t="s">
        <v>3532</v>
      </c>
      <c r="C3667" s="98" t="s">
        <v>3533</v>
      </c>
      <c r="D3667" s="120" t="s">
        <v>3534</v>
      </c>
      <c r="E3667" s="98">
        <v>0</v>
      </c>
      <c r="F3667" s="120">
        <v>0</v>
      </c>
      <c r="G3667" s="121">
        <v>0</v>
      </c>
      <c r="H3667" s="123">
        <v>0</v>
      </c>
      <c r="I3667" s="122">
        <v>0</v>
      </c>
      <c r="J3667" s="124">
        <f t="shared" si="57"/>
        <v>0</v>
      </c>
    </row>
    <row r="3668" spans="1:11" ht="15" customHeight="1" x14ac:dyDescent="0.2">
      <c r="A3668" s="120" t="s">
        <v>8592</v>
      </c>
      <c r="B3668" s="120" t="s">
        <v>3532</v>
      </c>
      <c r="C3668" s="98" t="s">
        <v>3533</v>
      </c>
      <c r="D3668" s="120" t="s">
        <v>3563</v>
      </c>
      <c r="E3668" s="98">
        <v>0</v>
      </c>
      <c r="F3668" s="120">
        <v>0</v>
      </c>
      <c r="G3668" s="121">
        <v>22000</v>
      </c>
      <c r="H3668" s="123">
        <v>0</v>
      </c>
      <c r="I3668" s="122">
        <v>0</v>
      </c>
      <c r="J3668" s="124">
        <f t="shared" si="57"/>
        <v>0</v>
      </c>
    </row>
    <row r="3669" spans="1:11" ht="15" customHeight="1" x14ac:dyDescent="0.2">
      <c r="A3669" s="120" t="s">
        <v>8593</v>
      </c>
      <c r="B3669" s="120" t="s">
        <v>3532</v>
      </c>
      <c r="C3669" s="98" t="s">
        <v>3532</v>
      </c>
      <c r="D3669" s="120" t="s">
        <v>3534</v>
      </c>
      <c r="E3669" s="98">
        <v>0</v>
      </c>
      <c r="F3669" s="120">
        <v>0</v>
      </c>
      <c r="G3669" s="121">
        <v>96</v>
      </c>
      <c r="H3669" s="123">
        <v>0</v>
      </c>
      <c r="I3669" s="122">
        <v>0</v>
      </c>
      <c r="J3669" s="124">
        <f t="shared" si="57"/>
        <v>0</v>
      </c>
    </row>
    <row r="3670" spans="1:11" ht="15" customHeight="1" x14ac:dyDescent="0.2">
      <c r="A3670" s="120" t="s">
        <v>8594</v>
      </c>
      <c r="B3670" s="120" t="s">
        <v>3532</v>
      </c>
      <c r="C3670" s="98" t="s">
        <v>3533</v>
      </c>
      <c r="D3670" s="120" t="s">
        <v>3534</v>
      </c>
      <c r="E3670" s="98">
        <v>0</v>
      </c>
      <c r="F3670" s="120">
        <v>0</v>
      </c>
      <c r="G3670" s="121">
        <v>0</v>
      </c>
      <c r="H3670" s="123">
        <v>0</v>
      </c>
      <c r="I3670" s="122">
        <v>0</v>
      </c>
      <c r="J3670" s="124">
        <f t="shared" si="57"/>
        <v>0</v>
      </c>
    </row>
    <row r="3671" spans="1:11" ht="15" customHeight="1" x14ac:dyDescent="0.2">
      <c r="A3671" s="120" t="s">
        <v>8282</v>
      </c>
      <c r="B3671" s="120" t="s">
        <v>3532</v>
      </c>
      <c r="C3671" s="98" t="s">
        <v>3532</v>
      </c>
      <c r="D3671" s="120" t="s">
        <v>3534</v>
      </c>
      <c r="E3671" s="98">
        <v>0</v>
      </c>
      <c r="F3671" s="120">
        <v>0</v>
      </c>
      <c r="G3671" s="121">
        <v>785</v>
      </c>
      <c r="H3671" s="123">
        <v>0</v>
      </c>
      <c r="I3671" s="122">
        <v>0</v>
      </c>
      <c r="J3671" s="124">
        <f t="shared" si="57"/>
        <v>0</v>
      </c>
    </row>
    <row r="3672" spans="1:11" ht="15" customHeight="1" x14ac:dyDescent="0.2">
      <c r="A3672" s="120" t="s">
        <v>8595</v>
      </c>
      <c r="B3672" s="120" t="s">
        <v>3532</v>
      </c>
      <c r="C3672" s="98" t="s">
        <v>3533</v>
      </c>
      <c r="D3672" s="120" t="s">
        <v>3534</v>
      </c>
      <c r="E3672" s="98">
        <v>0</v>
      </c>
      <c r="F3672" s="120">
        <v>0</v>
      </c>
      <c r="G3672" s="121">
        <v>0</v>
      </c>
      <c r="H3672" s="123">
        <v>0</v>
      </c>
      <c r="I3672" s="122">
        <v>0</v>
      </c>
      <c r="J3672" s="124">
        <f t="shared" si="57"/>
        <v>0</v>
      </c>
    </row>
    <row r="3673" spans="1:11" ht="15" customHeight="1" x14ac:dyDescent="0.2">
      <c r="A3673" s="120" t="s">
        <v>8596</v>
      </c>
      <c r="B3673" s="120" t="s">
        <v>3625</v>
      </c>
      <c r="C3673" s="98" t="s">
        <v>3533</v>
      </c>
      <c r="D3673" s="120" t="s">
        <v>3534</v>
      </c>
      <c r="E3673" s="98">
        <v>0.47220138888888902</v>
      </c>
      <c r="F3673" s="120">
        <v>0</v>
      </c>
      <c r="G3673" s="121">
        <v>1440</v>
      </c>
      <c r="H3673" s="123">
        <v>0.47220000000000001</v>
      </c>
      <c r="I3673" s="122">
        <v>679.96799999999996</v>
      </c>
      <c r="J3673" s="124">
        <f t="shared" si="57"/>
        <v>0.47220138888888902</v>
      </c>
      <c r="K3673" s="98" t="s">
        <v>8597</v>
      </c>
    </row>
    <row r="3674" spans="1:11" ht="15" customHeight="1" x14ac:dyDescent="0.2">
      <c r="A3674" s="120" t="s">
        <v>8598</v>
      </c>
      <c r="B3674" s="120" t="s">
        <v>3907</v>
      </c>
      <c r="C3674" s="98" t="s">
        <v>3533</v>
      </c>
      <c r="D3674" s="120" t="s">
        <v>3534</v>
      </c>
      <c r="E3674" s="98">
        <v>1.39</v>
      </c>
      <c r="F3674" s="120">
        <v>0</v>
      </c>
      <c r="G3674" s="121">
        <v>0</v>
      </c>
      <c r="H3674" s="123">
        <v>0</v>
      </c>
      <c r="I3674" s="122">
        <v>0</v>
      </c>
      <c r="J3674" s="124">
        <f t="shared" si="57"/>
        <v>1.39</v>
      </c>
      <c r="K3674" s="98" t="s">
        <v>8599</v>
      </c>
    </row>
    <row r="3675" spans="1:11" ht="15" customHeight="1" x14ac:dyDescent="0.2">
      <c r="A3675" s="120" t="s">
        <v>8600</v>
      </c>
      <c r="B3675" s="120" t="s">
        <v>3625</v>
      </c>
      <c r="C3675" s="98" t="s">
        <v>3533</v>
      </c>
      <c r="D3675" s="120" t="s">
        <v>3534</v>
      </c>
      <c r="E3675" s="98">
        <v>0.20529986439842202</v>
      </c>
      <c r="F3675" s="120">
        <v>0</v>
      </c>
      <c r="G3675" s="121">
        <v>32448</v>
      </c>
      <c r="H3675" s="123">
        <v>0.20530000000000001</v>
      </c>
      <c r="I3675" s="122">
        <v>6661.5744000000004</v>
      </c>
      <c r="J3675" s="124">
        <f t="shared" si="57"/>
        <v>0.20529986439842202</v>
      </c>
      <c r="K3675" s="98" t="s">
        <v>8601</v>
      </c>
    </row>
    <row r="3676" spans="1:11" ht="15" customHeight="1" x14ac:dyDescent="0.2">
      <c r="A3676" s="120" t="s">
        <v>8602</v>
      </c>
      <c r="B3676" s="120" t="s">
        <v>3629</v>
      </c>
      <c r="C3676" s="98" t="s">
        <v>3533</v>
      </c>
      <c r="D3676" s="120" t="s">
        <v>3534</v>
      </c>
      <c r="E3676" s="98">
        <v>0</v>
      </c>
      <c r="F3676" s="120">
        <v>0</v>
      </c>
      <c r="G3676" s="121">
        <v>0</v>
      </c>
      <c r="H3676" s="123">
        <v>0</v>
      </c>
      <c r="I3676" s="122">
        <v>0</v>
      </c>
      <c r="J3676" s="124">
        <f t="shared" si="57"/>
        <v>0</v>
      </c>
      <c r="K3676" s="98" t="s">
        <v>7102</v>
      </c>
    </row>
    <row r="3677" spans="1:11" ht="15" customHeight="1" x14ac:dyDescent="0.2">
      <c r="A3677" s="120" t="s">
        <v>8603</v>
      </c>
      <c r="B3677" s="120" t="s">
        <v>3625</v>
      </c>
      <c r="C3677" s="98" t="s">
        <v>3533</v>
      </c>
      <c r="D3677" s="120" t="s">
        <v>3534</v>
      </c>
      <c r="E3677" s="98">
        <v>0</v>
      </c>
      <c r="F3677" s="120">
        <v>0</v>
      </c>
      <c r="G3677" s="121">
        <v>0</v>
      </c>
      <c r="H3677" s="123">
        <v>0</v>
      </c>
      <c r="I3677" s="122">
        <v>0</v>
      </c>
      <c r="J3677" s="124">
        <f t="shared" si="57"/>
        <v>0</v>
      </c>
      <c r="K3677" s="98" t="s">
        <v>8604</v>
      </c>
    </row>
    <row r="3678" spans="1:11" ht="15" customHeight="1" x14ac:dyDescent="0.2">
      <c r="A3678" s="120" t="s">
        <v>8605</v>
      </c>
      <c r="B3678" s="120" t="s">
        <v>5076</v>
      </c>
      <c r="C3678" s="98" t="s">
        <v>3533</v>
      </c>
      <c r="D3678" s="120" t="s">
        <v>3563</v>
      </c>
      <c r="E3678" s="98">
        <v>2.7799999999999999E-3</v>
      </c>
      <c r="F3678" s="120">
        <v>0</v>
      </c>
      <c r="G3678" s="121">
        <v>0</v>
      </c>
      <c r="H3678" s="123">
        <v>2.7799999999999999E-3</v>
      </c>
      <c r="I3678" s="122">
        <v>0</v>
      </c>
      <c r="J3678" s="124">
        <f t="shared" si="57"/>
        <v>2.78</v>
      </c>
      <c r="K3678" s="98" t="s">
        <v>8606</v>
      </c>
    </row>
    <row r="3679" spans="1:11" ht="15" customHeight="1" x14ac:dyDescent="0.2">
      <c r="A3679" s="120" t="s">
        <v>8607</v>
      </c>
      <c r="B3679" s="120" t="s">
        <v>5878</v>
      </c>
      <c r="C3679" s="98" t="s">
        <v>3533</v>
      </c>
      <c r="D3679" s="120" t="s">
        <v>3563</v>
      </c>
      <c r="E3679" s="98">
        <v>2.7452500000000001E-2</v>
      </c>
      <c r="F3679" s="120">
        <v>0</v>
      </c>
      <c r="G3679" s="121">
        <v>20000</v>
      </c>
      <c r="H3679" s="123">
        <v>2.7480000000000001E-2</v>
      </c>
      <c r="I3679" s="122">
        <v>549.6</v>
      </c>
      <c r="J3679" s="124">
        <f t="shared" si="57"/>
        <v>27.452500000000001</v>
      </c>
      <c r="K3679" s="98" t="s">
        <v>8608</v>
      </c>
    </row>
    <row r="3680" spans="1:11" ht="15" customHeight="1" x14ac:dyDescent="0.2">
      <c r="A3680" s="120" t="s">
        <v>8609</v>
      </c>
      <c r="B3680" s="120" t="s">
        <v>4720</v>
      </c>
      <c r="C3680" s="98" t="s">
        <v>3533</v>
      </c>
      <c r="D3680" s="120" t="s">
        <v>3563</v>
      </c>
      <c r="E3680" s="98">
        <v>2.0723104056437399E-2</v>
      </c>
      <c r="F3680" s="120">
        <v>0</v>
      </c>
      <c r="G3680" s="121">
        <v>914920</v>
      </c>
      <c r="H3680" s="123">
        <v>2.0722999999999998E-2</v>
      </c>
      <c r="I3680" s="122">
        <v>18959.887159999998</v>
      </c>
      <c r="J3680" s="124">
        <f t="shared" si="57"/>
        <v>20.7231040564374</v>
      </c>
      <c r="K3680" s="98" t="s">
        <v>8610</v>
      </c>
    </row>
    <row r="3681" spans="1:11" ht="15" customHeight="1" x14ac:dyDescent="0.2">
      <c r="A3681" s="120" t="s">
        <v>8611</v>
      </c>
      <c r="B3681" s="120" t="s">
        <v>5076</v>
      </c>
      <c r="C3681" s="98" t="s">
        <v>3533</v>
      </c>
      <c r="D3681" s="120" t="s">
        <v>3563</v>
      </c>
      <c r="E3681" s="98">
        <v>4.1700000000000001E-3</v>
      </c>
      <c r="F3681" s="120">
        <v>0</v>
      </c>
      <c r="G3681" s="121">
        <v>0</v>
      </c>
      <c r="H3681" s="123">
        <v>4.1700000000000001E-3</v>
      </c>
      <c r="I3681" s="122">
        <v>0</v>
      </c>
      <c r="J3681" s="124">
        <f t="shared" si="57"/>
        <v>4.17</v>
      </c>
      <c r="K3681" s="98" t="s">
        <v>8612</v>
      </c>
    </row>
    <row r="3682" spans="1:11" ht="15" customHeight="1" x14ac:dyDescent="0.2">
      <c r="A3682" s="120" t="s">
        <v>8613</v>
      </c>
      <c r="B3682" s="120" t="s">
        <v>2184</v>
      </c>
      <c r="C3682" s="98" t="s">
        <v>3533</v>
      </c>
      <c r="D3682" s="120" t="s">
        <v>3563</v>
      </c>
      <c r="E3682" s="98">
        <v>3.5000000000000003E-2</v>
      </c>
      <c r="F3682" s="120">
        <v>0</v>
      </c>
      <c r="G3682" s="121">
        <v>25000</v>
      </c>
      <c r="H3682" s="123">
        <v>3.5000000000000003E-2</v>
      </c>
      <c r="I3682" s="122">
        <v>875.00000000000011</v>
      </c>
      <c r="J3682" s="124">
        <f t="shared" si="57"/>
        <v>35</v>
      </c>
      <c r="K3682" s="98" t="s">
        <v>2387</v>
      </c>
    </row>
    <row r="3683" spans="1:11" ht="15" customHeight="1" x14ac:dyDescent="0.2">
      <c r="A3683" s="120" t="s">
        <v>8614</v>
      </c>
      <c r="B3683" s="120" t="s">
        <v>6743</v>
      </c>
      <c r="C3683" s="98" t="s">
        <v>3533</v>
      </c>
      <c r="D3683" s="120" t="s">
        <v>3534</v>
      </c>
      <c r="E3683" s="98">
        <v>4.19E-2</v>
      </c>
      <c r="F3683" s="120">
        <v>0</v>
      </c>
      <c r="G3683" s="121">
        <v>0</v>
      </c>
      <c r="H3683" s="123">
        <v>0.41909999999999997</v>
      </c>
      <c r="I3683" s="122">
        <v>0</v>
      </c>
      <c r="J3683" s="124">
        <f t="shared" si="57"/>
        <v>4.19E-2</v>
      </c>
      <c r="K3683" s="98" t="s">
        <v>8615</v>
      </c>
    </row>
    <row r="3684" spans="1:11" ht="15" customHeight="1" x14ac:dyDescent="0.2">
      <c r="A3684" s="120" t="s">
        <v>8616</v>
      </c>
      <c r="B3684" s="120" t="s">
        <v>4688</v>
      </c>
      <c r="C3684" s="98" t="s">
        <v>3533</v>
      </c>
      <c r="D3684" s="120" t="s">
        <v>3563</v>
      </c>
      <c r="E3684" s="98">
        <v>6.4570000000000002E-2</v>
      </c>
      <c r="F3684" s="120">
        <v>0</v>
      </c>
      <c r="G3684" s="121">
        <v>15000</v>
      </c>
      <c r="H3684" s="123">
        <v>6.4570000000000002E-2</v>
      </c>
      <c r="I3684" s="122">
        <v>968.55000000000007</v>
      </c>
      <c r="J3684" s="124">
        <f t="shared" si="57"/>
        <v>64.570000000000007</v>
      </c>
      <c r="K3684" s="98" t="s">
        <v>8617</v>
      </c>
    </row>
    <row r="3685" spans="1:11" ht="15" customHeight="1" x14ac:dyDescent="0.2">
      <c r="A3685" s="120" t="s">
        <v>8618</v>
      </c>
      <c r="B3685" s="120" t="s">
        <v>2184</v>
      </c>
      <c r="C3685" s="98" t="s">
        <v>3533</v>
      </c>
      <c r="D3685" s="120" t="s">
        <v>3563</v>
      </c>
      <c r="E3685" s="98">
        <v>8.3000000000000007</v>
      </c>
      <c r="F3685" s="120">
        <v>0</v>
      </c>
      <c r="G3685" s="121">
        <v>0</v>
      </c>
      <c r="H3685" s="123">
        <v>8.3000000000000007</v>
      </c>
      <c r="I3685" s="122">
        <v>0</v>
      </c>
      <c r="J3685" s="124">
        <f t="shared" si="57"/>
        <v>8300</v>
      </c>
      <c r="K3685" s="98" t="s">
        <v>8619</v>
      </c>
    </row>
    <row r="3686" spans="1:11" ht="15" customHeight="1" x14ac:dyDescent="0.2">
      <c r="A3686" s="120" t="s">
        <v>8620</v>
      </c>
      <c r="B3686" s="120" t="s">
        <v>4688</v>
      </c>
      <c r="C3686" s="98" t="s">
        <v>3533</v>
      </c>
      <c r="D3686" s="120" t="s">
        <v>3563</v>
      </c>
      <c r="E3686" s="98">
        <v>6.0499999999999998E-2</v>
      </c>
      <c r="F3686" s="120">
        <v>0</v>
      </c>
      <c r="G3686" s="121">
        <v>0</v>
      </c>
      <c r="H3686" s="123">
        <v>6.0499999999999998E-2</v>
      </c>
      <c r="I3686" s="122">
        <v>0</v>
      </c>
      <c r="J3686" s="124">
        <f t="shared" si="57"/>
        <v>60.5</v>
      </c>
      <c r="K3686" s="98" t="s">
        <v>8621</v>
      </c>
    </row>
    <row r="3687" spans="1:11" ht="15" customHeight="1" x14ac:dyDescent="0.2">
      <c r="A3687" s="120" t="s">
        <v>8616</v>
      </c>
      <c r="B3687" s="120" t="s">
        <v>4688</v>
      </c>
      <c r="C3687" s="98" t="s">
        <v>3533</v>
      </c>
      <c r="D3687" s="120" t="s">
        <v>3563</v>
      </c>
      <c r="E3687" s="98">
        <v>6.4570000000000002E-2</v>
      </c>
      <c r="F3687" s="120">
        <v>0</v>
      </c>
      <c r="G3687" s="121">
        <v>0</v>
      </c>
      <c r="H3687" s="123">
        <v>6.4570000000000002E-2</v>
      </c>
      <c r="I3687" s="122">
        <v>0</v>
      </c>
      <c r="J3687" s="124">
        <f t="shared" si="57"/>
        <v>64.570000000000007</v>
      </c>
      <c r="K3687" s="98" t="s">
        <v>8622</v>
      </c>
    </row>
    <row r="3688" spans="1:11" ht="15" customHeight="1" x14ac:dyDescent="0.2">
      <c r="A3688" s="120" t="s">
        <v>8623</v>
      </c>
      <c r="B3688" s="120" t="s">
        <v>2254</v>
      </c>
      <c r="C3688" s="98" t="s">
        <v>3533</v>
      </c>
      <c r="D3688" s="120" t="s">
        <v>3563</v>
      </c>
      <c r="E3688" s="98">
        <v>1.6E-2</v>
      </c>
      <c r="F3688" s="120">
        <v>0</v>
      </c>
      <c r="G3688" s="121">
        <v>0</v>
      </c>
      <c r="H3688" s="123">
        <v>1.6E-2</v>
      </c>
      <c r="I3688" s="122">
        <v>0</v>
      </c>
      <c r="J3688" s="124">
        <f t="shared" si="57"/>
        <v>16</v>
      </c>
    </row>
    <row r="3689" spans="1:11" ht="15" customHeight="1" x14ac:dyDescent="0.2">
      <c r="A3689" s="120" t="s">
        <v>8624</v>
      </c>
      <c r="B3689" s="120" t="s">
        <v>5768</v>
      </c>
      <c r="C3689" s="98" t="s">
        <v>3533</v>
      </c>
      <c r="D3689" s="120" t="s">
        <v>3563</v>
      </c>
      <c r="E3689" s="98">
        <v>0.03</v>
      </c>
      <c r="F3689" s="120">
        <v>0</v>
      </c>
      <c r="G3689" s="121">
        <v>0</v>
      </c>
      <c r="H3689" s="123">
        <v>0.03</v>
      </c>
      <c r="I3689" s="122">
        <v>0</v>
      </c>
      <c r="J3689" s="124">
        <f t="shared" si="57"/>
        <v>30</v>
      </c>
    </row>
    <row r="3690" spans="1:11" ht="15" customHeight="1" x14ac:dyDescent="0.2">
      <c r="A3690" s="120" t="s">
        <v>8625</v>
      </c>
      <c r="B3690" s="120" t="s">
        <v>8626</v>
      </c>
      <c r="C3690" s="98" t="s">
        <v>3533</v>
      </c>
      <c r="D3690" s="120" t="s">
        <v>3563</v>
      </c>
      <c r="E3690" s="98">
        <v>1.6500000000000001E-2</v>
      </c>
      <c r="F3690" s="120">
        <v>0</v>
      </c>
      <c r="G3690" s="121">
        <v>20000</v>
      </c>
      <c r="H3690" s="123">
        <v>1.6500000000000001E-2</v>
      </c>
      <c r="I3690" s="122">
        <v>330</v>
      </c>
      <c r="J3690" s="124">
        <f t="shared" si="57"/>
        <v>16.5</v>
      </c>
      <c r="K3690" s="98" t="s">
        <v>2405</v>
      </c>
    </row>
    <row r="3691" spans="1:11" ht="15" customHeight="1" x14ac:dyDescent="0.2">
      <c r="A3691" s="120" t="s">
        <v>8627</v>
      </c>
      <c r="B3691" s="120" t="s">
        <v>6743</v>
      </c>
      <c r="C3691" s="98" t="s">
        <v>3533</v>
      </c>
      <c r="D3691" s="120" t="s">
        <v>3563</v>
      </c>
      <c r="E3691" s="98">
        <v>2.325E-2</v>
      </c>
      <c r="F3691" s="120">
        <v>0</v>
      </c>
      <c r="G3691" s="121">
        <v>0</v>
      </c>
      <c r="H3691" s="123">
        <v>2.325E-2</v>
      </c>
      <c r="I3691" s="122">
        <v>0</v>
      </c>
      <c r="J3691" s="124">
        <f t="shared" si="57"/>
        <v>23.25</v>
      </c>
      <c r="K3691" s="98" t="s">
        <v>8628</v>
      </c>
    </row>
    <row r="3692" spans="1:11" ht="15" customHeight="1" x14ac:dyDescent="0.2">
      <c r="A3692" s="120" t="s">
        <v>8629</v>
      </c>
      <c r="B3692" s="120" t="s">
        <v>5211</v>
      </c>
      <c r="C3692" s="98" t="s">
        <v>3533</v>
      </c>
      <c r="D3692" s="120" t="s">
        <v>3563</v>
      </c>
      <c r="E3692" s="98">
        <v>6.4000000000000001E-2</v>
      </c>
      <c r="F3692" s="120">
        <v>0</v>
      </c>
      <c r="G3692" s="121">
        <v>0</v>
      </c>
      <c r="H3692" s="123">
        <v>6.4000000000000001E-2</v>
      </c>
      <c r="I3692" s="122">
        <v>0</v>
      </c>
      <c r="J3692" s="124">
        <f t="shared" si="57"/>
        <v>64</v>
      </c>
    </row>
    <row r="3693" spans="1:11" ht="15" customHeight="1" x14ac:dyDescent="0.2">
      <c r="A3693" s="120" t="s">
        <v>8630</v>
      </c>
      <c r="B3693" s="120" t="s">
        <v>2254</v>
      </c>
      <c r="C3693" s="98" t="s">
        <v>3533</v>
      </c>
      <c r="D3693" s="120" t="s">
        <v>3563</v>
      </c>
      <c r="E3693" s="98">
        <v>4.1000000000000002E-2</v>
      </c>
      <c r="F3693" s="120">
        <v>0</v>
      </c>
      <c r="G3693" s="121">
        <v>1000</v>
      </c>
      <c r="H3693" s="123">
        <v>4.1000000000000002E-2</v>
      </c>
      <c r="I3693" s="122">
        <v>41</v>
      </c>
      <c r="J3693" s="124">
        <f t="shared" si="57"/>
        <v>41</v>
      </c>
      <c r="K3693" s="98" t="s">
        <v>5189</v>
      </c>
    </row>
    <row r="3694" spans="1:11" ht="15" customHeight="1" x14ac:dyDescent="0.2">
      <c r="A3694" s="120" t="s">
        <v>8631</v>
      </c>
      <c r="B3694" s="120" t="s">
        <v>4873</v>
      </c>
      <c r="C3694" s="98" t="s">
        <v>3533</v>
      </c>
      <c r="D3694" s="120" t="s">
        <v>3563</v>
      </c>
      <c r="E3694" s="98">
        <v>1.1520000000000001E-2</v>
      </c>
      <c r="F3694" s="120">
        <v>0</v>
      </c>
      <c r="G3694" s="121">
        <v>0</v>
      </c>
      <c r="H3694" s="123">
        <v>1.1520000000000001E-2</v>
      </c>
      <c r="I3694" s="122">
        <v>0</v>
      </c>
      <c r="J3694" s="124">
        <f t="shared" si="57"/>
        <v>11.520000000000001</v>
      </c>
    </row>
    <row r="3695" spans="1:11" ht="15" customHeight="1" x14ac:dyDescent="0.2">
      <c r="A3695" s="120" t="s">
        <v>8632</v>
      </c>
      <c r="B3695" s="120" t="s">
        <v>2254</v>
      </c>
      <c r="C3695" s="98" t="s">
        <v>3533</v>
      </c>
      <c r="D3695" s="120" t="s">
        <v>3563</v>
      </c>
      <c r="E3695" s="98">
        <v>370</v>
      </c>
      <c r="F3695" s="120">
        <v>0</v>
      </c>
      <c r="G3695" s="121">
        <v>0</v>
      </c>
      <c r="H3695" s="123">
        <v>370</v>
      </c>
      <c r="I3695" s="122">
        <v>0</v>
      </c>
      <c r="J3695" s="124">
        <f t="shared" si="57"/>
        <v>370000</v>
      </c>
    </row>
    <row r="3696" spans="1:11" ht="15" customHeight="1" x14ac:dyDescent="0.2">
      <c r="A3696" s="120" t="s">
        <v>8633</v>
      </c>
      <c r="B3696" s="120" t="s">
        <v>4720</v>
      </c>
      <c r="C3696" s="98" t="s">
        <v>3533</v>
      </c>
      <c r="D3696" s="120" t="s">
        <v>3563</v>
      </c>
      <c r="E3696" s="98">
        <v>0.05</v>
      </c>
      <c r="F3696" s="120">
        <v>0</v>
      </c>
      <c r="G3696" s="121">
        <v>0</v>
      </c>
      <c r="H3696" s="123">
        <v>0.05</v>
      </c>
      <c r="I3696" s="122">
        <v>0</v>
      </c>
      <c r="J3696" s="124">
        <f t="shared" si="57"/>
        <v>50</v>
      </c>
    </row>
    <row r="3697" spans="1:11" ht="15" customHeight="1" x14ac:dyDescent="0.2">
      <c r="A3697" s="120" t="s">
        <v>8634</v>
      </c>
      <c r="B3697" s="120" t="s">
        <v>4720</v>
      </c>
      <c r="C3697" s="98" t="s">
        <v>3533</v>
      </c>
      <c r="D3697" s="120" t="s">
        <v>3563</v>
      </c>
      <c r="E3697" s="98">
        <v>0.05</v>
      </c>
      <c r="F3697" s="120">
        <v>0</v>
      </c>
      <c r="G3697" s="121">
        <v>0</v>
      </c>
      <c r="H3697" s="123">
        <v>0.05</v>
      </c>
      <c r="I3697" s="122">
        <v>0</v>
      </c>
      <c r="J3697" s="124">
        <f t="shared" si="57"/>
        <v>50</v>
      </c>
    </row>
    <row r="3698" spans="1:11" ht="15" customHeight="1" x14ac:dyDescent="0.2">
      <c r="A3698" s="120" t="s">
        <v>8635</v>
      </c>
      <c r="B3698" s="120" t="s">
        <v>3532</v>
      </c>
      <c r="C3698" s="98" t="s">
        <v>3532</v>
      </c>
      <c r="D3698" s="120" t="s">
        <v>3563</v>
      </c>
      <c r="E3698" s="98">
        <v>0</v>
      </c>
      <c r="F3698" s="120">
        <v>0</v>
      </c>
      <c r="G3698" s="121">
        <v>0</v>
      </c>
      <c r="H3698" s="123">
        <v>0</v>
      </c>
      <c r="I3698" s="122">
        <v>0</v>
      </c>
      <c r="J3698" s="124">
        <f t="shared" si="57"/>
        <v>0</v>
      </c>
    </row>
    <row r="3699" spans="1:11" ht="15" customHeight="1" x14ac:dyDescent="0.2">
      <c r="A3699" s="120" t="s">
        <v>8636</v>
      </c>
      <c r="B3699" s="120" t="s">
        <v>4783</v>
      </c>
      <c r="C3699" s="98" t="s">
        <v>3533</v>
      </c>
      <c r="D3699" s="120" t="s">
        <v>3563</v>
      </c>
      <c r="E3699" s="98">
        <v>4.8529999999999997E-2</v>
      </c>
      <c r="F3699" s="120">
        <v>0</v>
      </c>
      <c r="G3699" s="121">
        <v>0</v>
      </c>
      <c r="H3699" s="123">
        <v>0</v>
      </c>
      <c r="I3699" s="122">
        <v>0</v>
      </c>
      <c r="J3699" s="124">
        <f t="shared" si="57"/>
        <v>48.529999999999994</v>
      </c>
      <c r="K3699" s="98" t="s">
        <v>2379</v>
      </c>
    </row>
    <row r="3700" spans="1:11" ht="15" customHeight="1" x14ac:dyDescent="0.2">
      <c r="A3700" s="120" t="s">
        <v>8637</v>
      </c>
      <c r="B3700" s="120" t="s">
        <v>7024</v>
      </c>
      <c r="C3700" s="98" t="s">
        <v>3533</v>
      </c>
      <c r="D3700" s="120" t="s">
        <v>3534</v>
      </c>
      <c r="E3700" s="98">
        <v>0.05</v>
      </c>
      <c r="F3700" s="120">
        <v>0</v>
      </c>
      <c r="G3700" s="121">
        <v>0</v>
      </c>
      <c r="H3700" s="123">
        <v>0.05</v>
      </c>
      <c r="I3700" s="122">
        <v>0</v>
      </c>
      <c r="J3700" s="124">
        <f t="shared" si="57"/>
        <v>0.05</v>
      </c>
    </row>
    <row r="3701" spans="1:11" ht="15" customHeight="1" x14ac:dyDescent="0.2">
      <c r="A3701" s="120" t="s">
        <v>8638</v>
      </c>
      <c r="B3701" s="120" t="s">
        <v>4482</v>
      </c>
      <c r="C3701" s="98" t="s">
        <v>3533</v>
      </c>
      <c r="D3701" s="120" t="s">
        <v>3534</v>
      </c>
      <c r="E3701" s="98">
        <v>109.43</v>
      </c>
      <c r="F3701" s="120">
        <v>0</v>
      </c>
      <c r="G3701" s="121">
        <v>1</v>
      </c>
      <c r="H3701" s="123">
        <v>109.43</v>
      </c>
      <c r="I3701" s="122">
        <v>109.43</v>
      </c>
      <c r="J3701" s="124">
        <f t="shared" si="57"/>
        <v>109.43</v>
      </c>
    </row>
    <row r="3702" spans="1:11" ht="15" customHeight="1" x14ac:dyDescent="0.2">
      <c r="A3702" s="120" t="s">
        <v>8639</v>
      </c>
      <c r="B3702" s="120" t="s">
        <v>4482</v>
      </c>
      <c r="C3702" s="98" t="s">
        <v>3533</v>
      </c>
      <c r="D3702" s="120" t="s">
        <v>3534</v>
      </c>
      <c r="E3702" s="98">
        <v>3.0099999999999998E-2</v>
      </c>
      <c r="F3702" s="120">
        <v>0</v>
      </c>
      <c r="G3702" s="121">
        <v>40000</v>
      </c>
      <c r="H3702" s="123">
        <v>2.9888000000000001E-2</v>
      </c>
      <c r="I3702" s="122">
        <v>1195.52</v>
      </c>
      <c r="J3702" s="124">
        <f t="shared" si="57"/>
        <v>3.0099999999999998E-2</v>
      </c>
    </row>
    <row r="3703" spans="1:11" ht="15" customHeight="1" x14ac:dyDescent="0.2">
      <c r="A3703" s="120" t="s">
        <v>8640</v>
      </c>
      <c r="B3703" s="120" t="s">
        <v>4482</v>
      </c>
      <c r="C3703" s="98" t="s">
        <v>3533</v>
      </c>
      <c r="D3703" s="120" t="s">
        <v>3534</v>
      </c>
      <c r="E3703" s="98">
        <v>41.61</v>
      </c>
      <c r="F3703" s="120">
        <v>0</v>
      </c>
      <c r="G3703" s="121">
        <v>3</v>
      </c>
      <c r="H3703" s="123">
        <v>41.61</v>
      </c>
      <c r="I3703" s="122">
        <v>124.83</v>
      </c>
      <c r="J3703" s="124">
        <f t="shared" si="57"/>
        <v>41.61</v>
      </c>
      <c r="K3703" s="98" t="s">
        <v>8641</v>
      </c>
    </row>
    <row r="3704" spans="1:11" ht="15" customHeight="1" x14ac:dyDescent="0.2">
      <c r="A3704" s="120" t="s">
        <v>8642</v>
      </c>
      <c r="B3704" s="120" t="s">
        <v>4482</v>
      </c>
      <c r="C3704" s="98" t="s">
        <v>3533</v>
      </c>
      <c r="D3704" s="120" t="s">
        <v>3534</v>
      </c>
      <c r="E3704" s="98">
        <v>45.3</v>
      </c>
      <c r="F3704" s="120">
        <v>0</v>
      </c>
      <c r="G3704" s="121">
        <v>3</v>
      </c>
      <c r="H3704" s="123">
        <v>45.3</v>
      </c>
      <c r="I3704" s="122">
        <v>135.89999999999998</v>
      </c>
      <c r="J3704" s="124">
        <f t="shared" si="57"/>
        <v>45.3</v>
      </c>
      <c r="K3704" s="98" t="s">
        <v>8643</v>
      </c>
    </row>
    <row r="3705" spans="1:11" ht="15" customHeight="1" x14ac:dyDescent="0.2">
      <c r="A3705" s="120" t="s">
        <v>8644</v>
      </c>
      <c r="B3705" s="120" t="s">
        <v>4482</v>
      </c>
      <c r="C3705" s="98" t="s">
        <v>3533</v>
      </c>
      <c r="D3705" s="120" t="s">
        <v>3534</v>
      </c>
      <c r="E3705" s="98">
        <v>70.56</v>
      </c>
      <c r="F3705" s="120">
        <v>0</v>
      </c>
      <c r="G3705" s="121">
        <v>3</v>
      </c>
      <c r="H3705" s="123">
        <v>70.56</v>
      </c>
      <c r="I3705" s="122">
        <v>211.68</v>
      </c>
      <c r="J3705" s="124">
        <f t="shared" si="57"/>
        <v>70.56</v>
      </c>
      <c r="K3705" s="98" t="s">
        <v>8641</v>
      </c>
    </row>
    <row r="3706" spans="1:11" ht="15" customHeight="1" x14ac:dyDescent="0.2">
      <c r="A3706" s="120" t="s">
        <v>8645</v>
      </c>
      <c r="B3706" s="120" t="s">
        <v>3532</v>
      </c>
      <c r="C3706" s="98" t="s">
        <v>3533</v>
      </c>
      <c r="D3706" s="120" t="s">
        <v>3534</v>
      </c>
      <c r="E3706" s="98">
        <v>0</v>
      </c>
      <c r="F3706" s="120">
        <v>0</v>
      </c>
      <c r="G3706" s="121">
        <v>0</v>
      </c>
      <c r="H3706" s="123">
        <v>0</v>
      </c>
      <c r="I3706" s="122">
        <v>0</v>
      </c>
      <c r="J3706" s="124">
        <f t="shared" si="57"/>
        <v>0</v>
      </c>
    </row>
    <row r="3707" spans="1:11" ht="15" customHeight="1" x14ac:dyDescent="0.2">
      <c r="A3707" s="120" t="s">
        <v>8646</v>
      </c>
      <c r="B3707" s="120" t="s">
        <v>3532</v>
      </c>
      <c r="C3707" s="98" t="s">
        <v>3533</v>
      </c>
      <c r="D3707" s="120" t="s">
        <v>3534</v>
      </c>
      <c r="E3707" s="98">
        <v>0</v>
      </c>
      <c r="F3707" s="120">
        <v>0</v>
      </c>
      <c r="G3707" s="121">
        <v>0</v>
      </c>
      <c r="H3707" s="123">
        <v>0</v>
      </c>
      <c r="I3707" s="122">
        <v>0</v>
      </c>
      <c r="J3707" s="124">
        <f t="shared" si="57"/>
        <v>0</v>
      </c>
    </row>
    <row r="3708" spans="1:11" ht="15" customHeight="1" x14ac:dyDescent="0.2">
      <c r="A3708" s="120" t="s">
        <v>8647</v>
      </c>
      <c r="B3708" s="120" t="s">
        <v>3532</v>
      </c>
      <c r="C3708" s="98" t="s">
        <v>3533</v>
      </c>
      <c r="D3708" s="120" t="s">
        <v>3534</v>
      </c>
      <c r="E3708" s="98">
        <v>0</v>
      </c>
      <c r="F3708" s="120">
        <v>0</v>
      </c>
      <c r="G3708" s="121">
        <v>0</v>
      </c>
      <c r="H3708" s="123">
        <v>0</v>
      </c>
      <c r="I3708" s="122">
        <v>0</v>
      </c>
      <c r="J3708" s="124">
        <f t="shared" si="57"/>
        <v>0</v>
      </c>
    </row>
    <row r="3709" spans="1:11" ht="15" customHeight="1" x14ac:dyDescent="0.2">
      <c r="A3709" s="120" t="s">
        <v>8648</v>
      </c>
      <c r="B3709" s="120" t="s">
        <v>3532</v>
      </c>
      <c r="C3709" s="98" t="s">
        <v>3533</v>
      </c>
      <c r="D3709" s="120" t="s">
        <v>3534</v>
      </c>
      <c r="E3709" s="98">
        <v>0</v>
      </c>
      <c r="F3709" s="120">
        <v>0</v>
      </c>
      <c r="G3709" s="121">
        <v>48598</v>
      </c>
      <c r="H3709" s="123">
        <v>0</v>
      </c>
      <c r="I3709" s="122">
        <v>0</v>
      </c>
      <c r="J3709" s="124">
        <f t="shared" si="57"/>
        <v>0</v>
      </c>
    </row>
    <row r="3710" spans="1:11" ht="15" customHeight="1" x14ac:dyDescent="0.2">
      <c r="A3710" s="120" t="s">
        <v>8649</v>
      </c>
      <c r="B3710" s="120" t="s">
        <v>3532</v>
      </c>
      <c r="C3710" s="98" t="s">
        <v>3533</v>
      </c>
      <c r="D3710" s="120" t="s">
        <v>3534</v>
      </c>
      <c r="E3710" s="98">
        <v>0</v>
      </c>
      <c r="F3710" s="120">
        <v>0</v>
      </c>
      <c r="G3710" s="121">
        <v>0</v>
      </c>
      <c r="H3710" s="123">
        <v>0</v>
      </c>
      <c r="I3710" s="122">
        <v>0</v>
      </c>
      <c r="J3710" s="124">
        <f t="shared" si="57"/>
        <v>0</v>
      </c>
    </row>
    <row r="3711" spans="1:11" ht="15" customHeight="1" x14ac:dyDescent="0.2">
      <c r="A3711" s="120" t="s">
        <v>8650</v>
      </c>
      <c r="B3711" s="120" t="s">
        <v>3532</v>
      </c>
      <c r="C3711" s="98" t="s">
        <v>3533</v>
      </c>
      <c r="D3711" s="120" t="s">
        <v>3534</v>
      </c>
      <c r="E3711" s="98">
        <v>0</v>
      </c>
      <c r="F3711" s="120">
        <v>0</v>
      </c>
      <c r="G3711" s="121">
        <v>0</v>
      </c>
      <c r="H3711" s="123">
        <v>0</v>
      </c>
      <c r="I3711" s="122">
        <v>0</v>
      </c>
      <c r="J3711" s="124">
        <f t="shared" si="57"/>
        <v>0</v>
      </c>
    </row>
    <row r="3712" spans="1:11" ht="15" customHeight="1" x14ac:dyDescent="0.2">
      <c r="A3712" s="120" t="s">
        <v>8651</v>
      </c>
      <c r="B3712" s="120" t="s">
        <v>3532</v>
      </c>
      <c r="C3712" s="98" t="s">
        <v>3533</v>
      </c>
      <c r="D3712" s="120" t="s">
        <v>3534</v>
      </c>
      <c r="E3712" s="98">
        <v>0</v>
      </c>
      <c r="F3712" s="120">
        <v>0</v>
      </c>
      <c r="G3712" s="121">
        <v>0</v>
      </c>
      <c r="H3712" s="123">
        <v>0</v>
      </c>
      <c r="I3712" s="122">
        <v>0</v>
      </c>
      <c r="J3712" s="124">
        <f t="shared" si="57"/>
        <v>0</v>
      </c>
    </row>
    <row r="3713" spans="1:10" ht="15" customHeight="1" x14ac:dyDescent="0.2">
      <c r="A3713" s="120" t="s">
        <v>8652</v>
      </c>
      <c r="B3713" s="120" t="s">
        <v>3532</v>
      </c>
      <c r="C3713" s="98" t="s">
        <v>3533</v>
      </c>
      <c r="D3713" s="120" t="s">
        <v>3534</v>
      </c>
      <c r="E3713" s="98">
        <v>0</v>
      </c>
      <c r="F3713" s="120">
        <v>0</v>
      </c>
      <c r="G3713" s="121">
        <v>2830</v>
      </c>
      <c r="H3713" s="123">
        <v>0</v>
      </c>
      <c r="I3713" s="122">
        <v>0</v>
      </c>
      <c r="J3713" s="124">
        <f t="shared" si="57"/>
        <v>0</v>
      </c>
    </row>
    <row r="3714" spans="1:10" ht="15" customHeight="1" x14ac:dyDescent="0.2">
      <c r="A3714" s="120" t="s">
        <v>8653</v>
      </c>
      <c r="B3714" s="120" t="s">
        <v>3532</v>
      </c>
      <c r="C3714" s="98" t="s">
        <v>3533</v>
      </c>
      <c r="D3714" s="120" t="s">
        <v>3534</v>
      </c>
      <c r="E3714" s="98">
        <v>0</v>
      </c>
      <c r="F3714" s="120">
        <v>0</v>
      </c>
      <c r="G3714" s="121">
        <v>0</v>
      </c>
      <c r="H3714" s="123">
        <v>0</v>
      </c>
      <c r="I3714" s="122">
        <v>0</v>
      </c>
      <c r="J3714" s="124">
        <f t="shared" ref="J3714:J3775" si="58">IF(D3714="gm", E3714*1000,+E3714)</f>
        <v>0</v>
      </c>
    </row>
    <row r="3715" spans="1:10" ht="15" customHeight="1" x14ac:dyDescent="0.2">
      <c r="A3715" s="120" t="s">
        <v>8654</v>
      </c>
      <c r="B3715" s="120" t="s">
        <v>3532</v>
      </c>
      <c r="C3715" s="98" t="s">
        <v>3533</v>
      </c>
      <c r="D3715" s="120" t="s">
        <v>3534</v>
      </c>
      <c r="E3715" s="98">
        <v>0</v>
      </c>
      <c r="F3715" s="120">
        <v>0</v>
      </c>
      <c r="G3715" s="121">
        <v>0</v>
      </c>
      <c r="H3715" s="123">
        <v>0</v>
      </c>
      <c r="I3715" s="122">
        <v>0</v>
      </c>
      <c r="J3715" s="124">
        <f t="shared" si="58"/>
        <v>0</v>
      </c>
    </row>
    <row r="3716" spans="1:10" ht="15" customHeight="1" x14ac:dyDescent="0.2">
      <c r="A3716" s="120" t="s">
        <v>8655</v>
      </c>
      <c r="B3716" s="120" t="s">
        <v>3532</v>
      </c>
      <c r="C3716" s="98" t="s">
        <v>3533</v>
      </c>
      <c r="D3716" s="120" t="s">
        <v>3534</v>
      </c>
      <c r="E3716" s="98">
        <v>0</v>
      </c>
      <c r="F3716" s="120">
        <v>0</v>
      </c>
      <c r="G3716" s="121">
        <v>0</v>
      </c>
      <c r="H3716" s="123">
        <v>0</v>
      </c>
      <c r="I3716" s="122">
        <v>0</v>
      </c>
      <c r="J3716" s="124">
        <f t="shared" si="58"/>
        <v>0</v>
      </c>
    </row>
    <row r="3717" spans="1:10" ht="15" customHeight="1" x14ac:dyDescent="0.2">
      <c r="A3717" s="120" t="s">
        <v>8656</v>
      </c>
      <c r="B3717" s="120" t="s">
        <v>3532</v>
      </c>
      <c r="C3717" s="98" t="s">
        <v>3533</v>
      </c>
      <c r="D3717" s="120" t="s">
        <v>3534</v>
      </c>
      <c r="E3717" s="98">
        <v>0</v>
      </c>
      <c r="F3717" s="120">
        <v>0</v>
      </c>
      <c r="G3717" s="121">
        <v>0</v>
      </c>
      <c r="H3717" s="123">
        <v>0</v>
      </c>
      <c r="I3717" s="122">
        <v>0</v>
      </c>
      <c r="J3717" s="124">
        <f t="shared" si="58"/>
        <v>0</v>
      </c>
    </row>
    <row r="3718" spans="1:10" ht="15" customHeight="1" x14ac:dyDescent="0.2">
      <c r="A3718" s="120" t="s">
        <v>8657</v>
      </c>
      <c r="B3718" s="120" t="s">
        <v>3532</v>
      </c>
      <c r="C3718" s="98" t="s">
        <v>3533</v>
      </c>
      <c r="D3718" s="120" t="s">
        <v>3534</v>
      </c>
      <c r="E3718" s="98">
        <v>0</v>
      </c>
      <c r="F3718" s="120">
        <v>0</v>
      </c>
      <c r="G3718" s="121">
        <v>0</v>
      </c>
      <c r="H3718" s="123">
        <v>0</v>
      </c>
      <c r="I3718" s="122">
        <v>0</v>
      </c>
      <c r="J3718" s="124">
        <f t="shared" si="58"/>
        <v>0</v>
      </c>
    </row>
    <row r="3719" spans="1:10" ht="15" customHeight="1" x14ac:dyDescent="0.2">
      <c r="A3719" s="120" t="s">
        <v>8658</v>
      </c>
      <c r="B3719" s="120" t="s">
        <v>3532</v>
      </c>
      <c r="C3719" s="98" t="s">
        <v>3533</v>
      </c>
      <c r="D3719" s="120" t="s">
        <v>3534</v>
      </c>
      <c r="E3719" s="98">
        <v>0</v>
      </c>
      <c r="F3719" s="120">
        <v>0</v>
      </c>
      <c r="G3719" s="121">
        <v>0</v>
      </c>
      <c r="H3719" s="123">
        <v>0</v>
      </c>
      <c r="I3719" s="122">
        <v>0</v>
      </c>
      <c r="J3719" s="124">
        <f t="shared" si="58"/>
        <v>0</v>
      </c>
    </row>
    <row r="3720" spans="1:10" ht="15" customHeight="1" x14ac:dyDescent="0.2">
      <c r="A3720" s="120" t="s">
        <v>8659</v>
      </c>
      <c r="B3720" s="120" t="s">
        <v>3532</v>
      </c>
      <c r="C3720" s="98" t="s">
        <v>3533</v>
      </c>
      <c r="D3720" s="120" t="s">
        <v>3534</v>
      </c>
      <c r="E3720" s="98">
        <v>0</v>
      </c>
      <c r="F3720" s="120">
        <v>0</v>
      </c>
      <c r="G3720" s="121">
        <v>0</v>
      </c>
      <c r="H3720" s="123">
        <v>0</v>
      </c>
      <c r="I3720" s="122">
        <v>0</v>
      </c>
      <c r="J3720" s="124">
        <f t="shared" si="58"/>
        <v>0</v>
      </c>
    </row>
    <row r="3721" spans="1:10" ht="15" customHeight="1" x14ac:dyDescent="0.2">
      <c r="A3721" s="120" t="s">
        <v>8660</v>
      </c>
      <c r="B3721" s="120" t="s">
        <v>3532</v>
      </c>
      <c r="C3721" s="98" t="s">
        <v>3533</v>
      </c>
      <c r="D3721" s="120" t="s">
        <v>3534</v>
      </c>
      <c r="E3721" s="98">
        <v>0.14799999999999999</v>
      </c>
      <c r="F3721" s="120">
        <v>0</v>
      </c>
      <c r="G3721" s="121">
        <v>11120</v>
      </c>
      <c r="H3721" s="123">
        <v>0.14799999999999999</v>
      </c>
      <c r="I3721" s="122">
        <v>1645.76</v>
      </c>
      <c r="J3721" s="124">
        <f t="shared" si="58"/>
        <v>0.14799999999999999</v>
      </c>
    </row>
    <row r="3722" spans="1:10" ht="15" customHeight="1" x14ac:dyDescent="0.2">
      <c r="A3722" s="120" t="s">
        <v>7938</v>
      </c>
      <c r="B3722" s="120" t="s">
        <v>3532</v>
      </c>
      <c r="C3722" s="98" t="s">
        <v>3532</v>
      </c>
      <c r="D3722" s="120" t="s">
        <v>3534</v>
      </c>
      <c r="E3722" s="98">
        <v>0</v>
      </c>
      <c r="F3722" s="120">
        <v>0</v>
      </c>
      <c r="G3722" s="121">
        <v>1082</v>
      </c>
      <c r="H3722" s="123">
        <v>0</v>
      </c>
      <c r="I3722" s="122">
        <v>0</v>
      </c>
      <c r="J3722" s="124">
        <f t="shared" si="58"/>
        <v>0</v>
      </c>
    </row>
    <row r="3723" spans="1:10" ht="15" customHeight="1" x14ac:dyDescent="0.2">
      <c r="A3723" s="120" t="s">
        <v>8661</v>
      </c>
      <c r="B3723" s="120" t="s">
        <v>3532</v>
      </c>
      <c r="C3723" s="98" t="s">
        <v>3533</v>
      </c>
      <c r="D3723" s="120" t="s">
        <v>3534</v>
      </c>
      <c r="E3723" s="98">
        <v>0</v>
      </c>
      <c r="F3723" s="120">
        <v>0</v>
      </c>
      <c r="G3723" s="121">
        <v>5166</v>
      </c>
      <c r="H3723" s="123">
        <v>0</v>
      </c>
      <c r="I3723" s="122">
        <v>0</v>
      </c>
      <c r="J3723" s="124">
        <f t="shared" si="58"/>
        <v>0</v>
      </c>
    </row>
    <row r="3724" spans="1:10" ht="15" customHeight="1" x14ac:dyDescent="0.2">
      <c r="A3724" s="120" t="s">
        <v>8662</v>
      </c>
      <c r="B3724" s="120" t="s">
        <v>3532</v>
      </c>
      <c r="C3724" s="98" t="s">
        <v>3533</v>
      </c>
      <c r="D3724" s="120" t="s">
        <v>3563</v>
      </c>
      <c r="E3724" s="98">
        <v>0</v>
      </c>
      <c r="F3724" s="120">
        <v>0</v>
      </c>
      <c r="G3724" s="121">
        <v>0</v>
      </c>
      <c r="H3724" s="123">
        <v>0</v>
      </c>
      <c r="I3724" s="122">
        <v>0</v>
      </c>
      <c r="J3724" s="124">
        <f t="shared" si="58"/>
        <v>0</v>
      </c>
    </row>
    <row r="3725" spans="1:10" ht="15" customHeight="1" x14ac:dyDescent="0.2">
      <c r="A3725" s="120" t="s">
        <v>8663</v>
      </c>
      <c r="B3725" s="120" t="s">
        <v>3532</v>
      </c>
      <c r="C3725" s="98" t="s">
        <v>3533</v>
      </c>
      <c r="D3725" s="120" t="s">
        <v>3563</v>
      </c>
      <c r="E3725" s="98">
        <v>0</v>
      </c>
      <c r="F3725" s="120">
        <v>0</v>
      </c>
      <c r="G3725" s="121">
        <v>0</v>
      </c>
      <c r="H3725" s="123">
        <v>0</v>
      </c>
      <c r="I3725" s="122">
        <v>0</v>
      </c>
      <c r="J3725" s="124">
        <f t="shared" si="58"/>
        <v>0</v>
      </c>
    </row>
    <row r="3726" spans="1:10" ht="15" customHeight="1" x14ac:dyDescent="0.2">
      <c r="A3726" s="120" t="s">
        <v>8664</v>
      </c>
      <c r="B3726" s="120" t="s">
        <v>3532</v>
      </c>
      <c r="C3726" s="98" t="s">
        <v>3533</v>
      </c>
      <c r="D3726" s="120" t="s">
        <v>3563</v>
      </c>
      <c r="E3726" s="98">
        <v>0</v>
      </c>
      <c r="F3726" s="120">
        <v>0</v>
      </c>
      <c r="G3726" s="121">
        <v>0</v>
      </c>
      <c r="H3726" s="123">
        <v>0</v>
      </c>
      <c r="I3726" s="122">
        <v>0</v>
      </c>
      <c r="J3726" s="124">
        <f t="shared" si="58"/>
        <v>0</v>
      </c>
    </row>
    <row r="3727" spans="1:10" ht="15" customHeight="1" x14ac:dyDescent="0.2">
      <c r="A3727" s="120" t="s">
        <v>8665</v>
      </c>
      <c r="B3727" s="120" t="s">
        <v>3532</v>
      </c>
      <c r="C3727" s="98" t="s">
        <v>3533</v>
      </c>
      <c r="D3727" s="120" t="s">
        <v>3563</v>
      </c>
      <c r="E3727" s="98">
        <v>0</v>
      </c>
      <c r="F3727" s="120">
        <v>0</v>
      </c>
      <c r="G3727" s="121">
        <v>0</v>
      </c>
      <c r="H3727" s="123">
        <v>0</v>
      </c>
      <c r="I3727" s="122">
        <v>0</v>
      </c>
      <c r="J3727" s="124">
        <f t="shared" si="58"/>
        <v>0</v>
      </c>
    </row>
    <row r="3728" spans="1:10" ht="15" customHeight="1" x14ac:dyDescent="0.2">
      <c r="A3728" s="120" t="s">
        <v>5573</v>
      </c>
      <c r="B3728" s="120" t="s">
        <v>3532</v>
      </c>
      <c r="C3728" s="98" t="s">
        <v>3533</v>
      </c>
      <c r="D3728" s="120" t="s">
        <v>3563</v>
      </c>
      <c r="E3728" s="98">
        <v>0</v>
      </c>
      <c r="F3728" s="120">
        <v>0</v>
      </c>
      <c r="G3728" s="121">
        <v>0</v>
      </c>
      <c r="H3728" s="123">
        <v>0</v>
      </c>
      <c r="I3728" s="122">
        <v>0</v>
      </c>
      <c r="J3728" s="124">
        <f t="shared" si="58"/>
        <v>0</v>
      </c>
    </row>
    <row r="3729" spans="1:10" ht="15" customHeight="1" x14ac:dyDescent="0.2">
      <c r="A3729" s="120" t="s">
        <v>2266</v>
      </c>
      <c r="B3729" s="120" t="s">
        <v>3532</v>
      </c>
      <c r="C3729" s="98" t="s">
        <v>3533</v>
      </c>
      <c r="D3729" s="120" t="s">
        <v>3563</v>
      </c>
      <c r="E3729" s="98">
        <v>0</v>
      </c>
      <c r="F3729" s="120">
        <v>0</v>
      </c>
      <c r="G3729" s="121">
        <v>0</v>
      </c>
      <c r="H3729" s="123">
        <v>0</v>
      </c>
      <c r="I3729" s="122">
        <v>0</v>
      </c>
      <c r="J3729" s="124">
        <f t="shared" si="58"/>
        <v>0</v>
      </c>
    </row>
    <row r="3730" spans="1:10" ht="15" customHeight="1" x14ac:dyDescent="0.2">
      <c r="A3730" s="120" t="s">
        <v>5570</v>
      </c>
      <c r="B3730" s="120" t="s">
        <v>3532</v>
      </c>
      <c r="C3730" s="98" t="s">
        <v>3533</v>
      </c>
      <c r="D3730" s="120" t="s">
        <v>3563</v>
      </c>
      <c r="E3730" s="98">
        <v>0</v>
      </c>
      <c r="F3730" s="120">
        <v>0</v>
      </c>
      <c r="G3730" s="121">
        <v>0</v>
      </c>
      <c r="H3730" s="123">
        <v>0</v>
      </c>
      <c r="I3730" s="122">
        <v>0</v>
      </c>
      <c r="J3730" s="124">
        <f t="shared" si="58"/>
        <v>0</v>
      </c>
    </row>
    <row r="3731" spans="1:10" ht="15" customHeight="1" x14ac:dyDescent="0.2">
      <c r="A3731" s="120" t="s">
        <v>8666</v>
      </c>
      <c r="B3731" s="120" t="s">
        <v>3532</v>
      </c>
      <c r="C3731" s="98" t="s">
        <v>3533</v>
      </c>
      <c r="D3731" s="120" t="s">
        <v>3563</v>
      </c>
      <c r="E3731" s="98">
        <v>0</v>
      </c>
      <c r="F3731" s="120">
        <v>0</v>
      </c>
      <c r="G3731" s="121">
        <v>50000</v>
      </c>
      <c r="H3731" s="123">
        <v>0</v>
      </c>
      <c r="I3731" s="122">
        <v>0</v>
      </c>
      <c r="J3731" s="124">
        <f t="shared" si="58"/>
        <v>0</v>
      </c>
    </row>
    <row r="3732" spans="1:10" ht="15" customHeight="1" x14ac:dyDescent="0.2">
      <c r="A3732" s="120" t="s">
        <v>8667</v>
      </c>
      <c r="B3732" s="120" t="s">
        <v>3532</v>
      </c>
      <c r="C3732" s="98" t="s">
        <v>3533</v>
      </c>
      <c r="D3732" s="120" t="s">
        <v>3563</v>
      </c>
      <c r="E3732" s="98">
        <v>0</v>
      </c>
      <c r="F3732" s="120">
        <v>0</v>
      </c>
      <c r="G3732" s="121">
        <v>0</v>
      </c>
      <c r="H3732" s="123">
        <v>0</v>
      </c>
      <c r="I3732" s="122">
        <v>0</v>
      </c>
      <c r="J3732" s="124">
        <f t="shared" si="58"/>
        <v>0</v>
      </c>
    </row>
    <row r="3733" spans="1:10" ht="15" customHeight="1" x14ac:dyDescent="0.2">
      <c r="A3733" s="120" t="s">
        <v>8668</v>
      </c>
      <c r="B3733" s="120" t="s">
        <v>3532</v>
      </c>
      <c r="C3733" s="98" t="s">
        <v>3533</v>
      </c>
      <c r="D3733" s="120" t="s">
        <v>3563</v>
      </c>
      <c r="E3733" s="98">
        <v>0</v>
      </c>
      <c r="F3733" s="120">
        <v>0</v>
      </c>
      <c r="G3733" s="121">
        <v>25000</v>
      </c>
      <c r="H3733" s="123">
        <v>0</v>
      </c>
      <c r="I3733" s="122">
        <v>0</v>
      </c>
      <c r="J3733" s="124">
        <f t="shared" si="58"/>
        <v>0</v>
      </c>
    </row>
    <row r="3734" spans="1:10" ht="15" customHeight="1" x14ac:dyDescent="0.2">
      <c r="A3734" s="120" t="s">
        <v>8669</v>
      </c>
      <c r="B3734" s="120" t="s">
        <v>3532</v>
      </c>
      <c r="C3734" s="98" t="s">
        <v>3533</v>
      </c>
      <c r="D3734" s="120" t="s">
        <v>3534</v>
      </c>
      <c r="E3734" s="98">
        <v>0</v>
      </c>
      <c r="F3734" s="120">
        <v>0</v>
      </c>
      <c r="G3734" s="121">
        <v>0</v>
      </c>
      <c r="H3734" s="123">
        <v>0</v>
      </c>
      <c r="I3734" s="122">
        <v>0</v>
      </c>
      <c r="J3734" s="124">
        <f t="shared" si="58"/>
        <v>0</v>
      </c>
    </row>
    <row r="3735" spans="1:10" ht="15" customHeight="1" x14ac:dyDescent="0.2">
      <c r="A3735" s="120" t="s">
        <v>8670</v>
      </c>
      <c r="B3735" s="120" t="s">
        <v>3532</v>
      </c>
      <c r="C3735" s="98" t="s">
        <v>3533</v>
      </c>
      <c r="D3735" s="120" t="s">
        <v>3534</v>
      </c>
      <c r="E3735" s="98">
        <v>0</v>
      </c>
      <c r="F3735" s="120">
        <v>0</v>
      </c>
      <c r="G3735" s="121">
        <v>0</v>
      </c>
      <c r="H3735" s="123">
        <v>0</v>
      </c>
      <c r="I3735" s="122">
        <v>0</v>
      </c>
      <c r="J3735" s="124">
        <f t="shared" si="58"/>
        <v>0</v>
      </c>
    </row>
    <row r="3736" spans="1:10" ht="15" customHeight="1" x14ac:dyDescent="0.2">
      <c r="A3736" s="120" t="s">
        <v>8671</v>
      </c>
      <c r="B3736" s="120" t="s">
        <v>3532</v>
      </c>
      <c r="C3736" s="98" t="s">
        <v>3533</v>
      </c>
      <c r="D3736" s="120" t="s">
        <v>3563</v>
      </c>
      <c r="E3736" s="98">
        <v>0</v>
      </c>
      <c r="F3736" s="120">
        <v>0</v>
      </c>
      <c r="G3736" s="121">
        <v>100000</v>
      </c>
      <c r="H3736" s="123">
        <v>0</v>
      </c>
      <c r="I3736" s="122">
        <v>0</v>
      </c>
      <c r="J3736" s="124">
        <f t="shared" si="58"/>
        <v>0</v>
      </c>
    </row>
    <row r="3737" spans="1:10" ht="15" customHeight="1" x14ac:dyDescent="0.2">
      <c r="A3737" s="120" t="s">
        <v>8672</v>
      </c>
      <c r="B3737" s="120" t="s">
        <v>3532</v>
      </c>
      <c r="C3737" s="98" t="s">
        <v>3533</v>
      </c>
      <c r="D3737" s="120" t="s">
        <v>3563</v>
      </c>
      <c r="E3737" s="98">
        <v>0</v>
      </c>
      <c r="F3737" s="120">
        <v>0</v>
      </c>
      <c r="G3737" s="121">
        <v>0</v>
      </c>
      <c r="H3737" s="123">
        <v>0</v>
      </c>
      <c r="I3737" s="122">
        <v>0</v>
      </c>
      <c r="J3737" s="124">
        <f t="shared" si="58"/>
        <v>0</v>
      </c>
    </row>
    <row r="3738" spans="1:10" ht="15" customHeight="1" x14ac:dyDescent="0.2">
      <c r="A3738" s="120" t="s">
        <v>8673</v>
      </c>
      <c r="B3738" s="120" t="s">
        <v>3532</v>
      </c>
      <c r="C3738" s="98" t="s">
        <v>3533</v>
      </c>
      <c r="D3738" s="120" t="s">
        <v>3534</v>
      </c>
      <c r="E3738" s="98">
        <v>0</v>
      </c>
      <c r="F3738" s="120">
        <v>0</v>
      </c>
      <c r="G3738" s="121">
        <v>0</v>
      </c>
      <c r="H3738" s="123">
        <v>0</v>
      </c>
      <c r="I3738" s="122">
        <v>0</v>
      </c>
      <c r="J3738" s="124">
        <f t="shared" si="58"/>
        <v>0</v>
      </c>
    </row>
    <row r="3739" spans="1:10" ht="15" customHeight="1" x14ac:dyDescent="0.2">
      <c r="A3739" s="120" t="s">
        <v>8674</v>
      </c>
      <c r="B3739" s="120" t="s">
        <v>3532</v>
      </c>
      <c r="C3739" s="98" t="s">
        <v>3533</v>
      </c>
      <c r="D3739" s="120" t="s">
        <v>3534</v>
      </c>
      <c r="E3739" s="98">
        <v>0</v>
      </c>
      <c r="F3739" s="120">
        <v>0</v>
      </c>
      <c r="G3739" s="121">
        <v>0</v>
      </c>
      <c r="H3739" s="123">
        <v>0</v>
      </c>
      <c r="I3739" s="122">
        <v>0</v>
      </c>
      <c r="J3739" s="124">
        <f t="shared" si="58"/>
        <v>0</v>
      </c>
    </row>
    <row r="3740" spans="1:10" ht="15" customHeight="1" x14ac:dyDescent="0.2">
      <c r="A3740" s="120" t="s">
        <v>8675</v>
      </c>
      <c r="B3740" s="120" t="s">
        <v>3532</v>
      </c>
      <c r="C3740" s="98" t="s">
        <v>3533</v>
      </c>
      <c r="D3740" s="120" t="s">
        <v>3534</v>
      </c>
      <c r="E3740" s="98">
        <v>0</v>
      </c>
      <c r="F3740" s="120">
        <v>0</v>
      </c>
      <c r="G3740" s="121">
        <v>0</v>
      </c>
      <c r="H3740" s="123">
        <v>0</v>
      </c>
      <c r="I3740" s="122">
        <v>0</v>
      </c>
      <c r="J3740" s="124">
        <f t="shared" si="58"/>
        <v>0</v>
      </c>
    </row>
    <row r="3741" spans="1:10" ht="15" customHeight="1" x14ac:dyDescent="0.2">
      <c r="A3741" s="120" t="s">
        <v>8676</v>
      </c>
      <c r="B3741" s="120" t="s">
        <v>3532</v>
      </c>
      <c r="C3741" s="98" t="s">
        <v>3533</v>
      </c>
      <c r="D3741" s="120" t="s">
        <v>3534</v>
      </c>
      <c r="E3741" s="98">
        <v>0</v>
      </c>
      <c r="F3741" s="120">
        <v>0</v>
      </c>
      <c r="G3741" s="121">
        <v>21672</v>
      </c>
      <c r="H3741" s="123">
        <v>0</v>
      </c>
      <c r="I3741" s="122">
        <v>0</v>
      </c>
      <c r="J3741" s="124">
        <f t="shared" si="58"/>
        <v>0</v>
      </c>
    </row>
    <row r="3742" spans="1:10" ht="15" customHeight="1" x14ac:dyDescent="0.2">
      <c r="A3742" s="120" t="s">
        <v>8677</v>
      </c>
      <c r="B3742" s="120" t="s">
        <v>3532</v>
      </c>
      <c r="C3742" s="98" t="s">
        <v>3533</v>
      </c>
      <c r="D3742" s="120" t="s">
        <v>3534</v>
      </c>
      <c r="E3742" s="98">
        <v>0</v>
      </c>
      <c r="F3742" s="120">
        <v>0</v>
      </c>
      <c r="G3742" s="121">
        <v>9682</v>
      </c>
      <c r="H3742" s="123">
        <v>0</v>
      </c>
      <c r="I3742" s="122">
        <v>0</v>
      </c>
      <c r="J3742" s="124">
        <f t="shared" si="58"/>
        <v>0</v>
      </c>
    </row>
    <row r="3743" spans="1:10" ht="15" customHeight="1" x14ac:dyDescent="0.2">
      <c r="A3743" s="120" t="s">
        <v>8678</v>
      </c>
      <c r="B3743" s="120" t="s">
        <v>3532</v>
      </c>
      <c r="C3743" s="98" t="s">
        <v>3533</v>
      </c>
      <c r="D3743" s="120" t="s">
        <v>3534</v>
      </c>
      <c r="E3743" s="98">
        <v>0</v>
      </c>
      <c r="F3743" s="120">
        <v>0</v>
      </c>
      <c r="G3743" s="121">
        <v>0</v>
      </c>
      <c r="H3743" s="123">
        <v>0</v>
      </c>
      <c r="I3743" s="122">
        <v>0</v>
      </c>
      <c r="J3743" s="124">
        <f t="shared" si="58"/>
        <v>0</v>
      </c>
    </row>
    <row r="3744" spans="1:10" ht="15" customHeight="1" x14ac:dyDescent="0.2">
      <c r="A3744" s="120" t="s">
        <v>8679</v>
      </c>
      <c r="B3744" s="120" t="s">
        <v>3532</v>
      </c>
      <c r="C3744" s="98" t="s">
        <v>3533</v>
      </c>
      <c r="D3744" s="120" t="s">
        <v>3534</v>
      </c>
      <c r="E3744" s="98">
        <v>0</v>
      </c>
      <c r="F3744" s="120">
        <v>0</v>
      </c>
      <c r="G3744" s="121">
        <v>0</v>
      </c>
      <c r="H3744" s="123">
        <v>0</v>
      </c>
      <c r="I3744" s="122">
        <v>0</v>
      </c>
      <c r="J3744" s="124">
        <f t="shared" si="58"/>
        <v>0</v>
      </c>
    </row>
    <row r="3745" spans="1:10" ht="15" customHeight="1" x14ac:dyDescent="0.2">
      <c r="A3745" s="120" t="s">
        <v>8680</v>
      </c>
      <c r="B3745" s="120" t="s">
        <v>3532</v>
      </c>
      <c r="C3745" s="98" t="s">
        <v>3533</v>
      </c>
      <c r="D3745" s="120" t="s">
        <v>3534</v>
      </c>
      <c r="E3745" s="98">
        <v>0</v>
      </c>
      <c r="F3745" s="120">
        <v>0</v>
      </c>
      <c r="G3745" s="121">
        <v>0</v>
      </c>
      <c r="H3745" s="123">
        <v>0</v>
      </c>
      <c r="I3745" s="122">
        <v>0</v>
      </c>
      <c r="J3745" s="124">
        <f t="shared" si="58"/>
        <v>0</v>
      </c>
    </row>
    <row r="3746" spans="1:10" ht="15" customHeight="1" x14ac:dyDescent="0.2">
      <c r="A3746" s="120" t="s">
        <v>8681</v>
      </c>
      <c r="B3746" s="120" t="s">
        <v>3532</v>
      </c>
      <c r="C3746" s="98" t="s">
        <v>3533</v>
      </c>
      <c r="D3746" s="120" t="s">
        <v>3534</v>
      </c>
      <c r="E3746" s="98">
        <v>0</v>
      </c>
      <c r="F3746" s="120">
        <v>0</v>
      </c>
      <c r="G3746" s="121">
        <v>0</v>
      </c>
      <c r="H3746" s="123">
        <v>0</v>
      </c>
      <c r="I3746" s="122">
        <v>0</v>
      </c>
      <c r="J3746" s="124">
        <f t="shared" si="58"/>
        <v>0</v>
      </c>
    </row>
    <row r="3747" spans="1:10" ht="15" customHeight="1" x14ac:dyDescent="0.2">
      <c r="A3747" s="120" t="s">
        <v>8682</v>
      </c>
      <c r="B3747" s="120" t="s">
        <v>3532</v>
      </c>
      <c r="C3747" s="98" t="s">
        <v>3533</v>
      </c>
      <c r="D3747" s="120" t="s">
        <v>3534</v>
      </c>
      <c r="E3747" s="98">
        <v>0</v>
      </c>
      <c r="F3747" s="120">
        <v>0</v>
      </c>
      <c r="G3747" s="121">
        <v>0</v>
      </c>
      <c r="H3747" s="123">
        <v>0</v>
      </c>
      <c r="I3747" s="122">
        <v>0</v>
      </c>
      <c r="J3747" s="124">
        <f t="shared" si="58"/>
        <v>0</v>
      </c>
    </row>
    <row r="3748" spans="1:10" ht="15" customHeight="1" x14ac:dyDescent="0.2">
      <c r="A3748" s="120" t="s">
        <v>8683</v>
      </c>
      <c r="B3748" s="120" t="s">
        <v>3532</v>
      </c>
      <c r="C3748" s="98" t="s">
        <v>3533</v>
      </c>
      <c r="D3748" s="120" t="s">
        <v>3534</v>
      </c>
      <c r="E3748" s="98">
        <v>0</v>
      </c>
      <c r="F3748" s="120">
        <v>0</v>
      </c>
      <c r="G3748" s="121">
        <v>0</v>
      </c>
      <c r="H3748" s="123">
        <v>0</v>
      </c>
      <c r="I3748" s="122">
        <v>0</v>
      </c>
      <c r="J3748" s="124">
        <f t="shared" si="58"/>
        <v>0</v>
      </c>
    </row>
    <row r="3749" spans="1:10" ht="15" customHeight="1" x14ac:dyDescent="0.2">
      <c r="A3749" s="120" t="s">
        <v>8684</v>
      </c>
      <c r="B3749" s="120" t="s">
        <v>3532</v>
      </c>
      <c r="C3749" s="98" t="s">
        <v>3532</v>
      </c>
      <c r="D3749" s="120" t="s">
        <v>3534</v>
      </c>
      <c r="E3749" s="98">
        <v>0</v>
      </c>
      <c r="F3749" s="120">
        <v>0</v>
      </c>
      <c r="G3749" s="121">
        <v>0</v>
      </c>
      <c r="H3749" s="123">
        <v>0</v>
      </c>
      <c r="I3749" s="122">
        <v>0</v>
      </c>
      <c r="J3749" s="124">
        <f t="shared" si="58"/>
        <v>0</v>
      </c>
    </row>
    <row r="3750" spans="1:10" ht="15" customHeight="1" x14ac:dyDescent="0.2">
      <c r="A3750" s="120" t="s">
        <v>8685</v>
      </c>
      <c r="B3750" s="120" t="s">
        <v>3532</v>
      </c>
      <c r="C3750" s="98" t="s">
        <v>3533</v>
      </c>
      <c r="D3750" s="120" t="s">
        <v>3534</v>
      </c>
      <c r="E3750" s="98">
        <v>0</v>
      </c>
      <c r="F3750" s="120">
        <v>0</v>
      </c>
      <c r="G3750" s="121">
        <v>0</v>
      </c>
      <c r="H3750" s="123">
        <v>0</v>
      </c>
      <c r="I3750" s="122">
        <v>0</v>
      </c>
      <c r="J3750" s="124">
        <f t="shared" si="58"/>
        <v>0</v>
      </c>
    </row>
    <row r="3751" spans="1:10" ht="15" customHeight="1" x14ac:dyDescent="0.2">
      <c r="A3751" s="120" t="s">
        <v>8686</v>
      </c>
      <c r="B3751" s="120" t="s">
        <v>3532</v>
      </c>
      <c r="C3751" s="98" t="s">
        <v>3533</v>
      </c>
      <c r="D3751" s="120" t="s">
        <v>3534</v>
      </c>
      <c r="E3751" s="98">
        <v>0</v>
      </c>
      <c r="F3751" s="120">
        <v>0</v>
      </c>
      <c r="G3751" s="121">
        <v>0</v>
      </c>
      <c r="H3751" s="123">
        <v>0</v>
      </c>
      <c r="I3751" s="122">
        <v>0</v>
      </c>
      <c r="J3751" s="124">
        <f t="shared" si="58"/>
        <v>0</v>
      </c>
    </row>
    <row r="3752" spans="1:10" ht="15" customHeight="1" x14ac:dyDescent="0.2">
      <c r="A3752" s="120" t="s">
        <v>8687</v>
      </c>
      <c r="B3752" s="120" t="s">
        <v>3532</v>
      </c>
      <c r="C3752" s="98" t="s">
        <v>3532</v>
      </c>
      <c r="D3752" s="120" t="s">
        <v>3534</v>
      </c>
      <c r="E3752" s="98">
        <v>0</v>
      </c>
      <c r="F3752" s="120">
        <v>0</v>
      </c>
      <c r="G3752" s="121">
        <v>18302</v>
      </c>
      <c r="H3752" s="123">
        <v>0</v>
      </c>
      <c r="I3752" s="122">
        <v>0</v>
      </c>
      <c r="J3752" s="124">
        <f t="shared" si="58"/>
        <v>0</v>
      </c>
    </row>
    <row r="3753" spans="1:10" ht="15" customHeight="1" x14ac:dyDescent="0.2">
      <c r="A3753" s="120" t="s">
        <v>8688</v>
      </c>
      <c r="B3753" s="120" t="s">
        <v>3532</v>
      </c>
      <c r="C3753" s="98" t="s">
        <v>3532</v>
      </c>
      <c r="D3753" s="120" t="s">
        <v>3534</v>
      </c>
      <c r="E3753" s="98">
        <v>0</v>
      </c>
      <c r="F3753" s="120">
        <v>0</v>
      </c>
      <c r="G3753" s="121">
        <v>6500</v>
      </c>
      <c r="H3753" s="123">
        <v>0</v>
      </c>
      <c r="I3753" s="122">
        <v>0</v>
      </c>
      <c r="J3753" s="124">
        <f t="shared" si="58"/>
        <v>0</v>
      </c>
    </row>
    <row r="3754" spans="1:10" ht="15" customHeight="1" x14ac:dyDescent="0.2">
      <c r="A3754" s="120" t="s">
        <v>8689</v>
      </c>
      <c r="B3754" s="120" t="s">
        <v>3532</v>
      </c>
      <c r="C3754" s="98" t="s">
        <v>3532</v>
      </c>
      <c r="D3754" s="120" t="s">
        <v>3534</v>
      </c>
      <c r="E3754" s="98">
        <v>0</v>
      </c>
      <c r="F3754" s="120">
        <v>0</v>
      </c>
      <c r="G3754" s="121">
        <v>6500</v>
      </c>
      <c r="H3754" s="123">
        <v>0</v>
      </c>
      <c r="I3754" s="122">
        <v>0</v>
      </c>
      <c r="J3754" s="124">
        <f t="shared" si="58"/>
        <v>0</v>
      </c>
    </row>
    <row r="3755" spans="1:10" ht="15" customHeight="1" x14ac:dyDescent="0.2">
      <c r="A3755" s="120" t="s">
        <v>8690</v>
      </c>
      <c r="B3755" s="120" t="s">
        <v>3532</v>
      </c>
      <c r="C3755" s="98" t="s">
        <v>3533</v>
      </c>
      <c r="D3755" s="120" t="s">
        <v>3534</v>
      </c>
      <c r="E3755" s="98">
        <v>0</v>
      </c>
      <c r="F3755" s="120">
        <v>0</v>
      </c>
      <c r="G3755" s="121">
        <v>4708</v>
      </c>
      <c r="H3755" s="123">
        <v>0</v>
      </c>
      <c r="I3755" s="122">
        <v>0</v>
      </c>
      <c r="J3755" s="124">
        <f t="shared" si="58"/>
        <v>0</v>
      </c>
    </row>
    <row r="3756" spans="1:10" ht="15" customHeight="1" x14ac:dyDescent="0.2">
      <c r="A3756" s="120" t="s">
        <v>8691</v>
      </c>
      <c r="B3756" s="120" t="s">
        <v>3532</v>
      </c>
      <c r="C3756" s="98" t="s">
        <v>3532</v>
      </c>
      <c r="D3756" s="120" t="s">
        <v>3563</v>
      </c>
      <c r="E3756" s="98">
        <v>0</v>
      </c>
      <c r="F3756" s="120">
        <v>0</v>
      </c>
      <c r="G3756" s="121">
        <v>104800</v>
      </c>
      <c r="H3756" s="123">
        <v>0</v>
      </c>
      <c r="I3756" s="122">
        <v>0</v>
      </c>
      <c r="J3756" s="124">
        <f t="shared" si="58"/>
        <v>0</v>
      </c>
    </row>
    <row r="3757" spans="1:10" ht="15" customHeight="1" x14ac:dyDescent="0.2">
      <c r="A3757" s="120" t="s">
        <v>8692</v>
      </c>
      <c r="B3757" s="120" t="s">
        <v>3532</v>
      </c>
      <c r="C3757" s="98" t="s">
        <v>3533</v>
      </c>
      <c r="D3757" s="120" t="s">
        <v>3563</v>
      </c>
      <c r="E3757" s="98">
        <v>0</v>
      </c>
      <c r="F3757" s="120">
        <v>0</v>
      </c>
      <c r="G3757" s="121">
        <v>84385</v>
      </c>
      <c r="H3757" s="123">
        <v>0</v>
      </c>
      <c r="I3757" s="122">
        <v>0</v>
      </c>
      <c r="J3757" s="124">
        <f t="shared" si="58"/>
        <v>0</v>
      </c>
    </row>
    <row r="3758" spans="1:10" ht="15" customHeight="1" x14ac:dyDescent="0.2">
      <c r="A3758" s="120" t="s">
        <v>8693</v>
      </c>
      <c r="B3758" s="120" t="s">
        <v>3532</v>
      </c>
      <c r="C3758" s="98" t="s">
        <v>3532</v>
      </c>
      <c r="D3758" s="120" t="s">
        <v>3534</v>
      </c>
      <c r="E3758" s="98">
        <v>0</v>
      </c>
      <c r="F3758" s="120">
        <v>0</v>
      </c>
      <c r="G3758" s="121">
        <v>0</v>
      </c>
      <c r="H3758" s="123">
        <v>0</v>
      </c>
      <c r="I3758" s="122">
        <v>0</v>
      </c>
      <c r="J3758" s="124">
        <f t="shared" si="58"/>
        <v>0</v>
      </c>
    </row>
    <row r="3759" spans="1:10" ht="15" customHeight="1" x14ac:dyDescent="0.2">
      <c r="A3759" s="120" t="s">
        <v>8694</v>
      </c>
      <c r="B3759" s="120" t="s">
        <v>3532</v>
      </c>
      <c r="C3759" s="98" t="s">
        <v>3532</v>
      </c>
      <c r="D3759" s="120" t="s">
        <v>3534</v>
      </c>
      <c r="E3759" s="98">
        <v>0</v>
      </c>
      <c r="F3759" s="120">
        <v>0</v>
      </c>
      <c r="G3759" s="121">
        <v>0</v>
      </c>
      <c r="H3759" s="123">
        <v>0</v>
      </c>
      <c r="I3759" s="122">
        <v>0</v>
      </c>
      <c r="J3759" s="124">
        <f t="shared" si="58"/>
        <v>0</v>
      </c>
    </row>
    <row r="3760" spans="1:10" ht="15" customHeight="1" x14ac:dyDescent="0.2">
      <c r="A3760" s="120" t="s">
        <v>8695</v>
      </c>
      <c r="B3760" s="120" t="s">
        <v>3532</v>
      </c>
      <c r="C3760" s="98" t="s">
        <v>3533</v>
      </c>
      <c r="D3760" s="120" t="s">
        <v>3534</v>
      </c>
      <c r="E3760" s="98">
        <v>0</v>
      </c>
      <c r="F3760" s="120">
        <v>0</v>
      </c>
      <c r="G3760" s="121">
        <v>0</v>
      </c>
      <c r="H3760" s="123">
        <v>0</v>
      </c>
      <c r="I3760" s="122">
        <v>0</v>
      </c>
      <c r="J3760" s="124">
        <f t="shared" si="58"/>
        <v>0</v>
      </c>
    </row>
    <row r="3761" spans="1:10" ht="15" customHeight="1" x14ac:dyDescent="0.2">
      <c r="A3761" s="120" t="s">
        <v>8696</v>
      </c>
      <c r="B3761" s="120" t="s">
        <v>3532</v>
      </c>
      <c r="C3761" s="98" t="s">
        <v>3533</v>
      </c>
      <c r="D3761" s="120" t="s">
        <v>3534</v>
      </c>
      <c r="E3761" s="98">
        <v>0</v>
      </c>
      <c r="F3761" s="120">
        <v>0</v>
      </c>
      <c r="G3761" s="121">
        <v>0</v>
      </c>
      <c r="H3761" s="123">
        <v>0</v>
      </c>
      <c r="I3761" s="122">
        <v>0</v>
      </c>
      <c r="J3761" s="124">
        <f t="shared" si="58"/>
        <v>0</v>
      </c>
    </row>
    <row r="3762" spans="1:10" ht="15" customHeight="1" x14ac:dyDescent="0.2">
      <c r="A3762" s="120" t="s">
        <v>8697</v>
      </c>
      <c r="B3762" s="120" t="s">
        <v>8254</v>
      </c>
      <c r="C3762" s="98" t="s">
        <v>3533</v>
      </c>
      <c r="D3762" s="120" t="s">
        <v>3563</v>
      </c>
      <c r="E3762" s="98">
        <v>0</v>
      </c>
      <c r="F3762" s="120">
        <v>0</v>
      </c>
      <c r="G3762" s="121">
        <v>113310</v>
      </c>
      <c r="H3762" s="123">
        <v>0</v>
      </c>
      <c r="I3762" s="122">
        <v>0</v>
      </c>
      <c r="J3762" s="124">
        <f t="shared" si="58"/>
        <v>0</v>
      </c>
    </row>
    <row r="3763" spans="1:10" ht="15" customHeight="1" x14ac:dyDescent="0.2">
      <c r="A3763" s="120" t="s">
        <v>2353</v>
      </c>
      <c r="B3763" s="120" t="s">
        <v>3532</v>
      </c>
      <c r="C3763" s="98" t="s">
        <v>3533</v>
      </c>
      <c r="D3763" s="120" t="s">
        <v>3563</v>
      </c>
      <c r="E3763" s="98">
        <v>0</v>
      </c>
      <c r="F3763" s="120">
        <v>0</v>
      </c>
      <c r="G3763" s="121">
        <v>250000</v>
      </c>
      <c r="H3763" s="123">
        <v>0</v>
      </c>
      <c r="I3763" s="122">
        <v>0</v>
      </c>
      <c r="J3763" s="124">
        <f t="shared" si="58"/>
        <v>0</v>
      </c>
    </row>
    <row r="3764" spans="1:10" ht="15" customHeight="1" x14ac:dyDescent="0.2">
      <c r="A3764" s="120" t="s">
        <v>2266</v>
      </c>
      <c r="B3764" s="120" t="s">
        <v>3532</v>
      </c>
      <c r="C3764" s="98" t="s">
        <v>3533</v>
      </c>
      <c r="D3764" s="120" t="s">
        <v>3563</v>
      </c>
      <c r="E3764" s="98">
        <v>0</v>
      </c>
      <c r="F3764" s="120">
        <v>0</v>
      </c>
      <c r="G3764" s="121">
        <v>25000</v>
      </c>
      <c r="H3764" s="123">
        <v>0</v>
      </c>
      <c r="I3764" s="122">
        <v>0</v>
      </c>
      <c r="J3764" s="124">
        <f t="shared" si="58"/>
        <v>0</v>
      </c>
    </row>
    <row r="3765" spans="1:10" ht="15" customHeight="1" x14ac:dyDescent="0.2">
      <c r="A3765" s="120" t="s">
        <v>8698</v>
      </c>
      <c r="B3765" s="120" t="s">
        <v>3532</v>
      </c>
      <c r="C3765" s="98" t="s">
        <v>3533</v>
      </c>
      <c r="D3765" s="120" t="s">
        <v>3563</v>
      </c>
      <c r="E3765" s="98">
        <v>0</v>
      </c>
      <c r="F3765" s="120">
        <v>0</v>
      </c>
      <c r="G3765" s="121">
        <v>50000</v>
      </c>
      <c r="H3765" s="123">
        <v>0</v>
      </c>
      <c r="I3765" s="122">
        <v>0</v>
      </c>
      <c r="J3765" s="124">
        <f t="shared" si="58"/>
        <v>0</v>
      </c>
    </row>
    <row r="3766" spans="1:10" ht="15" customHeight="1" x14ac:dyDescent="0.2">
      <c r="A3766" s="120" t="s">
        <v>8699</v>
      </c>
      <c r="B3766" s="120" t="s">
        <v>3532</v>
      </c>
      <c r="C3766" s="98" t="s">
        <v>3532</v>
      </c>
      <c r="D3766" s="120" t="s">
        <v>3563</v>
      </c>
      <c r="E3766" s="98">
        <v>0</v>
      </c>
      <c r="F3766" s="120">
        <v>0</v>
      </c>
      <c r="G3766" s="121">
        <v>175000</v>
      </c>
      <c r="H3766" s="123">
        <v>0</v>
      </c>
      <c r="I3766" s="122">
        <v>0</v>
      </c>
      <c r="J3766" s="124">
        <f t="shared" si="58"/>
        <v>0</v>
      </c>
    </row>
    <row r="3767" spans="1:10" ht="15" customHeight="1" x14ac:dyDescent="0.2">
      <c r="A3767" s="120" t="s">
        <v>5573</v>
      </c>
      <c r="B3767" s="120" t="s">
        <v>3532</v>
      </c>
      <c r="C3767" s="98" t="s">
        <v>3533</v>
      </c>
      <c r="D3767" s="120" t="s">
        <v>3563</v>
      </c>
      <c r="E3767" s="98">
        <v>0</v>
      </c>
      <c r="F3767" s="120">
        <v>0</v>
      </c>
      <c r="G3767" s="121">
        <v>25000</v>
      </c>
      <c r="H3767" s="123">
        <v>0</v>
      </c>
      <c r="I3767" s="122">
        <v>0</v>
      </c>
      <c r="J3767" s="124">
        <f t="shared" si="58"/>
        <v>0</v>
      </c>
    </row>
    <row r="3768" spans="1:10" ht="15" customHeight="1" x14ac:dyDescent="0.2">
      <c r="A3768" s="120" t="s">
        <v>6554</v>
      </c>
      <c r="B3768" s="120" t="s">
        <v>3532</v>
      </c>
      <c r="C3768" s="98" t="s">
        <v>3533</v>
      </c>
      <c r="D3768" s="120" t="s">
        <v>3563</v>
      </c>
      <c r="E3768" s="98">
        <v>0</v>
      </c>
      <c r="F3768" s="120">
        <v>0</v>
      </c>
      <c r="G3768" s="121">
        <v>5000</v>
      </c>
      <c r="H3768" s="123">
        <v>0</v>
      </c>
      <c r="I3768" s="122">
        <v>0</v>
      </c>
      <c r="J3768" s="124">
        <f t="shared" si="58"/>
        <v>0</v>
      </c>
    </row>
    <row r="3769" spans="1:10" ht="15" customHeight="1" x14ac:dyDescent="0.2">
      <c r="A3769" s="120" t="s">
        <v>5570</v>
      </c>
      <c r="B3769" s="120" t="s">
        <v>3532</v>
      </c>
      <c r="C3769" s="98" t="s">
        <v>3533</v>
      </c>
      <c r="D3769" s="120" t="s">
        <v>3563</v>
      </c>
      <c r="E3769" s="98">
        <v>0</v>
      </c>
      <c r="F3769" s="120">
        <v>0</v>
      </c>
      <c r="G3769" s="121">
        <v>25000</v>
      </c>
      <c r="H3769" s="123">
        <v>0</v>
      </c>
      <c r="I3769" s="122">
        <v>0</v>
      </c>
      <c r="J3769" s="124">
        <f t="shared" si="58"/>
        <v>0</v>
      </c>
    </row>
    <row r="3770" spans="1:10" ht="15" customHeight="1" x14ac:dyDescent="0.2">
      <c r="A3770" s="120" t="s">
        <v>8700</v>
      </c>
      <c r="B3770" s="120" t="s">
        <v>3532</v>
      </c>
      <c r="C3770" s="98" t="s">
        <v>3533</v>
      </c>
      <c r="D3770" s="120" t="s">
        <v>3563</v>
      </c>
      <c r="E3770" s="98">
        <v>0</v>
      </c>
      <c r="F3770" s="120">
        <v>0</v>
      </c>
      <c r="G3770" s="121">
        <v>0</v>
      </c>
      <c r="H3770" s="123">
        <v>0</v>
      </c>
      <c r="I3770" s="122">
        <v>0</v>
      </c>
      <c r="J3770" s="124">
        <f t="shared" si="58"/>
        <v>0</v>
      </c>
    </row>
    <row r="3771" spans="1:10" ht="15" customHeight="1" x14ac:dyDescent="0.2">
      <c r="A3771" s="120" t="s">
        <v>8701</v>
      </c>
      <c r="B3771" s="120" t="s">
        <v>3532</v>
      </c>
      <c r="C3771" s="98" t="s">
        <v>3533</v>
      </c>
      <c r="D3771" s="120" t="s">
        <v>3563</v>
      </c>
      <c r="E3771" s="98">
        <v>0</v>
      </c>
      <c r="F3771" s="120">
        <v>0</v>
      </c>
      <c r="G3771" s="121">
        <v>200000</v>
      </c>
      <c r="H3771" s="123">
        <v>0</v>
      </c>
      <c r="I3771" s="122">
        <v>0</v>
      </c>
      <c r="J3771" s="124">
        <f t="shared" si="58"/>
        <v>0</v>
      </c>
    </row>
    <row r="3772" spans="1:10" ht="15" customHeight="1" x14ac:dyDescent="0.2">
      <c r="A3772" s="120" t="s">
        <v>8702</v>
      </c>
      <c r="B3772" s="120" t="s">
        <v>3532</v>
      </c>
      <c r="C3772" s="98" t="s">
        <v>3533</v>
      </c>
      <c r="D3772" s="120" t="s">
        <v>3563</v>
      </c>
      <c r="E3772" s="98">
        <v>0</v>
      </c>
      <c r="F3772" s="120">
        <v>0</v>
      </c>
      <c r="G3772" s="121">
        <v>800000</v>
      </c>
      <c r="H3772" s="123">
        <v>0</v>
      </c>
      <c r="I3772" s="122">
        <v>0</v>
      </c>
      <c r="J3772" s="124">
        <f t="shared" si="58"/>
        <v>0</v>
      </c>
    </row>
    <row r="3773" spans="1:10" ht="15" customHeight="1" x14ac:dyDescent="0.2">
      <c r="A3773" s="120" t="s">
        <v>8703</v>
      </c>
      <c r="B3773" s="120" t="s">
        <v>3532</v>
      </c>
      <c r="C3773" s="98" t="s">
        <v>3533</v>
      </c>
      <c r="D3773" s="120" t="s">
        <v>3534</v>
      </c>
      <c r="E3773" s="98">
        <v>0</v>
      </c>
      <c r="F3773" s="120">
        <v>0</v>
      </c>
      <c r="G3773" s="121">
        <v>125000</v>
      </c>
      <c r="H3773" s="123">
        <v>0</v>
      </c>
      <c r="I3773" s="122">
        <v>0</v>
      </c>
      <c r="J3773" s="124">
        <f t="shared" si="58"/>
        <v>0</v>
      </c>
    </row>
    <row r="3774" spans="1:10" ht="15" customHeight="1" x14ac:dyDescent="0.2">
      <c r="A3774" s="120" t="s">
        <v>8704</v>
      </c>
      <c r="B3774" s="120" t="s">
        <v>3532</v>
      </c>
      <c r="C3774" s="98" t="s">
        <v>3533</v>
      </c>
      <c r="D3774" s="120" t="s">
        <v>3534</v>
      </c>
      <c r="E3774" s="98">
        <v>0</v>
      </c>
      <c r="F3774" s="120">
        <v>0</v>
      </c>
      <c r="G3774" s="121">
        <v>0</v>
      </c>
      <c r="H3774" s="123">
        <v>0</v>
      </c>
      <c r="I3774" s="122">
        <v>0</v>
      </c>
      <c r="J3774" s="124">
        <f t="shared" si="58"/>
        <v>0</v>
      </c>
    </row>
    <row r="3775" spans="1:10" ht="15" customHeight="1" x14ac:dyDescent="0.2">
      <c r="A3775" s="120" t="s">
        <v>8705</v>
      </c>
      <c r="B3775" s="120" t="s">
        <v>3532</v>
      </c>
      <c r="C3775" s="98" t="s">
        <v>3533</v>
      </c>
      <c r="D3775" s="120" t="s">
        <v>3534</v>
      </c>
      <c r="E3775" s="98">
        <v>0</v>
      </c>
      <c r="F3775" s="120">
        <v>0</v>
      </c>
      <c r="G3775" s="121">
        <v>0</v>
      </c>
      <c r="H3775" s="123">
        <v>0</v>
      </c>
      <c r="I3775" s="122">
        <v>0</v>
      </c>
      <c r="J3775" s="124">
        <f t="shared" si="5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4247-A5EB-8F4E-B019-B6F9A568B299}">
  <sheetPr>
    <outlinePr summaryBelow="0" summaryRight="0"/>
  </sheetPr>
  <dimension ref="A1:F20"/>
  <sheetViews>
    <sheetView workbookViewId="0"/>
  </sheetViews>
  <sheetFormatPr baseColWidth="10" defaultColWidth="14" defaultRowHeight="14" x14ac:dyDescent="0.2"/>
  <cols>
    <col min="1" max="1" width="10" customWidth="1"/>
    <col min="2" max="3" width="36" customWidth="1"/>
    <col min="4" max="4" width="18" customWidth="1"/>
    <col min="5" max="5" width="27" customWidth="1"/>
    <col min="6" max="6" width="32" customWidth="1"/>
    <col min="7" max="20" width="10" customWidth="1"/>
  </cols>
  <sheetData>
    <row r="1" spans="1:6" ht="15" x14ac:dyDescent="0.2">
      <c r="A1" s="128" t="s">
        <v>2086</v>
      </c>
      <c r="B1" s="128"/>
      <c r="C1" s="128" t="s">
        <v>8706</v>
      </c>
      <c r="D1" s="128" t="s">
        <v>8707</v>
      </c>
      <c r="E1" s="128" t="s">
        <v>8708</v>
      </c>
      <c r="F1" s="128" t="s">
        <v>8709</v>
      </c>
    </row>
    <row r="2" spans="1:6" ht="15" x14ac:dyDescent="0.2">
      <c r="A2" s="128">
        <v>1</v>
      </c>
      <c r="B2" s="128" t="s">
        <v>2169</v>
      </c>
      <c r="C2" s="128" t="s">
        <v>2170</v>
      </c>
      <c r="D2" s="128" t="s">
        <v>2134</v>
      </c>
      <c r="E2" s="128">
        <v>76</v>
      </c>
      <c r="F2" s="128" t="s">
        <v>8710</v>
      </c>
    </row>
    <row r="3" spans="1:6" ht="15" x14ac:dyDescent="0.2">
      <c r="A3" s="128">
        <v>2</v>
      </c>
      <c r="B3" s="128" t="s">
        <v>2130</v>
      </c>
      <c r="C3" s="128" t="s">
        <v>2131</v>
      </c>
      <c r="D3" s="128" t="s">
        <v>2134</v>
      </c>
      <c r="E3" s="128">
        <v>668</v>
      </c>
      <c r="F3" s="128" t="s">
        <v>8711</v>
      </c>
    </row>
    <row r="4" spans="1:6" ht="15" x14ac:dyDescent="0.2">
      <c r="A4" s="128">
        <v>3</v>
      </c>
      <c r="B4" s="128" t="s">
        <v>2130</v>
      </c>
      <c r="C4" s="128" t="s">
        <v>2131</v>
      </c>
      <c r="D4" s="128" t="s">
        <v>2137</v>
      </c>
      <c r="E4" s="128">
        <v>1160</v>
      </c>
      <c r="F4" s="128" t="s">
        <v>8712</v>
      </c>
    </row>
    <row r="5" spans="1:6" ht="15" x14ac:dyDescent="0.2">
      <c r="A5" s="128">
        <v>4</v>
      </c>
      <c r="B5" s="128" t="s">
        <v>2427</v>
      </c>
      <c r="C5" s="128" t="s">
        <v>2427</v>
      </c>
      <c r="D5" s="128" t="s">
        <v>2142</v>
      </c>
      <c r="E5" s="128">
        <v>845</v>
      </c>
      <c r="F5" s="128" t="s">
        <v>8713</v>
      </c>
    </row>
    <row r="6" spans="1:6" ht="15" x14ac:dyDescent="0.2">
      <c r="A6" s="128">
        <v>5</v>
      </c>
      <c r="B6" s="128" t="s">
        <v>8714</v>
      </c>
      <c r="C6" s="128" t="s">
        <v>8715</v>
      </c>
      <c r="D6" s="128" t="s">
        <v>8716</v>
      </c>
      <c r="E6" s="128">
        <v>115</v>
      </c>
      <c r="F6" s="128" t="s">
        <v>8717</v>
      </c>
    </row>
    <row r="7" spans="1:6" ht="15" x14ac:dyDescent="0.2">
      <c r="A7" s="128">
        <v>6</v>
      </c>
      <c r="B7" s="128" t="s">
        <v>8714</v>
      </c>
      <c r="C7" s="128" t="s">
        <v>8718</v>
      </c>
      <c r="D7" s="128" t="s">
        <v>8716</v>
      </c>
      <c r="E7" s="128">
        <v>162</v>
      </c>
      <c r="F7" s="128" t="s">
        <v>8717</v>
      </c>
    </row>
    <row r="8" spans="1:6" ht="15" x14ac:dyDescent="0.2">
      <c r="A8" s="128">
        <v>7</v>
      </c>
      <c r="B8" s="128" t="s">
        <v>2427</v>
      </c>
      <c r="C8" s="128" t="s">
        <v>2427</v>
      </c>
      <c r="D8" s="128" t="s">
        <v>2143</v>
      </c>
      <c r="E8" s="128"/>
      <c r="F8" s="128" t="s">
        <v>8719</v>
      </c>
    </row>
    <row r="9" spans="1:6" ht="15" customHeight="1" x14ac:dyDescent="0.2"/>
    <row r="10" spans="1:6" ht="15" customHeight="1" x14ac:dyDescent="0.2"/>
    <row r="11" spans="1:6" ht="15" customHeight="1" x14ac:dyDescent="0.2"/>
    <row r="12" spans="1:6" ht="15" customHeight="1" x14ac:dyDescent="0.2"/>
    <row r="13" spans="1:6" ht="15" customHeight="1" x14ac:dyDescent="0.2"/>
    <row r="14" spans="1:6" ht="15" customHeight="1" x14ac:dyDescent="0.2"/>
    <row r="15" spans="1:6" ht="15" customHeight="1" x14ac:dyDescent="0.2"/>
    <row r="16" spans="1:6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8F37-F67E-1E40-925C-CA60111696EC}">
  <sheetPr>
    <outlinePr summaryBelow="0" summaryRight="0"/>
  </sheetPr>
  <dimension ref="A1:T196"/>
  <sheetViews>
    <sheetView workbookViewId="0"/>
  </sheetViews>
  <sheetFormatPr baseColWidth="10" defaultColWidth="14" defaultRowHeight="14" x14ac:dyDescent="0.2"/>
  <cols>
    <col min="1" max="1" width="32" customWidth="1"/>
    <col min="2" max="2" width="41" customWidth="1"/>
    <col min="3" max="3" width="31" customWidth="1"/>
    <col min="4" max="4" width="18" customWidth="1"/>
    <col min="5" max="5" width="25" customWidth="1"/>
    <col min="6" max="20" width="43" customWidth="1"/>
  </cols>
  <sheetData>
    <row r="1" spans="1:20" ht="32" customHeight="1" x14ac:dyDescent="0.2">
      <c r="A1" s="136" t="s">
        <v>8720</v>
      </c>
      <c r="B1" s="137"/>
      <c r="C1" s="137"/>
      <c r="D1" s="130"/>
    </row>
    <row r="2" spans="1:20" ht="31" customHeight="1" x14ac:dyDescent="0.2">
      <c r="A2" s="136" t="s">
        <v>8721</v>
      </c>
      <c r="B2" s="138"/>
      <c r="C2" s="138"/>
      <c r="D2" s="130"/>
    </row>
    <row r="3" spans="1:20" ht="42" customHeight="1" x14ac:dyDescent="0.2">
      <c r="A3" s="139" t="s">
        <v>8722</v>
      </c>
      <c r="B3" s="139" t="s">
        <v>8723</v>
      </c>
      <c r="C3" s="139" t="s">
        <v>8724</v>
      </c>
      <c r="D3" s="130"/>
    </row>
    <row r="4" spans="1:20" ht="28" customHeight="1" x14ac:dyDescent="0.2">
      <c r="A4" s="134" t="s">
        <v>8725</v>
      </c>
      <c r="B4" s="134"/>
      <c r="C4" s="135"/>
      <c r="D4" s="130" t="s">
        <v>8726</v>
      </c>
      <c r="E4" s="94" t="s">
        <v>8727</v>
      </c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</row>
    <row r="5" spans="1:20" ht="24" customHeight="1" x14ac:dyDescent="0.2">
      <c r="A5" s="129" t="s">
        <v>8728</v>
      </c>
      <c r="B5" s="132" t="s">
        <v>8729</v>
      </c>
      <c r="C5" s="133" t="s">
        <v>8730</v>
      </c>
      <c r="D5" s="130">
        <v>13</v>
      </c>
      <c r="E5" s="94">
        <v>25</v>
      </c>
    </row>
    <row r="6" spans="1:20" ht="24" customHeight="1" x14ac:dyDescent="0.2">
      <c r="A6" s="129" t="s">
        <v>8731</v>
      </c>
      <c r="B6" s="132" t="s">
        <v>8732</v>
      </c>
      <c r="C6" s="133" t="s">
        <v>8730</v>
      </c>
      <c r="D6" s="130">
        <v>13</v>
      </c>
      <c r="E6" s="94">
        <v>25</v>
      </c>
    </row>
    <row r="7" spans="1:20" ht="24" customHeight="1" x14ac:dyDescent="0.2">
      <c r="A7" s="129" t="s">
        <v>8733</v>
      </c>
      <c r="B7" s="132" t="s">
        <v>8734</v>
      </c>
      <c r="C7" s="133" t="s">
        <v>8730</v>
      </c>
      <c r="D7" s="130">
        <v>13</v>
      </c>
      <c r="E7" s="94">
        <v>25</v>
      </c>
    </row>
    <row r="8" spans="1:20" ht="24" customHeight="1" x14ac:dyDescent="0.2">
      <c r="A8" s="129" t="s">
        <v>8735</v>
      </c>
      <c r="B8" s="132" t="s">
        <v>8736</v>
      </c>
      <c r="C8" s="133" t="s">
        <v>8730</v>
      </c>
      <c r="D8" s="130">
        <v>13</v>
      </c>
      <c r="E8" s="94">
        <v>25</v>
      </c>
    </row>
    <row r="9" spans="1:20" ht="24" customHeight="1" x14ac:dyDescent="0.2">
      <c r="A9" s="129" t="s">
        <v>8737</v>
      </c>
      <c r="B9" s="129" t="s">
        <v>8738</v>
      </c>
      <c r="C9" s="129" t="s">
        <v>8730</v>
      </c>
      <c r="D9" s="130">
        <v>14</v>
      </c>
      <c r="E9" s="94">
        <v>25</v>
      </c>
    </row>
    <row r="10" spans="1:20" ht="24" customHeight="1" x14ac:dyDescent="0.2">
      <c r="A10" s="129" t="s">
        <v>8739</v>
      </c>
      <c r="B10" s="129" t="s">
        <v>8740</v>
      </c>
      <c r="C10" s="129" t="s">
        <v>8730</v>
      </c>
      <c r="D10" s="130">
        <v>13</v>
      </c>
      <c r="E10" s="94">
        <v>25</v>
      </c>
    </row>
    <row r="11" spans="1:20" ht="24" customHeight="1" x14ac:dyDescent="0.2">
      <c r="A11" s="129" t="s">
        <v>8741</v>
      </c>
      <c r="B11" s="129" t="s">
        <v>8742</v>
      </c>
      <c r="C11" s="129" t="s">
        <v>8730</v>
      </c>
      <c r="D11" s="130">
        <v>12</v>
      </c>
      <c r="E11" s="94">
        <v>25</v>
      </c>
    </row>
    <row r="12" spans="1:20" ht="24" customHeight="1" x14ac:dyDescent="0.2">
      <c r="A12" s="129" t="s">
        <v>8743</v>
      </c>
      <c r="B12" s="129" t="s">
        <v>8744</v>
      </c>
      <c r="C12" s="129" t="s">
        <v>8730</v>
      </c>
      <c r="D12" s="130">
        <v>12</v>
      </c>
      <c r="E12" s="94">
        <v>25</v>
      </c>
    </row>
    <row r="13" spans="1:20" ht="24" customHeight="1" x14ac:dyDescent="0.2">
      <c r="A13" s="129" t="s">
        <v>8745</v>
      </c>
      <c r="B13" s="129" t="s">
        <v>8746</v>
      </c>
      <c r="C13" s="129" t="s">
        <v>8730</v>
      </c>
      <c r="D13" s="130">
        <v>12</v>
      </c>
      <c r="E13" s="94">
        <v>25</v>
      </c>
    </row>
    <row r="14" spans="1:20" ht="24" customHeight="1" x14ac:dyDescent="0.2">
      <c r="A14" s="129" t="s">
        <v>8747</v>
      </c>
      <c r="B14" s="129" t="s">
        <v>8746</v>
      </c>
      <c r="C14" s="129" t="s">
        <v>8748</v>
      </c>
      <c r="D14" s="130">
        <v>14.5</v>
      </c>
      <c r="E14" s="94">
        <v>25</v>
      </c>
    </row>
    <row r="15" spans="1:20" ht="24" customHeight="1" x14ac:dyDescent="0.2">
      <c r="A15" s="129" t="s">
        <v>8749</v>
      </c>
      <c r="B15" s="129" t="s">
        <v>8750</v>
      </c>
      <c r="C15" s="129" t="s">
        <v>8730</v>
      </c>
      <c r="D15" s="130">
        <v>10</v>
      </c>
      <c r="E15" s="94">
        <v>25</v>
      </c>
    </row>
    <row r="16" spans="1:20" ht="24" customHeight="1" x14ac:dyDescent="0.2">
      <c r="A16" s="129" t="s">
        <v>8751</v>
      </c>
      <c r="B16" s="129" t="s">
        <v>8752</v>
      </c>
      <c r="C16" s="129" t="s">
        <v>8730</v>
      </c>
      <c r="D16" s="130">
        <v>14</v>
      </c>
      <c r="E16" s="94">
        <v>25</v>
      </c>
    </row>
    <row r="17" spans="1:5" ht="24" customHeight="1" x14ac:dyDescent="0.2">
      <c r="A17" s="129" t="s">
        <v>8753</v>
      </c>
      <c r="B17" s="129" t="s">
        <v>8754</v>
      </c>
      <c r="C17" s="129" t="s">
        <v>8730</v>
      </c>
      <c r="D17" s="130">
        <v>12</v>
      </c>
      <c r="E17" s="94">
        <v>25</v>
      </c>
    </row>
    <row r="18" spans="1:5" ht="24" customHeight="1" x14ac:dyDescent="0.2">
      <c r="A18" s="129" t="s">
        <v>8755</v>
      </c>
      <c r="B18" s="129" t="s">
        <v>8756</v>
      </c>
      <c r="C18" s="129" t="s">
        <v>8757</v>
      </c>
      <c r="D18" s="130">
        <v>13</v>
      </c>
      <c r="E18" s="94">
        <v>25</v>
      </c>
    </row>
    <row r="19" spans="1:5" ht="24" customHeight="1" x14ac:dyDescent="0.2">
      <c r="A19" s="129" t="s">
        <v>8758</v>
      </c>
      <c r="B19" s="129" t="s">
        <v>6626</v>
      </c>
      <c r="C19" s="129" t="s">
        <v>8759</v>
      </c>
      <c r="D19" s="130">
        <v>9</v>
      </c>
      <c r="E19" s="94">
        <v>25</v>
      </c>
    </row>
    <row r="20" spans="1:5" ht="24" customHeight="1" x14ac:dyDescent="0.2">
      <c r="A20" s="129" t="s">
        <v>8760</v>
      </c>
      <c r="B20" s="129" t="s">
        <v>8761</v>
      </c>
      <c r="C20" s="129" t="s">
        <v>8762</v>
      </c>
      <c r="D20" s="130">
        <v>12</v>
      </c>
      <c r="E20" s="94">
        <v>25</v>
      </c>
    </row>
    <row r="21" spans="1:5" ht="24" customHeight="1" x14ac:dyDescent="0.2">
      <c r="A21" s="129" t="s">
        <v>8763</v>
      </c>
      <c r="B21" s="129" t="s">
        <v>8764</v>
      </c>
      <c r="C21" s="129" t="s">
        <v>8762</v>
      </c>
      <c r="D21" s="130">
        <v>12</v>
      </c>
      <c r="E21" s="94">
        <v>25</v>
      </c>
    </row>
    <row r="22" spans="1:5" ht="24" customHeight="1" x14ac:dyDescent="0.2">
      <c r="A22" s="129" t="s">
        <v>8765</v>
      </c>
      <c r="B22" s="129" t="s">
        <v>8766</v>
      </c>
      <c r="C22" s="129" t="s">
        <v>8762</v>
      </c>
      <c r="D22" s="130">
        <v>11</v>
      </c>
      <c r="E22" s="94">
        <v>25</v>
      </c>
    </row>
    <row r="23" spans="1:5" ht="24" customHeight="1" x14ac:dyDescent="0.2">
      <c r="A23" s="129" t="s">
        <v>8767</v>
      </c>
      <c r="B23" s="129" t="s">
        <v>8768</v>
      </c>
      <c r="C23" s="129" t="s">
        <v>8769</v>
      </c>
      <c r="D23" s="130">
        <v>9</v>
      </c>
      <c r="E23" s="94">
        <v>25</v>
      </c>
    </row>
    <row r="24" spans="1:5" ht="24" customHeight="1" x14ac:dyDescent="0.2">
      <c r="A24" s="129" t="s">
        <v>8770</v>
      </c>
      <c r="B24" s="129" t="s">
        <v>8771</v>
      </c>
      <c r="C24" s="129" t="s">
        <v>8759</v>
      </c>
      <c r="D24" s="130">
        <v>7</v>
      </c>
      <c r="E24" s="94">
        <v>25</v>
      </c>
    </row>
    <row r="25" spans="1:5" ht="24" customHeight="1" x14ac:dyDescent="0.2">
      <c r="A25" s="129" t="s">
        <v>8772</v>
      </c>
      <c r="B25" s="129" t="s">
        <v>2458</v>
      </c>
      <c r="C25" s="129" t="s">
        <v>8769</v>
      </c>
      <c r="D25" s="130">
        <v>12</v>
      </c>
      <c r="E25" s="94">
        <v>25</v>
      </c>
    </row>
    <row r="26" spans="1:5" ht="24" customHeight="1" x14ac:dyDescent="0.2">
      <c r="A26" s="129" t="s">
        <v>8773</v>
      </c>
      <c r="B26" s="129" t="s">
        <v>8774</v>
      </c>
      <c r="C26" s="129" t="s">
        <v>8762</v>
      </c>
      <c r="D26" s="130">
        <v>13</v>
      </c>
      <c r="E26" s="94">
        <v>25</v>
      </c>
    </row>
    <row r="27" spans="1:5" ht="24" customHeight="1" x14ac:dyDescent="0.2">
      <c r="A27" s="129" t="s">
        <v>8775</v>
      </c>
      <c r="B27" s="129" t="s">
        <v>8776</v>
      </c>
      <c r="C27" s="129" t="s">
        <v>8762</v>
      </c>
      <c r="D27" s="130">
        <v>12</v>
      </c>
      <c r="E27" s="94">
        <v>25</v>
      </c>
    </row>
    <row r="28" spans="1:5" ht="24" customHeight="1" x14ac:dyDescent="0.2">
      <c r="A28" s="129" t="s">
        <v>8777</v>
      </c>
      <c r="B28" s="129" t="s">
        <v>8778</v>
      </c>
      <c r="C28" s="129" t="s">
        <v>8759</v>
      </c>
      <c r="D28" s="130">
        <v>13</v>
      </c>
      <c r="E28" s="94">
        <v>25</v>
      </c>
    </row>
    <row r="29" spans="1:5" ht="24" customHeight="1" x14ac:dyDescent="0.2">
      <c r="A29" s="129" t="s">
        <v>8779</v>
      </c>
      <c r="B29" s="129" t="s">
        <v>8780</v>
      </c>
      <c r="C29" s="129" t="s">
        <v>8759</v>
      </c>
      <c r="D29" s="130">
        <v>13</v>
      </c>
      <c r="E29" s="94">
        <v>25</v>
      </c>
    </row>
    <row r="30" spans="1:5" ht="24" customHeight="1" x14ac:dyDescent="0.2">
      <c r="A30" s="129" t="s">
        <v>8781</v>
      </c>
      <c r="B30" s="129" t="s">
        <v>8782</v>
      </c>
      <c r="C30" s="129" t="s">
        <v>8759</v>
      </c>
      <c r="D30" s="130">
        <v>13</v>
      </c>
      <c r="E30" s="94">
        <v>25</v>
      </c>
    </row>
    <row r="31" spans="1:5" ht="24" customHeight="1" x14ac:dyDescent="0.2">
      <c r="A31" s="129" t="s">
        <v>8783</v>
      </c>
      <c r="B31" s="129" t="s">
        <v>8784</v>
      </c>
      <c r="C31" s="129" t="s">
        <v>8759</v>
      </c>
      <c r="D31" s="130">
        <v>13</v>
      </c>
      <c r="E31" s="94">
        <v>25</v>
      </c>
    </row>
    <row r="32" spans="1:5" ht="24" customHeight="1" x14ac:dyDescent="0.2">
      <c r="A32" s="129" t="s">
        <v>8785</v>
      </c>
      <c r="B32" s="129" t="s">
        <v>8786</v>
      </c>
      <c r="C32" s="129" t="s">
        <v>8759</v>
      </c>
      <c r="D32" s="130">
        <v>12</v>
      </c>
      <c r="E32" s="94">
        <v>25</v>
      </c>
    </row>
    <row r="33" spans="1:20" ht="24" customHeight="1" x14ac:dyDescent="0.2">
      <c r="A33" s="129" t="s">
        <v>8787</v>
      </c>
      <c r="B33" s="129" t="s">
        <v>8788</v>
      </c>
      <c r="C33" s="129" t="s">
        <v>8759</v>
      </c>
      <c r="D33" s="130">
        <v>13</v>
      </c>
      <c r="E33" s="94">
        <v>25</v>
      </c>
    </row>
    <row r="34" spans="1:20" ht="24" customHeight="1" x14ac:dyDescent="0.2">
      <c r="A34" s="129" t="s">
        <v>8789</v>
      </c>
      <c r="B34" s="129" t="s">
        <v>8790</v>
      </c>
      <c r="C34" s="129" t="s">
        <v>8759</v>
      </c>
      <c r="D34" s="130">
        <v>12</v>
      </c>
      <c r="E34" s="94">
        <v>25</v>
      </c>
    </row>
    <row r="35" spans="1:20" ht="24" customHeight="1" x14ac:dyDescent="0.2">
      <c r="A35" s="129" t="s">
        <v>8791</v>
      </c>
      <c r="B35" s="129" t="s">
        <v>8792</v>
      </c>
      <c r="C35" s="129" t="s">
        <v>8759</v>
      </c>
      <c r="D35" s="130">
        <v>11.5</v>
      </c>
      <c r="E35" s="94">
        <v>25</v>
      </c>
    </row>
    <row r="36" spans="1:20" ht="24" customHeight="1" x14ac:dyDescent="0.2">
      <c r="A36" s="129" t="s">
        <v>8793</v>
      </c>
      <c r="B36" s="129" t="s">
        <v>8794</v>
      </c>
      <c r="C36" s="129" t="s">
        <v>8759</v>
      </c>
      <c r="D36" s="130">
        <v>12</v>
      </c>
      <c r="E36" s="94">
        <v>25</v>
      </c>
    </row>
    <row r="37" spans="1:20" ht="24" customHeight="1" x14ac:dyDescent="0.2">
      <c r="A37" s="129" t="s">
        <v>8795</v>
      </c>
      <c r="B37" s="129" t="s">
        <v>8796</v>
      </c>
      <c r="C37" s="129" t="s">
        <v>8759</v>
      </c>
      <c r="D37" s="130">
        <v>11</v>
      </c>
      <c r="E37" s="94">
        <v>25</v>
      </c>
    </row>
    <row r="38" spans="1:20" ht="24" customHeight="1" x14ac:dyDescent="0.2">
      <c r="A38" s="129" t="s">
        <v>8797</v>
      </c>
      <c r="B38" s="129" t="s">
        <v>8798</v>
      </c>
      <c r="C38" s="129" t="s">
        <v>8759</v>
      </c>
      <c r="D38" s="130">
        <v>11</v>
      </c>
      <c r="E38" s="94">
        <v>25</v>
      </c>
    </row>
    <row r="39" spans="1:20" ht="24" customHeight="1" x14ac:dyDescent="0.2">
      <c r="A39" s="129" t="s">
        <v>8799</v>
      </c>
      <c r="B39" s="129" t="s">
        <v>2296</v>
      </c>
      <c r="C39" s="129" t="s">
        <v>8762</v>
      </c>
      <c r="D39" s="130">
        <v>11</v>
      </c>
      <c r="E39" s="94">
        <v>25</v>
      </c>
    </row>
    <row r="40" spans="1:20" ht="24" customHeight="1" x14ac:dyDescent="0.2">
      <c r="A40" s="129" t="s">
        <v>8800</v>
      </c>
      <c r="B40" s="129" t="s">
        <v>8801</v>
      </c>
      <c r="C40" s="129" t="s">
        <v>8762</v>
      </c>
      <c r="D40" s="130">
        <v>11</v>
      </c>
      <c r="E40" s="94">
        <v>25</v>
      </c>
    </row>
    <row r="41" spans="1:20" ht="24" customHeight="1" x14ac:dyDescent="0.2">
      <c r="A41" s="129" t="s">
        <v>8802</v>
      </c>
      <c r="B41" s="129" t="s">
        <v>6107</v>
      </c>
      <c r="C41" s="129" t="s">
        <v>8762</v>
      </c>
      <c r="D41" s="130">
        <v>11</v>
      </c>
      <c r="E41" s="94">
        <v>25</v>
      </c>
    </row>
    <row r="42" spans="1:20" ht="24" customHeight="1" x14ac:dyDescent="0.2">
      <c r="A42" s="129" t="s">
        <v>8803</v>
      </c>
      <c r="B42" s="129" t="s">
        <v>8804</v>
      </c>
      <c r="C42" s="129" t="s">
        <v>8762</v>
      </c>
      <c r="D42" s="130">
        <v>13</v>
      </c>
      <c r="E42" s="94">
        <v>25</v>
      </c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</row>
    <row r="43" spans="1:20" ht="24" customHeight="1" x14ac:dyDescent="0.2">
      <c r="A43" s="129" t="s">
        <v>8805</v>
      </c>
      <c r="B43" s="129" t="s">
        <v>8806</v>
      </c>
      <c r="C43" s="129" t="s">
        <v>8730</v>
      </c>
      <c r="D43" s="130">
        <v>12</v>
      </c>
      <c r="E43" s="94">
        <v>25</v>
      </c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</row>
    <row r="44" spans="1:20" ht="24" customHeight="1" x14ac:dyDescent="0.2">
      <c r="A44" s="129" t="s">
        <v>8807</v>
      </c>
      <c r="B44" s="129" t="s">
        <v>8808</v>
      </c>
      <c r="C44" s="129" t="s">
        <v>8762</v>
      </c>
      <c r="D44" s="130">
        <v>13</v>
      </c>
      <c r="E44" s="94">
        <v>25</v>
      </c>
    </row>
    <row r="45" spans="1:20" ht="24" customHeight="1" x14ac:dyDescent="0.2">
      <c r="A45" s="129" t="s">
        <v>8809</v>
      </c>
      <c r="B45" s="129" t="s">
        <v>8810</v>
      </c>
      <c r="C45" s="129" t="s">
        <v>8759</v>
      </c>
      <c r="D45" s="130">
        <v>11</v>
      </c>
      <c r="E45" s="94">
        <v>25</v>
      </c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</row>
    <row r="46" spans="1:20" ht="24" customHeight="1" x14ac:dyDescent="0.2">
      <c r="A46" s="129" t="s">
        <v>8811</v>
      </c>
      <c r="B46" s="129" t="s">
        <v>8812</v>
      </c>
      <c r="C46" s="129" t="s">
        <v>8730</v>
      </c>
      <c r="D46" s="130">
        <v>13</v>
      </c>
      <c r="E46" s="94">
        <v>25</v>
      </c>
    </row>
    <row r="47" spans="1:20" ht="24" customHeight="1" x14ac:dyDescent="0.2">
      <c r="A47" s="129" t="s">
        <v>8813</v>
      </c>
      <c r="B47" s="129" t="s">
        <v>8814</v>
      </c>
      <c r="C47" s="129" t="s">
        <v>8730</v>
      </c>
      <c r="D47" s="130">
        <v>12</v>
      </c>
      <c r="E47" s="94">
        <v>25</v>
      </c>
    </row>
    <row r="48" spans="1:20" ht="24" customHeight="1" x14ac:dyDescent="0.2">
      <c r="A48" s="129" t="s">
        <v>8815</v>
      </c>
      <c r="B48" s="129" t="s">
        <v>8816</v>
      </c>
      <c r="C48" s="129" t="s">
        <v>8730</v>
      </c>
      <c r="D48" s="130">
        <v>12</v>
      </c>
      <c r="E48" s="94">
        <v>25</v>
      </c>
    </row>
    <row r="49" spans="1:20" ht="24" customHeight="1" x14ac:dyDescent="0.2">
      <c r="A49" s="129" t="s">
        <v>8817</v>
      </c>
      <c r="B49" s="129" t="s">
        <v>8818</v>
      </c>
      <c r="C49" s="129" t="s">
        <v>8762</v>
      </c>
      <c r="D49" s="130">
        <v>9</v>
      </c>
      <c r="E49" s="94">
        <v>25</v>
      </c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</row>
    <row r="50" spans="1:20" ht="24" customHeight="1" x14ac:dyDescent="0.2">
      <c r="A50" s="129" t="s">
        <v>8819</v>
      </c>
      <c r="B50" s="129" t="s">
        <v>8820</v>
      </c>
      <c r="C50" s="129" t="s">
        <v>8759</v>
      </c>
      <c r="D50" s="130">
        <v>13</v>
      </c>
      <c r="E50" s="94">
        <v>25</v>
      </c>
    </row>
    <row r="51" spans="1:20" ht="24" customHeight="1" x14ac:dyDescent="0.2">
      <c r="A51" s="129" t="s">
        <v>8821</v>
      </c>
      <c r="B51" s="129" t="s">
        <v>8822</v>
      </c>
      <c r="C51" s="129" t="s">
        <v>8762</v>
      </c>
      <c r="D51" s="130">
        <v>11</v>
      </c>
      <c r="E51" s="94">
        <v>25</v>
      </c>
    </row>
    <row r="52" spans="1:20" ht="24" customHeight="1" x14ac:dyDescent="0.2">
      <c r="A52" s="129" t="s">
        <v>8823</v>
      </c>
      <c r="B52" s="129" t="s">
        <v>8824</v>
      </c>
      <c r="C52" s="129" t="s">
        <v>8762</v>
      </c>
      <c r="D52" s="130">
        <v>13</v>
      </c>
      <c r="E52" s="94">
        <v>25</v>
      </c>
    </row>
    <row r="53" spans="1:20" ht="24" customHeight="1" x14ac:dyDescent="0.2">
      <c r="A53" s="129" t="s">
        <v>8825</v>
      </c>
      <c r="B53" s="129" t="s">
        <v>8826</v>
      </c>
      <c r="C53" s="129" t="s">
        <v>8762</v>
      </c>
      <c r="D53" s="130">
        <v>13</v>
      </c>
      <c r="E53" s="94">
        <v>25</v>
      </c>
    </row>
    <row r="54" spans="1:20" ht="24" customHeight="1" x14ac:dyDescent="0.2">
      <c r="A54" s="129" t="s">
        <v>8827</v>
      </c>
      <c r="B54" s="129" t="s">
        <v>8828</v>
      </c>
      <c r="C54" s="129" t="s">
        <v>8762</v>
      </c>
      <c r="D54" s="130">
        <v>11</v>
      </c>
      <c r="E54" s="94">
        <v>25</v>
      </c>
    </row>
    <row r="55" spans="1:20" ht="24" customHeight="1" x14ac:dyDescent="0.2">
      <c r="A55" s="129" t="s">
        <v>8829</v>
      </c>
      <c r="B55" s="129" t="s">
        <v>8830</v>
      </c>
      <c r="C55" s="129" t="s">
        <v>8762</v>
      </c>
      <c r="D55" s="130">
        <v>11</v>
      </c>
      <c r="E55" s="94">
        <v>25</v>
      </c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</row>
    <row r="56" spans="1:20" ht="24" customHeight="1" x14ac:dyDescent="0.2">
      <c r="A56" s="129" t="s">
        <v>8831</v>
      </c>
      <c r="B56" s="129" t="s">
        <v>6645</v>
      </c>
      <c r="C56" s="129" t="s">
        <v>8759</v>
      </c>
      <c r="D56" s="130">
        <v>12</v>
      </c>
      <c r="E56" s="94">
        <v>25</v>
      </c>
    </row>
    <row r="57" spans="1:20" ht="24" customHeight="1" x14ac:dyDescent="0.2">
      <c r="A57" s="129" t="s">
        <v>8832</v>
      </c>
      <c r="B57" s="129" t="s">
        <v>8833</v>
      </c>
      <c r="C57" s="129" t="s">
        <v>8759</v>
      </c>
      <c r="D57" s="130">
        <v>10</v>
      </c>
      <c r="E57" s="94">
        <v>25</v>
      </c>
    </row>
    <row r="58" spans="1:20" ht="24" customHeight="1" x14ac:dyDescent="0.2">
      <c r="A58" s="129" t="s">
        <v>8834</v>
      </c>
      <c r="B58" s="129" t="s">
        <v>5785</v>
      </c>
      <c r="C58" s="129" t="s">
        <v>8835</v>
      </c>
      <c r="D58" s="130">
        <v>9</v>
      </c>
      <c r="E58" s="94">
        <v>25</v>
      </c>
    </row>
    <row r="59" spans="1:20" ht="24" customHeight="1" x14ac:dyDescent="0.2">
      <c r="A59" s="129" t="s">
        <v>8836</v>
      </c>
      <c r="B59" s="129" t="s">
        <v>8837</v>
      </c>
      <c r="C59" s="129" t="s">
        <v>8730</v>
      </c>
      <c r="D59" s="130">
        <v>13</v>
      </c>
      <c r="E59" s="94">
        <v>25</v>
      </c>
    </row>
    <row r="60" spans="1:20" ht="24" customHeight="1" x14ac:dyDescent="0.2">
      <c r="A60" s="129" t="s">
        <v>8838</v>
      </c>
      <c r="B60" s="129" t="s">
        <v>8839</v>
      </c>
      <c r="C60" s="129" t="s">
        <v>8759</v>
      </c>
      <c r="D60" s="130">
        <v>10</v>
      </c>
      <c r="E60" s="94">
        <v>25</v>
      </c>
    </row>
    <row r="61" spans="1:20" ht="24" customHeight="1" x14ac:dyDescent="0.2">
      <c r="A61" s="129" t="s">
        <v>8840</v>
      </c>
      <c r="B61" s="129" t="s">
        <v>8841</v>
      </c>
      <c r="C61" s="129" t="s">
        <v>8759</v>
      </c>
      <c r="D61" s="130">
        <v>11</v>
      </c>
      <c r="E61" s="94">
        <v>25</v>
      </c>
    </row>
    <row r="62" spans="1:20" ht="24" customHeight="1" x14ac:dyDescent="0.2">
      <c r="A62" s="129" t="s">
        <v>8842</v>
      </c>
      <c r="B62" s="129" t="s">
        <v>8843</v>
      </c>
      <c r="C62" s="129" t="s">
        <v>8730</v>
      </c>
      <c r="D62" s="130">
        <v>13</v>
      </c>
      <c r="E62" s="94">
        <v>25</v>
      </c>
    </row>
    <row r="63" spans="1:20" ht="24" customHeight="1" x14ac:dyDescent="0.2">
      <c r="A63" s="129" t="s">
        <v>8844</v>
      </c>
      <c r="B63" s="129" t="s">
        <v>8845</v>
      </c>
      <c r="C63" s="129" t="s">
        <v>8762</v>
      </c>
      <c r="D63" s="130">
        <v>11</v>
      </c>
      <c r="E63" s="94">
        <v>25</v>
      </c>
    </row>
    <row r="64" spans="1:20" ht="24" customHeight="1" x14ac:dyDescent="0.2">
      <c r="A64" s="129" t="s">
        <v>8846</v>
      </c>
      <c r="B64" s="129" t="s">
        <v>8847</v>
      </c>
      <c r="C64" s="129" t="s">
        <v>8762</v>
      </c>
      <c r="D64" s="130">
        <v>12</v>
      </c>
      <c r="E64" s="94">
        <v>25</v>
      </c>
    </row>
    <row r="65" spans="1:20" ht="24" customHeight="1" x14ac:dyDescent="0.2">
      <c r="A65" s="129" t="s">
        <v>8848</v>
      </c>
      <c r="B65" s="129" t="s">
        <v>8849</v>
      </c>
      <c r="C65" s="129" t="s">
        <v>8759</v>
      </c>
      <c r="D65" s="130">
        <v>7</v>
      </c>
      <c r="E65" s="94">
        <v>25</v>
      </c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</row>
    <row r="66" spans="1:20" ht="24" customHeight="1" x14ac:dyDescent="0.2">
      <c r="A66" s="129" t="s">
        <v>8850</v>
      </c>
      <c r="B66" s="129" t="s">
        <v>8851</v>
      </c>
      <c r="C66" s="129" t="s">
        <v>8730</v>
      </c>
      <c r="D66" s="130">
        <v>13</v>
      </c>
      <c r="E66" s="94">
        <v>25</v>
      </c>
    </row>
    <row r="67" spans="1:20" ht="24" customHeight="1" x14ac:dyDescent="0.2">
      <c r="A67" s="129" t="s">
        <v>8852</v>
      </c>
      <c r="B67" s="129" t="s">
        <v>8853</v>
      </c>
      <c r="C67" s="129" t="s">
        <v>8730</v>
      </c>
      <c r="D67" s="130">
        <v>13</v>
      </c>
      <c r="E67" s="94">
        <v>25</v>
      </c>
    </row>
    <row r="68" spans="1:20" ht="24" customHeight="1" x14ac:dyDescent="0.2">
      <c r="A68" s="129" t="s">
        <v>8854</v>
      </c>
      <c r="B68" s="129" t="s">
        <v>8855</v>
      </c>
      <c r="C68" s="129" t="s">
        <v>8759</v>
      </c>
      <c r="D68" s="130">
        <v>10</v>
      </c>
      <c r="E68" s="94">
        <v>25</v>
      </c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</row>
    <row r="69" spans="1:20" ht="24" customHeight="1" x14ac:dyDescent="0.2">
      <c r="A69" s="129" t="s">
        <v>8856</v>
      </c>
      <c r="B69" s="129" t="s">
        <v>8857</v>
      </c>
      <c r="C69" s="129" t="s">
        <v>8858</v>
      </c>
      <c r="D69" s="130">
        <v>14</v>
      </c>
      <c r="E69" s="94">
        <v>25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</row>
    <row r="70" spans="1:20" ht="26" customHeight="1" x14ac:dyDescent="0.2">
      <c r="A70" s="129" t="s">
        <v>8859</v>
      </c>
      <c r="B70" s="129" t="s">
        <v>8860</v>
      </c>
      <c r="C70" s="129" t="s">
        <v>8861</v>
      </c>
      <c r="D70" s="130">
        <v>13</v>
      </c>
      <c r="E70" s="94">
        <v>25</v>
      </c>
    </row>
    <row r="71" spans="1:20" ht="24" customHeight="1" x14ac:dyDescent="0.2">
      <c r="A71" s="129" t="s">
        <v>8862</v>
      </c>
      <c r="B71" s="129" t="s">
        <v>8863</v>
      </c>
      <c r="C71" s="129" t="s">
        <v>8762</v>
      </c>
      <c r="D71" s="130">
        <v>11</v>
      </c>
      <c r="E71" s="94">
        <v>25</v>
      </c>
    </row>
    <row r="72" spans="1:20" ht="24" customHeight="1" x14ac:dyDescent="0.2">
      <c r="A72" s="129" t="s">
        <v>8864</v>
      </c>
      <c r="B72" s="129" t="s">
        <v>8865</v>
      </c>
      <c r="C72" s="129" t="s">
        <v>8759</v>
      </c>
      <c r="D72" s="130">
        <v>9</v>
      </c>
      <c r="E72" s="94">
        <v>25</v>
      </c>
    </row>
    <row r="73" spans="1:20" ht="24" customHeight="1" x14ac:dyDescent="0.2">
      <c r="A73" s="129" t="s">
        <v>8866</v>
      </c>
      <c r="B73" s="129" t="s">
        <v>8867</v>
      </c>
      <c r="C73" s="129" t="s">
        <v>8759</v>
      </c>
      <c r="D73" s="130">
        <v>8</v>
      </c>
      <c r="E73" s="94">
        <v>25</v>
      </c>
    </row>
    <row r="74" spans="1:20" ht="24" customHeight="1" x14ac:dyDescent="0.2">
      <c r="A74" s="129" t="s">
        <v>8868</v>
      </c>
      <c r="B74" s="129" t="s">
        <v>8869</v>
      </c>
      <c r="C74" s="129" t="s">
        <v>8870</v>
      </c>
      <c r="D74" s="130">
        <v>12</v>
      </c>
      <c r="E74" s="94">
        <v>25</v>
      </c>
    </row>
    <row r="75" spans="1:20" ht="24" customHeight="1" x14ac:dyDescent="0.2">
      <c r="A75" s="134" t="s">
        <v>8871</v>
      </c>
      <c r="B75" s="135"/>
      <c r="C75" s="135"/>
      <c r="D75" s="130"/>
      <c r="E75" s="94">
        <v>25</v>
      </c>
    </row>
    <row r="76" spans="1:20" ht="24" customHeight="1" x14ac:dyDescent="0.2">
      <c r="A76" s="129" t="s">
        <v>8872</v>
      </c>
      <c r="B76" s="132" t="s">
        <v>8873</v>
      </c>
      <c r="C76" s="133" t="s">
        <v>8874</v>
      </c>
      <c r="D76" s="130">
        <v>126</v>
      </c>
      <c r="E76" s="94">
        <v>25</v>
      </c>
    </row>
    <row r="77" spans="1:20" ht="24" customHeight="1" x14ac:dyDescent="0.2">
      <c r="A77" s="129" t="s">
        <v>8875</v>
      </c>
      <c r="B77" s="132" t="s">
        <v>8873</v>
      </c>
      <c r="C77" s="133" t="s">
        <v>8876</v>
      </c>
      <c r="D77" s="130">
        <v>10</v>
      </c>
      <c r="E77" s="94">
        <v>25</v>
      </c>
    </row>
    <row r="78" spans="1:20" ht="24" customHeight="1" x14ac:dyDescent="0.2">
      <c r="A78" s="129" t="s">
        <v>8877</v>
      </c>
      <c r="B78" s="132" t="s">
        <v>8873</v>
      </c>
      <c r="C78" s="133" t="s">
        <v>8878</v>
      </c>
      <c r="D78" s="130">
        <v>23</v>
      </c>
      <c r="E78" s="94">
        <v>25</v>
      </c>
    </row>
    <row r="79" spans="1:20" ht="24" customHeight="1" x14ac:dyDescent="0.2">
      <c r="A79" s="129" t="s">
        <v>8879</v>
      </c>
      <c r="B79" s="132" t="s">
        <v>8873</v>
      </c>
      <c r="C79" s="133" t="s">
        <v>8880</v>
      </c>
      <c r="D79" s="130">
        <v>66</v>
      </c>
      <c r="E79" s="94">
        <v>25</v>
      </c>
    </row>
    <row r="80" spans="1:20" ht="24" customHeight="1" x14ac:dyDescent="0.2">
      <c r="A80" s="129" t="s">
        <v>8881</v>
      </c>
      <c r="B80" s="132" t="s">
        <v>8873</v>
      </c>
      <c r="C80" s="133" t="s">
        <v>8882</v>
      </c>
      <c r="D80" s="130">
        <v>321</v>
      </c>
      <c r="E80" s="94">
        <v>25</v>
      </c>
    </row>
    <row r="81" spans="1:5" ht="24" customHeight="1" x14ac:dyDescent="0.2">
      <c r="A81" s="129" t="s">
        <v>8883</v>
      </c>
      <c r="B81" s="132" t="s">
        <v>8873</v>
      </c>
      <c r="C81" s="133" t="s">
        <v>8884</v>
      </c>
      <c r="D81" s="130">
        <v>646</v>
      </c>
      <c r="E81" s="94">
        <v>25</v>
      </c>
    </row>
    <row r="82" spans="1:5" ht="24" customHeight="1" x14ac:dyDescent="0.2">
      <c r="A82" s="129" t="s">
        <v>8885</v>
      </c>
      <c r="B82" s="133" t="s">
        <v>8886</v>
      </c>
      <c r="C82" s="133" t="s">
        <v>8887</v>
      </c>
      <c r="D82" s="130">
        <v>11</v>
      </c>
      <c r="E82" s="94">
        <v>25</v>
      </c>
    </row>
    <row r="83" spans="1:5" ht="24" customHeight="1" x14ac:dyDescent="0.2">
      <c r="A83" s="129" t="s">
        <v>8888</v>
      </c>
      <c r="B83" s="132" t="s">
        <v>8889</v>
      </c>
      <c r="C83" s="133" t="s">
        <v>8890</v>
      </c>
      <c r="D83" s="130">
        <v>17</v>
      </c>
      <c r="E83" s="94">
        <v>25</v>
      </c>
    </row>
    <row r="84" spans="1:5" ht="33" customHeight="1" x14ac:dyDescent="0.2">
      <c r="A84" s="129" t="s">
        <v>8891</v>
      </c>
      <c r="B84" s="132" t="s">
        <v>8889</v>
      </c>
      <c r="C84" s="133" t="s">
        <v>8892</v>
      </c>
      <c r="D84" s="130">
        <v>7</v>
      </c>
      <c r="E84" s="94">
        <v>25</v>
      </c>
    </row>
    <row r="85" spans="1:5" ht="24" customHeight="1" x14ac:dyDescent="0.2">
      <c r="A85" s="129" t="s">
        <v>8893</v>
      </c>
      <c r="B85" s="132" t="s">
        <v>8894</v>
      </c>
      <c r="C85" s="133" t="s">
        <v>8895</v>
      </c>
      <c r="D85" s="130">
        <v>21</v>
      </c>
      <c r="E85" s="94">
        <v>25</v>
      </c>
    </row>
    <row r="86" spans="1:5" ht="24" customHeight="1" x14ac:dyDescent="0.2">
      <c r="A86" s="129" t="s">
        <v>8896</v>
      </c>
      <c r="B86" s="132" t="s">
        <v>2300</v>
      </c>
      <c r="C86" s="133" t="s">
        <v>8897</v>
      </c>
      <c r="D86" s="130">
        <v>10</v>
      </c>
      <c r="E86" s="94">
        <v>25</v>
      </c>
    </row>
    <row r="87" spans="1:5" ht="24" customHeight="1" x14ac:dyDescent="0.2">
      <c r="A87" s="129" t="s">
        <v>8898</v>
      </c>
      <c r="B87" s="132" t="s">
        <v>2300</v>
      </c>
      <c r="C87" s="133" t="s">
        <v>8899</v>
      </c>
      <c r="D87" s="130">
        <v>21.5</v>
      </c>
      <c r="E87" s="94">
        <v>25</v>
      </c>
    </row>
    <row r="88" spans="1:5" ht="24" customHeight="1" x14ac:dyDescent="0.2">
      <c r="A88" s="129" t="s">
        <v>8900</v>
      </c>
      <c r="B88" s="132" t="s">
        <v>8901</v>
      </c>
      <c r="C88" s="133" t="s">
        <v>8902</v>
      </c>
      <c r="D88" s="130">
        <v>21</v>
      </c>
      <c r="E88" s="94">
        <v>25</v>
      </c>
    </row>
    <row r="89" spans="1:5" ht="24" customHeight="1" x14ac:dyDescent="0.2">
      <c r="A89" s="129" t="s">
        <v>8903</v>
      </c>
      <c r="B89" s="132" t="s">
        <v>8901</v>
      </c>
      <c r="C89" s="133" t="s">
        <v>8904</v>
      </c>
      <c r="D89" s="130">
        <v>14</v>
      </c>
      <c r="E89" s="94">
        <v>25</v>
      </c>
    </row>
    <row r="90" spans="1:5" ht="24" customHeight="1" x14ac:dyDescent="0.2">
      <c r="A90" s="129" t="s">
        <v>8905</v>
      </c>
      <c r="B90" s="132" t="s">
        <v>8906</v>
      </c>
      <c r="C90" s="133" t="s">
        <v>8907</v>
      </c>
      <c r="D90" s="130">
        <v>36</v>
      </c>
      <c r="E90" s="94">
        <v>25</v>
      </c>
    </row>
    <row r="91" spans="1:5" ht="24" customHeight="1" x14ac:dyDescent="0.2">
      <c r="A91" s="129" t="s">
        <v>8908</v>
      </c>
      <c r="B91" s="132" t="s">
        <v>8909</v>
      </c>
      <c r="C91" s="133" t="s">
        <v>8910</v>
      </c>
      <c r="D91" s="130">
        <v>26</v>
      </c>
      <c r="E91" s="94">
        <v>25</v>
      </c>
    </row>
    <row r="92" spans="1:5" ht="24" customHeight="1" x14ac:dyDescent="0.2">
      <c r="A92" s="129" t="s">
        <v>8911</v>
      </c>
      <c r="B92" s="132" t="s">
        <v>8912</v>
      </c>
      <c r="C92" s="133" t="s">
        <v>8913</v>
      </c>
      <c r="D92" s="130">
        <v>10</v>
      </c>
      <c r="E92" s="94">
        <v>25</v>
      </c>
    </row>
    <row r="93" spans="1:5" ht="24" customHeight="1" x14ac:dyDescent="0.2">
      <c r="A93" s="129" t="s">
        <v>8914</v>
      </c>
      <c r="B93" s="132" t="s">
        <v>8912</v>
      </c>
      <c r="C93" s="133" t="s">
        <v>8915</v>
      </c>
      <c r="D93" s="130">
        <v>26</v>
      </c>
      <c r="E93" s="94">
        <v>25</v>
      </c>
    </row>
    <row r="94" spans="1:5" ht="24" customHeight="1" x14ac:dyDescent="0.2">
      <c r="A94" s="129" t="s">
        <v>8916</v>
      </c>
      <c r="B94" s="132" t="s">
        <v>8917</v>
      </c>
      <c r="C94" s="133" t="s">
        <v>8918</v>
      </c>
      <c r="D94" s="130">
        <v>59</v>
      </c>
      <c r="E94" s="94">
        <v>25</v>
      </c>
    </row>
    <row r="95" spans="1:5" ht="24" customHeight="1" x14ac:dyDescent="0.2">
      <c r="A95" s="129" t="s">
        <v>8919</v>
      </c>
      <c r="B95" s="132" t="s">
        <v>3082</v>
      </c>
      <c r="C95" s="133" t="s">
        <v>8920</v>
      </c>
      <c r="D95" s="130">
        <v>13</v>
      </c>
      <c r="E95" s="94">
        <v>25</v>
      </c>
    </row>
    <row r="96" spans="1:5" ht="24" customHeight="1" x14ac:dyDescent="0.2">
      <c r="A96" s="129" t="s">
        <v>8921</v>
      </c>
      <c r="B96" s="132" t="s">
        <v>8922</v>
      </c>
      <c r="C96" s="133" t="s">
        <v>8923</v>
      </c>
      <c r="D96" s="130">
        <v>29</v>
      </c>
      <c r="E96" s="94">
        <v>25</v>
      </c>
    </row>
    <row r="97" spans="1:5" ht="24" customHeight="1" x14ac:dyDescent="0.2">
      <c r="A97" s="129" t="s">
        <v>8924</v>
      </c>
      <c r="B97" s="132" t="s">
        <v>8925</v>
      </c>
      <c r="C97" s="133" t="s">
        <v>2225</v>
      </c>
      <c r="D97" s="130">
        <v>196</v>
      </c>
      <c r="E97" s="94">
        <v>25</v>
      </c>
    </row>
    <row r="98" spans="1:5" ht="24" customHeight="1" x14ac:dyDescent="0.2">
      <c r="A98" s="129" t="s">
        <v>8926</v>
      </c>
      <c r="B98" s="132" t="s">
        <v>8927</v>
      </c>
      <c r="C98" s="133" t="s">
        <v>8928</v>
      </c>
      <c r="D98" s="130">
        <v>17</v>
      </c>
      <c r="E98" s="94">
        <v>25</v>
      </c>
    </row>
    <row r="99" spans="1:5" ht="24" customHeight="1" x14ac:dyDescent="0.2">
      <c r="A99" s="132" t="s">
        <v>8929</v>
      </c>
      <c r="B99" s="132" t="s">
        <v>8930</v>
      </c>
      <c r="C99" s="133" t="s">
        <v>2765</v>
      </c>
      <c r="D99" s="130">
        <v>81</v>
      </c>
      <c r="E99" s="94">
        <v>25</v>
      </c>
    </row>
    <row r="100" spans="1:5" ht="24" customHeight="1" x14ac:dyDescent="0.2">
      <c r="A100" s="129" t="s">
        <v>8931</v>
      </c>
      <c r="B100" s="132" t="s">
        <v>8932</v>
      </c>
      <c r="C100" s="133" t="s">
        <v>8933</v>
      </c>
      <c r="D100" s="130">
        <v>151</v>
      </c>
      <c r="E100" s="94">
        <v>25</v>
      </c>
    </row>
    <row r="101" spans="1:5" ht="29" customHeight="1" x14ac:dyDescent="0.2">
      <c r="A101" s="134" t="s">
        <v>8934</v>
      </c>
      <c r="B101" s="135"/>
      <c r="C101" s="135"/>
      <c r="D101" s="130"/>
      <c r="E101" s="94">
        <v>25</v>
      </c>
    </row>
    <row r="102" spans="1:5" ht="24" customHeight="1" x14ac:dyDescent="0.2">
      <c r="A102" s="129" t="s">
        <v>8935</v>
      </c>
      <c r="B102" s="132" t="s">
        <v>8936</v>
      </c>
      <c r="C102" s="133" t="s">
        <v>8937</v>
      </c>
      <c r="D102" s="130">
        <v>9</v>
      </c>
      <c r="E102" s="94">
        <v>25</v>
      </c>
    </row>
    <row r="103" spans="1:5" ht="26" customHeight="1" x14ac:dyDescent="0.2">
      <c r="A103" s="129" t="s">
        <v>8938</v>
      </c>
      <c r="B103" s="132" t="s">
        <v>8886</v>
      </c>
      <c r="C103" s="133" t="s">
        <v>8730</v>
      </c>
      <c r="D103" s="130">
        <v>9</v>
      </c>
      <c r="E103" s="94">
        <v>25</v>
      </c>
    </row>
    <row r="104" spans="1:5" ht="26" customHeight="1" x14ac:dyDescent="0.2">
      <c r="A104" s="129" t="s">
        <v>8939</v>
      </c>
      <c r="B104" s="132" t="s">
        <v>8940</v>
      </c>
      <c r="C104" s="133" t="s">
        <v>8730</v>
      </c>
      <c r="D104" s="130">
        <v>9</v>
      </c>
      <c r="E104" s="94">
        <v>25</v>
      </c>
    </row>
    <row r="105" spans="1:5" ht="24" customHeight="1" x14ac:dyDescent="0.2">
      <c r="A105" s="129" t="s">
        <v>8941</v>
      </c>
      <c r="B105" s="132" t="s">
        <v>8942</v>
      </c>
      <c r="C105" s="133" t="s">
        <v>8730</v>
      </c>
      <c r="D105" s="130">
        <v>9</v>
      </c>
      <c r="E105" s="94">
        <v>25</v>
      </c>
    </row>
    <row r="106" spans="1:5" ht="24" customHeight="1" x14ac:dyDescent="0.2">
      <c r="A106" s="129" t="s">
        <v>8943</v>
      </c>
      <c r="B106" s="132" t="s">
        <v>8944</v>
      </c>
      <c r="C106" s="133" t="s">
        <v>8757</v>
      </c>
      <c r="D106" s="130">
        <v>8</v>
      </c>
      <c r="E106" s="94">
        <v>25</v>
      </c>
    </row>
    <row r="107" spans="1:5" ht="24" customHeight="1" x14ac:dyDescent="0.2">
      <c r="A107" s="129" t="s">
        <v>8945</v>
      </c>
      <c r="B107" s="133" t="s">
        <v>8946</v>
      </c>
      <c r="C107" s="133" t="s">
        <v>8757</v>
      </c>
      <c r="D107" s="130">
        <v>7</v>
      </c>
      <c r="E107" s="94">
        <v>25</v>
      </c>
    </row>
    <row r="108" spans="1:5" ht="24" customHeight="1" x14ac:dyDescent="0.2">
      <c r="A108" s="129" t="s">
        <v>8947</v>
      </c>
      <c r="B108" s="132" t="s">
        <v>8948</v>
      </c>
      <c r="C108" s="133" t="s">
        <v>8730</v>
      </c>
      <c r="D108" s="130">
        <v>7</v>
      </c>
      <c r="E108" s="94">
        <v>25</v>
      </c>
    </row>
    <row r="109" spans="1:5" ht="24" customHeight="1" x14ac:dyDescent="0.2">
      <c r="A109" s="129" t="s">
        <v>8949</v>
      </c>
      <c r="B109" s="129" t="s">
        <v>8950</v>
      </c>
      <c r="C109" s="129" t="s">
        <v>8730</v>
      </c>
      <c r="D109" s="130">
        <v>7</v>
      </c>
      <c r="E109" s="94">
        <v>25</v>
      </c>
    </row>
    <row r="110" spans="1:5" ht="24" customHeight="1" x14ac:dyDescent="0.2">
      <c r="A110" s="129" t="s">
        <v>8951</v>
      </c>
      <c r="B110" s="129" t="s">
        <v>8952</v>
      </c>
      <c r="C110" s="129" t="s">
        <v>8757</v>
      </c>
      <c r="D110" s="130">
        <v>7</v>
      </c>
      <c r="E110" s="94">
        <v>25</v>
      </c>
    </row>
    <row r="111" spans="1:5" ht="24" customHeight="1" x14ac:dyDescent="0.2">
      <c r="A111" s="129" t="s">
        <v>8953</v>
      </c>
      <c r="B111" s="129" t="s">
        <v>8954</v>
      </c>
      <c r="C111" s="129" t="s">
        <v>8730</v>
      </c>
      <c r="D111" s="130">
        <v>9</v>
      </c>
      <c r="E111" s="94">
        <v>25</v>
      </c>
    </row>
    <row r="112" spans="1:5" ht="24" customHeight="1" x14ac:dyDescent="0.2">
      <c r="A112" s="129" t="s">
        <v>8955</v>
      </c>
      <c r="B112" s="129" t="s">
        <v>8912</v>
      </c>
      <c r="C112" s="129" t="s">
        <v>8730</v>
      </c>
      <c r="D112" s="130">
        <v>8</v>
      </c>
      <c r="E112" s="94">
        <v>25</v>
      </c>
    </row>
    <row r="113" spans="1:5" ht="24" customHeight="1" x14ac:dyDescent="0.2">
      <c r="A113" s="129" t="s">
        <v>8956</v>
      </c>
      <c r="B113" s="129" t="s">
        <v>8957</v>
      </c>
      <c r="C113" s="129" t="s">
        <v>8757</v>
      </c>
      <c r="D113" s="130">
        <v>7</v>
      </c>
      <c r="E113" s="94">
        <v>25</v>
      </c>
    </row>
    <row r="114" spans="1:5" ht="24" customHeight="1" x14ac:dyDescent="0.2">
      <c r="A114" s="129" t="s">
        <v>8958</v>
      </c>
      <c r="B114" s="129" t="s">
        <v>8959</v>
      </c>
      <c r="C114" s="129" t="s">
        <v>8730</v>
      </c>
      <c r="D114" s="130">
        <v>7</v>
      </c>
      <c r="E114" s="94">
        <v>25</v>
      </c>
    </row>
    <row r="115" spans="1:5" ht="24" customHeight="1" x14ac:dyDescent="0.2">
      <c r="A115" s="129" t="s">
        <v>8960</v>
      </c>
      <c r="B115" s="129" t="s">
        <v>8961</v>
      </c>
      <c r="C115" s="129" t="s">
        <v>8757</v>
      </c>
      <c r="D115" s="130">
        <v>7</v>
      </c>
      <c r="E115" s="94">
        <v>25</v>
      </c>
    </row>
    <row r="116" spans="1:5" ht="24" customHeight="1" x14ac:dyDescent="0.2">
      <c r="A116" s="129" t="s">
        <v>8962</v>
      </c>
      <c r="B116" s="129" t="s">
        <v>8963</v>
      </c>
      <c r="C116" s="129" t="s">
        <v>8757</v>
      </c>
      <c r="D116" s="130">
        <v>7</v>
      </c>
      <c r="E116" s="94">
        <v>25</v>
      </c>
    </row>
    <row r="117" spans="1:5" ht="24" customHeight="1" x14ac:dyDescent="0.2">
      <c r="A117" s="129" t="s">
        <v>8964</v>
      </c>
      <c r="B117" s="129" t="s">
        <v>8965</v>
      </c>
      <c r="C117" s="129" t="s">
        <v>8757</v>
      </c>
      <c r="D117" s="130">
        <v>9</v>
      </c>
      <c r="E117" s="94">
        <v>25</v>
      </c>
    </row>
    <row r="118" spans="1:5" ht="24" customHeight="1" x14ac:dyDescent="0.2">
      <c r="A118" s="129" t="s">
        <v>8966</v>
      </c>
      <c r="B118" s="129" t="s">
        <v>8967</v>
      </c>
      <c r="C118" s="129" t="s">
        <v>8757</v>
      </c>
      <c r="D118" s="130">
        <v>7</v>
      </c>
      <c r="E118" s="94">
        <v>25</v>
      </c>
    </row>
    <row r="119" spans="1:5" ht="24" customHeight="1" x14ac:dyDescent="0.2">
      <c r="A119" s="129" t="s">
        <v>8968</v>
      </c>
      <c r="B119" s="129" t="s">
        <v>8969</v>
      </c>
      <c r="C119" s="129" t="s">
        <v>8757</v>
      </c>
      <c r="D119" s="130">
        <v>7</v>
      </c>
      <c r="E119" s="94">
        <v>25</v>
      </c>
    </row>
    <row r="120" spans="1:5" ht="24" customHeight="1" x14ac:dyDescent="0.2">
      <c r="A120" s="129" t="s">
        <v>8970</v>
      </c>
      <c r="B120" s="129" t="s">
        <v>8971</v>
      </c>
      <c r="C120" s="129" t="s">
        <v>8730</v>
      </c>
      <c r="D120" s="130">
        <v>9</v>
      </c>
      <c r="E120" s="94">
        <v>25</v>
      </c>
    </row>
    <row r="121" spans="1:5" ht="24" customHeight="1" x14ac:dyDescent="0.2">
      <c r="A121" s="129" t="s">
        <v>8972</v>
      </c>
      <c r="B121" s="129" t="s">
        <v>8932</v>
      </c>
      <c r="C121" s="129" t="s">
        <v>8730</v>
      </c>
      <c r="D121" s="130">
        <v>9</v>
      </c>
      <c r="E121" s="94">
        <v>25</v>
      </c>
    </row>
    <row r="122" spans="1:5" ht="24" customHeight="1" x14ac:dyDescent="0.2">
      <c r="A122" s="129" t="s">
        <v>8973</v>
      </c>
      <c r="B122" s="129" t="s">
        <v>8974</v>
      </c>
      <c r="C122" s="129" t="s">
        <v>8730</v>
      </c>
      <c r="D122" s="130">
        <v>9</v>
      </c>
      <c r="E122" s="94">
        <v>25</v>
      </c>
    </row>
    <row r="123" spans="1:5" ht="24" customHeight="1" x14ac:dyDescent="0.2">
      <c r="A123" s="129" t="s">
        <v>8975</v>
      </c>
      <c r="B123" s="129" t="s">
        <v>8976</v>
      </c>
      <c r="C123" s="129" t="s">
        <v>8730</v>
      </c>
      <c r="D123" s="130">
        <v>9</v>
      </c>
      <c r="E123" s="94">
        <v>25</v>
      </c>
    </row>
    <row r="124" spans="1:5" ht="24" customHeight="1" x14ac:dyDescent="0.2">
      <c r="A124" s="129" t="s">
        <v>8977</v>
      </c>
      <c r="B124" s="129" t="s">
        <v>8978</v>
      </c>
      <c r="C124" s="129" t="s">
        <v>8730</v>
      </c>
      <c r="D124" s="130">
        <v>9</v>
      </c>
      <c r="E124" s="94">
        <v>25</v>
      </c>
    </row>
    <row r="125" spans="1:5" ht="24" customHeight="1" x14ac:dyDescent="0.2">
      <c r="A125" s="129" t="s">
        <v>8979</v>
      </c>
      <c r="B125" s="129" t="s">
        <v>8980</v>
      </c>
      <c r="C125" s="129" t="s">
        <v>8730</v>
      </c>
      <c r="D125" s="130">
        <v>9</v>
      </c>
      <c r="E125" s="94">
        <v>25</v>
      </c>
    </row>
    <row r="126" spans="1:5" ht="24" customHeight="1" x14ac:dyDescent="0.2">
      <c r="A126" s="129" t="s">
        <v>8981</v>
      </c>
      <c r="B126" s="129" t="s">
        <v>8982</v>
      </c>
      <c r="C126" s="129" t="s">
        <v>8730</v>
      </c>
      <c r="D126" s="130">
        <v>9</v>
      </c>
      <c r="E126" s="94">
        <v>25</v>
      </c>
    </row>
    <row r="127" spans="1:5" ht="24" customHeight="1" x14ac:dyDescent="0.2">
      <c r="A127" s="129" t="s">
        <v>8983</v>
      </c>
      <c r="B127" s="129" t="s">
        <v>8984</v>
      </c>
      <c r="C127" s="129" t="s">
        <v>8730</v>
      </c>
      <c r="D127" s="130">
        <v>9</v>
      </c>
      <c r="E127" s="94">
        <v>25</v>
      </c>
    </row>
    <row r="128" spans="1:5" ht="24" customHeight="1" x14ac:dyDescent="0.2">
      <c r="A128" s="129" t="s">
        <v>8985</v>
      </c>
      <c r="B128" s="129" t="s">
        <v>8986</v>
      </c>
      <c r="C128" s="129" t="s">
        <v>8757</v>
      </c>
      <c r="D128" s="130">
        <v>9</v>
      </c>
      <c r="E128" s="94">
        <v>25</v>
      </c>
    </row>
    <row r="129" spans="1:5" ht="24" customHeight="1" x14ac:dyDescent="0.2">
      <c r="A129" s="129" t="s">
        <v>8987</v>
      </c>
      <c r="B129" s="129" t="s">
        <v>8988</v>
      </c>
      <c r="C129" s="129" t="s">
        <v>8730</v>
      </c>
      <c r="D129" s="130">
        <v>10</v>
      </c>
      <c r="E129" s="94">
        <v>25</v>
      </c>
    </row>
    <row r="130" spans="1:5" ht="24" customHeight="1" x14ac:dyDescent="0.2">
      <c r="A130" s="129" t="s">
        <v>8989</v>
      </c>
      <c r="B130" s="129" t="s">
        <v>8990</v>
      </c>
      <c r="C130" s="129" t="s">
        <v>8730</v>
      </c>
      <c r="D130" s="130">
        <v>9</v>
      </c>
      <c r="E130" s="94">
        <v>25</v>
      </c>
    </row>
    <row r="131" spans="1:5" ht="24" customHeight="1" x14ac:dyDescent="0.2">
      <c r="A131" s="129" t="s">
        <v>8991</v>
      </c>
      <c r="B131" s="129" t="s">
        <v>8992</v>
      </c>
      <c r="C131" s="129" t="s">
        <v>8730</v>
      </c>
      <c r="D131" s="130">
        <v>9</v>
      </c>
      <c r="E131" s="94">
        <v>25</v>
      </c>
    </row>
    <row r="132" spans="1:5" ht="24" customHeight="1" x14ac:dyDescent="0.2">
      <c r="A132" s="129" t="s">
        <v>8993</v>
      </c>
      <c r="B132" s="129" t="s">
        <v>8994</v>
      </c>
      <c r="C132" s="129" t="s">
        <v>8730</v>
      </c>
      <c r="D132" s="130">
        <v>9</v>
      </c>
      <c r="E132" s="94">
        <v>25</v>
      </c>
    </row>
    <row r="133" spans="1:5" ht="24" customHeight="1" x14ac:dyDescent="0.2">
      <c r="A133" s="129" t="s">
        <v>8995</v>
      </c>
      <c r="B133" s="129" t="s">
        <v>8996</v>
      </c>
      <c r="C133" s="129" t="s">
        <v>8730</v>
      </c>
      <c r="D133" s="130">
        <v>8</v>
      </c>
      <c r="E133" s="94">
        <v>25</v>
      </c>
    </row>
    <row r="134" spans="1:5" ht="24" customHeight="1" x14ac:dyDescent="0.2">
      <c r="A134" s="129" t="s">
        <v>8997</v>
      </c>
      <c r="B134" s="129" t="s">
        <v>6507</v>
      </c>
      <c r="C134" s="129" t="s">
        <v>8730</v>
      </c>
      <c r="D134" s="130">
        <v>9</v>
      </c>
      <c r="E134" s="94">
        <v>25</v>
      </c>
    </row>
    <row r="135" spans="1:5" ht="24" customHeight="1" x14ac:dyDescent="0.2">
      <c r="A135" s="129" t="s">
        <v>3471</v>
      </c>
      <c r="B135" s="129" t="s">
        <v>8998</v>
      </c>
      <c r="C135" s="129" t="s">
        <v>8730</v>
      </c>
      <c r="D135" s="130">
        <v>9</v>
      </c>
      <c r="E135" s="94">
        <v>25</v>
      </c>
    </row>
    <row r="136" spans="1:5" ht="24" customHeight="1" x14ac:dyDescent="0.2">
      <c r="A136" s="129" t="s">
        <v>8999</v>
      </c>
      <c r="B136" s="129" t="s">
        <v>9000</v>
      </c>
      <c r="C136" s="129" t="s">
        <v>8730</v>
      </c>
      <c r="D136" s="130">
        <v>8</v>
      </c>
      <c r="E136" s="94">
        <v>25</v>
      </c>
    </row>
    <row r="137" spans="1:5" ht="24" customHeight="1" x14ac:dyDescent="0.2">
      <c r="A137" s="129" t="s">
        <v>8958</v>
      </c>
      <c r="B137" s="129" t="s">
        <v>8959</v>
      </c>
      <c r="C137" s="129" t="s">
        <v>8730</v>
      </c>
      <c r="D137" s="130">
        <v>8.5</v>
      </c>
      <c r="E137" s="94">
        <v>25</v>
      </c>
    </row>
    <row r="138" spans="1:5" ht="24" customHeight="1" x14ac:dyDescent="0.2">
      <c r="A138" s="129" t="s">
        <v>9001</v>
      </c>
      <c r="B138" s="129" t="s">
        <v>9002</v>
      </c>
      <c r="C138" s="129" t="s">
        <v>8762</v>
      </c>
      <c r="D138" s="130">
        <v>9</v>
      </c>
      <c r="E138" s="94">
        <v>25</v>
      </c>
    </row>
    <row r="139" spans="1:5" ht="24" customHeight="1" x14ac:dyDescent="0.2">
      <c r="A139" s="129" t="s">
        <v>9003</v>
      </c>
      <c r="B139" s="129" t="s">
        <v>9004</v>
      </c>
      <c r="C139" s="129" t="s">
        <v>8762</v>
      </c>
      <c r="D139" s="130">
        <v>9</v>
      </c>
      <c r="E139" s="94">
        <v>25</v>
      </c>
    </row>
    <row r="140" spans="1:5" ht="24" customHeight="1" x14ac:dyDescent="0.2">
      <c r="A140" s="129" t="s">
        <v>9005</v>
      </c>
      <c r="B140" s="129" t="s">
        <v>9006</v>
      </c>
      <c r="C140" s="129" t="s">
        <v>8730</v>
      </c>
      <c r="D140" s="130">
        <v>10</v>
      </c>
      <c r="E140" s="94">
        <v>25</v>
      </c>
    </row>
    <row r="141" spans="1:5" ht="24" customHeight="1" x14ac:dyDescent="0.2">
      <c r="A141" s="134" t="s">
        <v>9007</v>
      </c>
      <c r="B141" s="134"/>
      <c r="C141" s="134"/>
      <c r="D141" s="130"/>
      <c r="E141" s="94">
        <v>25</v>
      </c>
    </row>
    <row r="142" spans="1:5" ht="26" customHeight="1" x14ac:dyDescent="0.2">
      <c r="A142" s="129" t="s">
        <v>9008</v>
      </c>
      <c r="B142" s="132" t="s">
        <v>9009</v>
      </c>
      <c r="C142" s="133" t="s">
        <v>8762</v>
      </c>
      <c r="D142" s="130">
        <v>7</v>
      </c>
      <c r="E142" s="94">
        <v>25</v>
      </c>
    </row>
    <row r="143" spans="1:5" ht="26" customHeight="1" x14ac:dyDescent="0.2">
      <c r="A143" s="129" t="s">
        <v>9010</v>
      </c>
      <c r="B143" s="132" t="s">
        <v>9011</v>
      </c>
      <c r="C143" s="133" t="s">
        <v>8762</v>
      </c>
      <c r="D143" s="130">
        <v>8</v>
      </c>
      <c r="E143" s="94">
        <v>25</v>
      </c>
    </row>
    <row r="144" spans="1:5" ht="24" customHeight="1" x14ac:dyDescent="0.2">
      <c r="A144" s="129" t="s">
        <v>9012</v>
      </c>
      <c r="B144" s="94" t="s">
        <v>9013</v>
      </c>
      <c r="C144" s="133" t="s">
        <v>8762</v>
      </c>
      <c r="D144" s="130">
        <v>8</v>
      </c>
      <c r="E144" s="94">
        <v>25</v>
      </c>
    </row>
    <row r="145" spans="1:5" ht="24" customHeight="1" x14ac:dyDescent="0.2">
      <c r="A145" s="129" t="s">
        <v>9014</v>
      </c>
      <c r="B145" s="132" t="s">
        <v>9015</v>
      </c>
      <c r="C145" s="133" t="s">
        <v>8762</v>
      </c>
      <c r="D145" s="130">
        <v>8</v>
      </c>
      <c r="E145" s="94">
        <v>25</v>
      </c>
    </row>
    <row r="146" spans="1:5" ht="24" customHeight="1" x14ac:dyDescent="0.2">
      <c r="A146" s="129" t="s">
        <v>9016</v>
      </c>
      <c r="B146" s="132" t="s">
        <v>9017</v>
      </c>
      <c r="C146" s="133" t="s">
        <v>8762</v>
      </c>
      <c r="D146" s="130">
        <v>8</v>
      </c>
      <c r="E146" s="94">
        <v>25</v>
      </c>
    </row>
    <row r="147" spans="1:5" ht="24" customHeight="1" x14ac:dyDescent="0.2">
      <c r="A147" s="129" t="s">
        <v>9018</v>
      </c>
      <c r="B147" s="132" t="s">
        <v>9019</v>
      </c>
      <c r="C147" s="133" t="s">
        <v>8762</v>
      </c>
      <c r="D147" s="130">
        <v>8</v>
      </c>
      <c r="E147" s="94">
        <v>25</v>
      </c>
    </row>
    <row r="148" spans="1:5" ht="24" customHeight="1" x14ac:dyDescent="0.2">
      <c r="A148" s="129" t="s">
        <v>9020</v>
      </c>
      <c r="B148" s="132" t="s">
        <v>9021</v>
      </c>
      <c r="C148" s="133" t="s">
        <v>8762</v>
      </c>
      <c r="D148" s="130">
        <v>6</v>
      </c>
      <c r="E148" s="94">
        <v>25</v>
      </c>
    </row>
    <row r="149" spans="1:5" ht="24" customHeight="1" x14ac:dyDescent="0.2">
      <c r="A149" s="129" t="s">
        <v>9022</v>
      </c>
      <c r="B149" s="132" t="s">
        <v>9023</v>
      </c>
      <c r="C149" s="133" t="s">
        <v>8762</v>
      </c>
      <c r="D149" s="130">
        <v>7</v>
      </c>
      <c r="E149" s="94">
        <v>25</v>
      </c>
    </row>
    <row r="150" spans="1:5" ht="24" customHeight="1" x14ac:dyDescent="0.2">
      <c r="A150" s="129" t="s">
        <v>9024</v>
      </c>
      <c r="B150" s="132" t="s">
        <v>9025</v>
      </c>
      <c r="C150" s="133" t="s">
        <v>8762</v>
      </c>
      <c r="D150" s="130">
        <v>7</v>
      </c>
      <c r="E150" s="94">
        <v>25</v>
      </c>
    </row>
    <row r="151" spans="1:5" ht="24" customHeight="1" x14ac:dyDescent="0.2">
      <c r="A151" s="129" t="s">
        <v>9026</v>
      </c>
      <c r="B151" s="132" t="s">
        <v>9027</v>
      </c>
      <c r="C151" s="133" t="s">
        <v>8762</v>
      </c>
      <c r="D151" s="130">
        <v>7</v>
      </c>
      <c r="E151" s="94">
        <v>25</v>
      </c>
    </row>
    <row r="152" spans="1:5" ht="24" customHeight="1" x14ac:dyDescent="0.2">
      <c r="A152" s="129" t="s">
        <v>9028</v>
      </c>
      <c r="B152" s="132" t="s">
        <v>9029</v>
      </c>
      <c r="C152" s="133" t="s">
        <v>8759</v>
      </c>
      <c r="D152" s="130">
        <v>8</v>
      </c>
      <c r="E152" s="94">
        <v>25</v>
      </c>
    </row>
    <row r="153" spans="1:5" ht="26" customHeight="1" x14ac:dyDescent="0.2">
      <c r="A153" s="129" t="s">
        <v>9030</v>
      </c>
      <c r="B153" s="132" t="s">
        <v>5379</v>
      </c>
      <c r="C153" s="133" t="s">
        <v>8759</v>
      </c>
      <c r="D153" s="130">
        <v>5</v>
      </c>
      <c r="E153" s="94">
        <v>25</v>
      </c>
    </row>
    <row r="154" spans="1:5" ht="24" customHeight="1" x14ac:dyDescent="0.2">
      <c r="A154" s="129" t="s">
        <v>9031</v>
      </c>
      <c r="B154" s="94" t="s">
        <v>9032</v>
      </c>
      <c r="C154" s="94" t="s">
        <v>8759</v>
      </c>
      <c r="D154" s="130">
        <v>7.5</v>
      </c>
      <c r="E154" s="94">
        <v>25</v>
      </c>
    </row>
    <row r="155" spans="1:5" ht="26" customHeight="1" x14ac:dyDescent="0.2">
      <c r="A155" s="129" t="s">
        <v>9033</v>
      </c>
      <c r="B155" s="132" t="s">
        <v>9034</v>
      </c>
      <c r="C155" s="133" t="s">
        <v>8759</v>
      </c>
      <c r="D155" s="130">
        <v>5</v>
      </c>
      <c r="E155" s="94">
        <v>25</v>
      </c>
    </row>
    <row r="156" spans="1:5" ht="26" customHeight="1" x14ac:dyDescent="0.2">
      <c r="A156" s="129" t="s">
        <v>9035</v>
      </c>
      <c r="B156" s="132" t="s">
        <v>9036</v>
      </c>
      <c r="C156" s="133" t="s">
        <v>8759</v>
      </c>
      <c r="D156" s="130">
        <v>7</v>
      </c>
      <c r="E156" s="94">
        <v>25</v>
      </c>
    </row>
    <row r="157" spans="1:5" ht="26" customHeight="1" x14ac:dyDescent="0.2">
      <c r="A157" s="129" t="s">
        <v>9037</v>
      </c>
      <c r="B157" s="132" t="s">
        <v>9038</v>
      </c>
      <c r="C157" s="132" t="s">
        <v>8759</v>
      </c>
      <c r="D157" s="130">
        <v>7</v>
      </c>
      <c r="E157" s="94">
        <v>25</v>
      </c>
    </row>
    <row r="158" spans="1:5" ht="26" customHeight="1" x14ac:dyDescent="0.2">
      <c r="A158" s="129" t="s">
        <v>9039</v>
      </c>
      <c r="B158" s="132" t="s">
        <v>9040</v>
      </c>
      <c r="C158" s="132" t="s">
        <v>8759</v>
      </c>
      <c r="D158" s="130">
        <v>6</v>
      </c>
      <c r="E158" s="94">
        <v>25</v>
      </c>
    </row>
    <row r="159" spans="1:5" ht="26" customHeight="1" x14ac:dyDescent="0.2">
      <c r="A159" s="129" t="s">
        <v>9041</v>
      </c>
      <c r="B159" s="132" t="s">
        <v>9042</v>
      </c>
      <c r="C159" s="133" t="s">
        <v>8759</v>
      </c>
      <c r="D159" s="130">
        <v>7</v>
      </c>
      <c r="E159" s="94">
        <v>25</v>
      </c>
    </row>
    <row r="160" spans="1:5" ht="26" customHeight="1" x14ac:dyDescent="0.2">
      <c r="A160" s="129" t="s">
        <v>9043</v>
      </c>
      <c r="B160" s="132" t="s">
        <v>9044</v>
      </c>
      <c r="C160" s="133" t="s">
        <v>8759</v>
      </c>
      <c r="D160" s="130">
        <v>6</v>
      </c>
      <c r="E160" s="94">
        <v>25</v>
      </c>
    </row>
    <row r="161" spans="1:5" ht="26" customHeight="1" x14ac:dyDescent="0.2">
      <c r="A161" s="129" t="s">
        <v>9045</v>
      </c>
      <c r="B161" s="132" t="s">
        <v>9046</v>
      </c>
      <c r="C161" s="133" t="s">
        <v>8759</v>
      </c>
      <c r="D161" s="130">
        <v>6</v>
      </c>
      <c r="E161" s="94">
        <v>25</v>
      </c>
    </row>
    <row r="162" spans="1:5" ht="26" customHeight="1" x14ac:dyDescent="0.2">
      <c r="A162" s="129" t="s">
        <v>9047</v>
      </c>
      <c r="B162" s="129" t="s">
        <v>9048</v>
      </c>
      <c r="C162" s="129" t="s">
        <v>9049</v>
      </c>
      <c r="D162" s="130">
        <v>7</v>
      </c>
      <c r="E162" s="94">
        <v>25</v>
      </c>
    </row>
    <row r="163" spans="1:5" ht="24" customHeight="1" x14ac:dyDescent="0.2">
      <c r="A163" s="129" t="s">
        <v>9050</v>
      </c>
      <c r="B163" s="129" t="s">
        <v>9051</v>
      </c>
      <c r="C163" s="129" t="s">
        <v>8759</v>
      </c>
      <c r="D163" s="130">
        <v>7.5</v>
      </c>
      <c r="E163" s="94">
        <v>25</v>
      </c>
    </row>
    <row r="164" spans="1:5" ht="24" customHeight="1" x14ac:dyDescent="0.2">
      <c r="A164" s="129" t="s">
        <v>9052</v>
      </c>
      <c r="B164" s="129" t="s">
        <v>9053</v>
      </c>
      <c r="C164" s="129" t="s">
        <v>8759</v>
      </c>
      <c r="D164" s="130">
        <v>6.5</v>
      </c>
      <c r="E164" s="94">
        <v>25</v>
      </c>
    </row>
    <row r="165" spans="1:5" ht="24" customHeight="1" x14ac:dyDescent="0.2">
      <c r="A165" s="129" t="s">
        <v>9054</v>
      </c>
      <c r="B165" s="129" t="s">
        <v>9055</v>
      </c>
      <c r="C165" s="129" t="s">
        <v>8759</v>
      </c>
      <c r="D165" s="130">
        <v>7</v>
      </c>
      <c r="E165" s="94">
        <v>25</v>
      </c>
    </row>
    <row r="166" spans="1:5" ht="24" customHeight="1" x14ac:dyDescent="0.2">
      <c r="A166" s="129" t="s">
        <v>9056</v>
      </c>
      <c r="B166" s="129" t="s">
        <v>9057</v>
      </c>
      <c r="C166" s="129" t="s">
        <v>8759</v>
      </c>
      <c r="D166" s="130">
        <v>7.5</v>
      </c>
      <c r="E166" s="94">
        <v>25</v>
      </c>
    </row>
    <row r="167" spans="1:5" ht="24" customHeight="1" x14ac:dyDescent="0.2">
      <c r="A167" s="129" t="s">
        <v>9058</v>
      </c>
      <c r="B167" s="129" t="s">
        <v>9059</v>
      </c>
      <c r="C167" s="129" t="s">
        <v>8759</v>
      </c>
      <c r="D167" s="130">
        <v>7.5</v>
      </c>
      <c r="E167" s="94">
        <v>25</v>
      </c>
    </row>
    <row r="168" spans="1:5" ht="24" customHeight="1" x14ac:dyDescent="0.2">
      <c r="A168" s="129" t="s">
        <v>9060</v>
      </c>
      <c r="B168" s="129" t="s">
        <v>9061</v>
      </c>
      <c r="C168" s="129" t="s">
        <v>8759</v>
      </c>
      <c r="D168" s="130">
        <v>8</v>
      </c>
      <c r="E168" s="94">
        <v>25</v>
      </c>
    </row>
    <row r="169" spans="1:5" ht="24" customHeight="1" x14ac:dyDescent="0.2">
      <c r="A169" s="129" t="s">
        <v>9062</v>
      </c>
      <c r="B169" s="129" t="s">
        <v>9063</v>
      </c>
      <c r="C169" s="129" t="s">
        <v>8759</v>
      </c>
      <c r="D169" s="130">
        <v>7</v>
      </c>
      <c r="E169" s="94">
        <v>25</v>
      </c>
    </row>
    <row r="170" spans="1:5" ht="24" customHeight="1" x14ac:dyDescent="0.2">
      <c r="A170" s="129" t="s">
        <v>9064</v>
      </c>
      <c r="B170" s="129" t="s">
        <v>9065</v>
      </c>
      <c r="C170" s="129" t="s">
        <v>8759</v>
      </c>
      <c r="D170" s="130">
        <v>7</v>
      </c>
      <c r="E170" s="94">
        <v>25</v>
      </c>
    </row>
    <row r="171" spans="1:5" ht="24" customHeight="1" x14ac:dyDescent="0.2">
      <c r="A171" s="129" t="s">
        <v>9066</v>
      </c>
      <c r="B171" s="129" t="s">
        <v>9067</v>
      </c>
      <c r="C171" s="129" t="s">
        <v>8759</v>
      </c>
      <c r="D171" s="130">
        <v>7</v>
      </c>
      <c r="E171" s="94">
        <v>25</v>
      </c>
    </row>
    <row r="172" spans="1:5" ht="24" customHeight="1" x14ac:dyDescent="0.2">
      <c r="A172" s="129" t="s">
        <v>9068</v>
      </c>
      <c r="B172" s="129" t="s">
        <v>9069</v>
      </c>
      <c r="C172" s="129" t="s">
        <v>8759</v>
      </c>
      <c r="D172" s="130">
        <v>7</v>
      </c>
      <c r="E172" s="94">
        <v>25</v>
      </c>
    </row>
    <row r="173" spans="1:5" ht="24" customHeight="1" x14ac:dyDescent="0.2">
      <c r="A173" s="129" t="s">
        <v>9070</v>
      </c>
      <c r="B173" s="129" t="s">
        <v>9071</v>
      </c>
      <c r="C173" s="129" t="s">
        <v>8759</v>
      </c>
      <c r="D173" s="130">
        <v>7</v>
      </c>
      <c r="E173" s="94">
        <v>25</v>
      </c>
    </row>
    <row r="174" spans="1:5" ht="24" customHeight="1" x14ac:dyDescent="0.2">
      <c r="A174" s="129" t="s">
        <v>9072</v>
      </c>
      <c r="B174" s="129" t="s">
        <v>9073</v>
      </c>
      <c r="C174" s="129" t="s">
        <v>8759</v>
      </c>
      <c r="D174" s="130">
        <v>7</v>
      </c>
      <c r="E174" s="94">
        <v>25</v>
      </c>
    </row>
    <row r="175" spans="1:5" ht="24" customHeight="1" x14ac:dyDescent="0.2">
      <c r="A175" s="129" t="s">
        <v>9074</v>
      </c>
      <c r="B175" s="129" t="s">
        <v>9075</v>
      </c>
      <c r="C175" s="129" t="s">
        <v>8759</v>
      </c>
      <c r="D175" s="130">
        <v>7</v>
      </c>
      <c r="E175" s="94">
        <v>25</v>
      </c>
    </row>
    <row r="176" spans="1:5" ht="24" customHeight="1" x14ac:dyDescent="0.2">
      <c r="A176" s="129" t="s">
        <v>9076</v>
      </c>
      <c r="B176" s="129" t="s">
        <v>9077</v>
      </c>
      <c r="C176" s="129" t="s">
        <v>8759</v>
      </c>
      <c r="D176" s="130">
        <v>7</v>
      </c>
      <c r="E176" s="94">
        <v>25</v>
      </c>
    </row>
    <row r="177" spans="1:20" ht="24" customHeight="1" x14ac:dyDescent="0.2">
      <c r="A177" s="141"/>
      <c r="B177" s="141"/>
      <c r="C177" s="141"/>
      <c r="D177" s="142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</row>
    <row r="178" spans="1:20" ht="24" customHeight="1" x14ac:dyDescent="0.2">
      <c r="A178" s="134" t="s">
        <v>9078</v>
      </c>
      <c r="B178" s="134"/>
      <c r="C178" s="134"/>
      <c r="D178" s="130"/>
    </row>
    <row r="179" spans="1:20" ht="24" customHeight="1" x14ac:dyDescent="0.2">
      <c r="A179" s="129" t="s">
        <v>2160</v>
      </c>
      <c r="B179" s="132" t="s">
        <v>9079</v>
      </c>
      <c r="C179" s="133" t="s">
        <v>2161</v>
      </c>
      <c r="D179" s="130">
        <v>260</v>
      </c>
    </row>
    <row r="180" spans="1:20" ht="24" customHeight="1" x14ac:dyDescent="0.2">
      <c r="A180" s="129" t="s">
        <v>2224</v>
      </c>
      <c r="B180" s="132" t="s">
        <v>9080</v>
      </c>
      <c r="C180" s="133" t="s">
        <v>2225</v>
      </c>
      <c r="D180" s="130">
        <v>45</v>
      </c>
    </row>
    <row r="181" spans="1:20" ht="24" customHeight="1" x14ac:dyDescent="0.2">
      <c r="A181" s="129" t="s">
        <v>2174</v>
      </c>
      <c r="B181" s="132" t="s">
        <v>9081</v>
      </c>
      <c r="C181" s="133" t="s">
        <v>2161</v>
      </c>
      <c r="D181" s="130">
        <v>125</v>
      </c>
    </row>
    <row r="182" spans="1:20" ht="24" customHeight="1" x14ac:dyDescent="0.2">
      <c r="A182" s="129" t="s">
        <v>2174</v>
      </c>
      <c r="B182" s="132" t="s">
        <v>9081</v>
      </c>
      <c r="C182" s="133" t="s">
        <v>2176</v>
      </c>
      <c r="D182" s="130">
        <v>145</v>
      </c>
    </row>
    <row r="183" spans="1:20" ht="24" customHeight="1" x14ac:dyDescent="0.2">
      <c r="A183" s="132" t="s">
        <v>2174</v>
      </c>
      <c r="B183" s="132" t="s">
        <v>9082</v>
      </c>
      <c r="C183" s="133" t="s">
        <v>2178</v>
      </c>
      <c r="D183" s="130">
        <v>185</v>
      </c>
    </row>
    <row r="184" spans="1:20" ht="24" customHeight="1" x14ac:dyDescent="0.2">
      <c r="A184" s="129" t="s">
        <v>9083</v>
      </c>
      <c r="B184" s="132" t="s">
        <v>9084</v>
      </c>
      <c r="C184" s="132" t="s">
        <v>2235</v>
      </c>
      <c r="D184" s="130">
        <v>24</v>
      </c>
    </row>
    <row r="185" spans="1:20" ht="24" customHeight="1" x14ac:dyDescent="0.2">
      <c r="A185" s="129" t="s">
        <v>2240</v>
      </c>
      <c r="B185" s="132" t="s">
        <v>9085</v>
      </c>
      <c r="C185" s="132" t="s">
        <v>2161</v>
      </c>
      <c r="D185" s="130">
        <v>130</v>
      </c>
    </row>
    <row r="186" spans="1:20" ht="24" customHeight="1" x14ac:dyDescent="0.2">
      <c r="A186" s="129" t="s">
        <v>2242</v>
      </c>
      <c r="B186" s="132" t="s">
        <v>9086</v>
      </c>
      <c r="C186" s="132" t="s">
        <v>2161</v>
      </c>
      <c r="D186" s="130">
        <v>80</v>
      </c>
    </row>
    <row r="187" spans="1:20" ht="24" customHeight="1" x14ac:dyDescent="0.2">
      <c r="A187" s="129" t="s">
        <v>9087</v>
      </c>
      <c r="B187" s="132" t="s">
        <v>9088</v>
      </c>
      <c r="C187" s="132" t="s">
        <v>2230</v>
      </c>
      <c r="D187" s="130">
        <v>17</v>
      </c>
    </row>
    <row r="188" spans="1:20" ht="24" customHeight="1" x14ac:dyDescent="0.2">
      <c r="A188" s="129"/>
      <c r="B188" s="140"/>
      <c r="C188" s="140"/>
      <c r="D188" s="130"/>
    </row>
    <row r="189" spans="1:20" ht="24" customHeight="1" x14ac:dyDescent="0.2">
      <c r="A189" s="129"/>
      <c r="B189" s="140"/>
      <c r="C189" s="140"/>
      <c r="D189" s="130"/>
    </row>
    <row r="190" spans="1:20" ht="24" customHeight="1" x14ac:dyDescent="0.2">
      <c r="A190" s="134" t="s">
        <v>9089</v>
      </c>
      <c r="B190" s="135"/>
      <c r="C190" s="135"/>
      <c r="D190" s="130"/>
    </row>
    <row r="191" spans="1:20" ht="24" customHeight="1" x14ac:dyDescent="0.2">
      <c r="A191" s="129" t="s">
        <v>9090</v>
      </c>
      <c r="B191" s="132" t="s">
        <v>9091</v>
      </c>
      <c r="C191" s="133" t="s">
        <v>9092</v>
      </c>
      <c r="D191" s="130">
        <v>18</v>
      </c>
    </row>
    <row r="192" spans="1:20" ht="24" customHeight="1" x14ac:dyDescent="0.2">
      <c r="A192" s="129" t="s">
        <v>9090</v>
      </c>
      <c r="B192" s="132" t="s">
        <v>9091</v>
      </c>
      <c r="C192" s="133" t="s">
        <v>9093</v>
      </c>
      <c r="D192" s="130">
        <v>28</v>
      </c>
    </row>
    <row r="193" spans="1:4" ht="24" customHeight="1" x14ac:dyDescent="0.2">
      <c r="A193" s="129" t="s">
        <v>9090</v>
      </c>
      <c r="B193" s="132" t="s">
        <v>9091</v>
      </c>
      <c r="C193" s="133" t="s">
        <v>9094</v>
      </c>
      <c r="D193" s="130">
        <v>40</v>
      </c>
    </row>
    <row r="194" spans="1:4" ht="24" customHeight="1" x14ac:dyDescent="0.2">
      <c r="A194" s="129" t="s">
        <v>9090</v>
      </c>
      <c r="B194" s="132" t="s">
        <v>9091</v>
      </c>
      <c r="C194" s="133" t="s">
        <v>9095</v>
      </c>
      <c r="D194" s="130">
        <v>60</v>
      </c>
    </row>
    <row r="195" spans="1:4" ht="24" customHeight="1" x14ac:dyDescent="0.2">
      <c r="A195" s="129" t="s">
        <v>9090</v>
      </c>
      <c r="B195" s="132" t="s">
        <v>9091</v>
      </c>
      <c r="C195" s="133" t="s">
        <v>9096</v>
      </c>
      <c r="D195" s="130">
        <v>85</v>
      </c>
    </row>
    <row r="196" spans="1:4" ht="24" customHeight="1" x14ac:dyDescent="0.2">
      <c r="A196" s="129" t="s">
        <v>9090</v>
      </c>
      <c r="B196" s="132" t="s">
        <v>9091</v>
      </c>
      <c r="C196" s="133" t="s">
        <v>8923</v>
      </c>
      <c r="D196" s="130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1D66-994D-2B4F-899D-47F38BDC6354}">
  <sheetPr>
    <outlinePr summaryBelow="0" summaryRight="0"/>
  </sheetPr>
  <dimension ref="A1:C56"/>
  <sheetViews>
    <sheetView workbookViewId="0"/>
  </sheetViews>
  <sheetFormatPr baseColWidth="10" defaultColWidth="14" defaultRowHeight="14" x14ac:dyDescent="0.2"/>
  <cols>
    <col min="1" max="1" width="15" customWidth="1"/>
    <col min="2" max="2" width="41" customWidth="1"/>
    <col min="3" max="3" width="23" customWidth="1"/>
    <col min="4" max="20" width="10" customWidth="1"/>
  </cols>
  <sheetData>
    <row r="1" spans="1:3" ht="47" customHeight="1" x14ac:dyDescent="0.2">
      <c r="A1" s="147"/>
      <c r="B1" s="146" t="s">
        <v>9097</v>
      </c>
    </row>
    <row r="2" spans="1:3" ht="27" customHeight="1" x14ac:dyDescent="0.2">
      <c r="A2" s="145" t="s">
        <v>9098</v>
      </c>
      <c r="B2" s="146" t="s">
        <v>9099</v>
      </c>
      <c r="C2" s="98" t="s">
        <v>9100</v>
      </c>
    </row>
    <row r="3" spans="1:3" ht="15" customHeight="1" x14ac:dyDescent="0.2">
      <c r="A3" s="143">
        <v>68</v>
      </c>
      <c r="B3" s="144" t="s">
        <v>9101</v>
      </c>
    </row>
    <row r="4" spans="1:3" ht="15" customHeight="1" x14ac:dyDescent="0.2">
      <c r="A4" s="143">
        <v>85</v>
      </c>
      <c r="B4" s="144" t="s">
        <v>9102</v>
      </c>
    </row>
    <row r="5" spans="1:3" ht="15" customHeight="1" x14ac:dyDescent="0.2">
      <c r="A5" s="143">
        <v>76</v>
      </c>
      <c r="B5" s="144" t="s">
        <v>9103</v>
      </c>
    </row>
    <row r="6" spans="1:3" ht="15" customHeight="1" x14ac:dyDescent="0.2">
      <c r="A6" s="143">
        <v>71</v>
      </c>
      <c r="B6" s="144" t="s">
        <v>9104</v>
      </c>
    </row>
    <row r="7" spans="1:3" ht="15" customHeight="1" x14ac:dyDescent="0.2">
      <c r="A7" s="143">
        <v>64</v>
      </c>
      <c r="B7" s="144" t="s">
        <v>9105</v>
      </c>
    </row>
    <row r="8" spans="1:3" ht="15" customHeight="1" x14ac:dyDescent="0.2">
      <c r="A8" s="143">
        <v>65</v>
      </c>
      <c r="B8" s="144" t="s">
        <v>9106</v>
      </c>
    </row>
    <row r="9" spans="1:3" ht="15" customHeight="1" x14ac:dyDescent="0.2">
      <c r="A9" s="143">
        <v>57</v>
      </c>
      <c r="B9" s="144" t="s">
        <v>9107</v>
      </c>
    </row>
    <row r="10" spans="1:3" ht="15" customHeight="1" x14ac:dyDescent="0.2">
      <c r="A10" s="143">
        <v>98</v>
      </c>
      <c r="B10" s="144" t="s">
        <v>9108</v>
      </c>
    </row>
    <row r="11" spans="1:3" ht="15" customHeight="1" x14ac:dyDescent="0.2">
      <c r="A11" s="143">
        <v>62</v>
      </c>
      <c r="B11" s="144" t="s">
        <v>9109</v>
      </c>
    </row>
    <row r="12" spans="1:3" ht="15" customHeight="1" x14ac:dyDescent="0.2">
      <c r="A12" s="143">
        <v>58</v>
      </c>
      <c r="B12" s="144" t="s">
        <v>9110</v>
      </c>
    </row>
    <row r="13" spans="1:3" ht="15" customHeight="1" x14ac:dyDescent="0.2">
      <c r="A13" s="143">
        <v>51</v>
      </c>
      <c r="B13" s="144" t="s">
        <v>9111</v>
      </c>
    </row>
    <row r="14" spans="1:3" ht="15" customHeight="1" x14ac:dyDescent="0.2">
      <c r="A14" s="143">
        <v>52</v>
      </c>
      <c r="B14" s="144" t="s">
        <v>9112</v>
      </c>
    </row>
    <row r="15" spans="1:3" ht="15" customHeight="1" x14ac:dyDescent="0.2">
      <c r="A15" s="143">
        <v>60</v>
      </c>
      <c r="B15" s="144" t="s">
        <v>9113</v>
      </c>
    </row>
    <row r="16" spans="1:3" ht="15" customHeight="1" x14ac:dyDescent="0.2">
      <c r="A16" s="143">
        <v>67</v>
      </c>
      <c r="B16" s="144" t="s">
        <v>9114</v>
      </c>
    </row>
    <row r="17" spans="1:3" ht="15" customHeight="1" x14ac:dyDescent="0.2">
      <c r="A17" s="143">
        <v>66</v>
      </c>
      <c r="B17" s="144" t="s">
        <v>9115</v>
      </c>
    </row>
    <row r="18" spans="1:3" ht="15" customHeight="1" x14ac:dyDescent="0.2">
      <c r="A18" s="143">
        <v>61</v>
      </c>
      <c r="B18" s="144" t="s">
        <v>9116</v>
      </c>
    </row>
    <row r="19" spans="1:3" ht="15" customHeight="1" x14ac:dyDescent="0.2">
      <c r="A19" s="143">
        <v>88</v>
      </c>
      <c r="B19" s="144" t="s">
        <v>9117</v>
      </c>
    </row>
    <row r="20" spans="1:3" ht="15" customHeight="1" x14ac:dyDescent="0.2">
      <c r="A20" s="143">
        <v>69</v>
      </c>
      <c r="B20" s="144" t="s">
        <v>9118</v>
      </c>
    </row>
    <row r="21" spans="1:3" ht="15" customHeight="1" x14ac:dyDescent="0.2">
      <c r="A21" s="143">
        <v>99</v>
      </c>
      <c r="B21" s="144" t="s">
        <v>9119</v>
      </c>
    </row>
    <row r="22" spans="1:3" ht="15" customHeight="1" x14ac:dyDescent="0.2">
      <c r="A22" s="143">
        <v>87</v>
      </c>
      <c r="B22" s="144" t="s">
        <v>9120</v>
      </c>
    </row>
    <row r="23" spans="1:3" ht="15" customHeight="1" x14ac:dyDescent="0.2">
      <c r="A23" s="143">
        <v>89</v>
      </c>
      <c r="B23" s="144" t="s">
        <v>9121</v>
      </c>
    </row>
    <row r="24" spans="1:3" ht="15" customHeight="1" x14ac:dyDescent="0.2">
      <c r="A24" s="143">
        <v>77</v>
      </c>
      <c r="B24" s="144" t="s">
        <v>9122</v>
      </c>
    </row>
    <row r="25" spans="1:3" ht="15" customHeight="1" x14ac:dyDescent="0.2">
      <c r="A25" s="143">
        <v>78</v>
      </c>
      <c r="B25" s="144" t="s">
        <v>9123</v>
      </c>
    </row>
    <row r="26" spans="1:3" ht="15" customHeight="1" x14ac:dyDescent="0.2">
      <c r="A26" s="143">
        <v>72</v>
      </c>
      <c r="B26" s="144" t="s">
        <v>2152</v>
      </c>
    </row>
    <row r="27" spans="1:3" ht="15" customHeight="1" x14ac:dyDescent="0.2">
      <c r="A27" s="143">
        <v>82</v>
      </c>
      <c r="B27" s="144" t="s">
        <v>2427</v>
      </c>
      <c r="C27" s="98">
        <v>1375</v>
      </c>
    </row>
    <row r="28" spans="1:3" ht="15" customHeight="1" x14ac:dyDescent="0.2">
      <c r="A28" s="143">
        <v>108</v>
      </c>
      <c r="B28" s="144" t="s">
        <v>9124</v>
      </c>
    </row>
    <row r="29" spans="1:3" ht="15" customHeight="1" x14ac:dyDescent="0.2">
      <c r="A29" s="143">
        <v>103</v>
      </c>
      <c r="B29" s="144" t="s">
        <v>9125</v>
      </c>
    </row>
    <row r="30" spans="1:3" ht="15" customHeight="1" x14ac:dyDescent="0.2">
      <c r="A30" s="143">
        <v>73</v>
      </c>
      <c r="B30" s="144" t="s">
        <v>9126</v>
      </c>
    </row>
    <row r="31" spans="1:3" ht="15" customHeight="1" x14ac:dyDescent="0.2">
      <c r="A31" s="143">
        <v>56</v>
      </c>
      <c r="B31" s="144" t="s">
        <v>9127</v>
      </c>
    </row>
    <row r="32" spans="1:3" ht="15" customHeight="1" x14ac:dyDescent="0.2">
      <c r="A32" s="143">
        <v>55</v>
      </c>
      <c r="B32" s="144" t="s">
        <v>9128</v>
      </c>
    </row>
    <row r="33" spans="1:2" ht="15" customHeight="1" x14ac:dyDescent="0.2">
      <c r="A33" s="143">
        <v>54</v>
      </c>
      <c r="B33" s="144" t="s">
        <v>9129</v>
      </c>
    </row>
    <row r="34" spans="1:2" ht="15" customHeight="1" x14ac:dyDescent="0.2">
      <c r="A34" s="143">
        <v>59</v>
      </c>
      <c r="B34" s="144" t="s">
        <v>9130</v>
      </c>
    </row>
    <row r="35" spans="1:2" ht="15" customHeight="1" x14ac:dyDescent="0.2">
      <c r="A35" s="143">
        <v>101</v>
      </c>
      <c r="B35" s="144" t="s">
        <v>9131</v>
      </c>
    </row>
    <row r="36" spans="1:2" ht="15" customHeight="1" x14ac:dyDescent="0.2">
      <c r="A36" s="143">
        <v>96</v>
      </c>
      <c r="B36" s="144" t="s">
        <v>9132</v>
      </c>
    </row>
    <row r="37" spans="1:2" ht="15" customHeight="1" x14ac:dyDescent="0.2">
      <c r="A37" s="143">
        <v>53</v>
      </c>
      <c r="B37" s="144" t="s">
        <v>9133</v>
      </c>
    </row>
    <row r="38" spans="1:2" ht="15" customHeight="1" x14ac:dyDescent="0.2">
      <c r="A38" s="143">
        <v>97</v>
      </c>
      <c r="B38" s="144" t="s">
        <v>9134</v>
      </c>
    </row>
    <row r="39" spans="1:2" ht="15" customHeight="1" x14ac:dyDescent="0.2">
      <c r="A39" s="143">
        <v>75</v>
      </c>
      <c r="B39" s="144" t="s">
        <v>9135</v>
      </c>
    </row>
    <row r="40" spans="1:2" ht="15" customHeight="1" x14ac:dyDescent="0.2">
      <c r="A40" s="143">
        <v>91</v>
      </c>
      <c r="B40" s="144" t="s">
        <v>9136</v>
      </c>
    </row>
    <row r="41" spans="1:2" ht="15" customHeight="1" x14ac:dyDescent="0.2">
      <c r="A41" s="143">
        <v>74</v>
      </c>
      <c r="B41" s="144" t="s">
        <v>9137</v>
      </c>
    </row>
    <row r="42" spans="1:2" ht="15" customHeight="1" x14ac:dyDescent="0.2">
      <c r="A42" s="143">
        <v>79</v>
      </c>
      <c r="B42" s="144" t="s">
        <v>9138</v>
      </c>
    </row>
    <row r="43" spans="1:2" ht="15" customHeight="1" x14ac:dyDescent="0.2">
      <c r="A43" s="143">
        <v>86</v>
      </c>
      <c r="B43" s="144" t="s">
        <v>9139</v>
      </c>
    </row>
    <row r="44" spans="1:2" ht="15" customHeight="1" x14ac:dyDescent="0.2">
      <c r="A44" s="143">
        <v>95</v>
      </c>
      <c r="B44" s="144" t="s">
        <v>9140</v>
      </c>
    </row>
    <row r="45" spans="1:2" ht="15" customHeight="1" x14ac:dyDescent="0.2">
      <c r="A45" s="143">
        <v>90</v>
      </c>
      <c r="B45" s="144" t="s">
        <v>9141</v>
      </c>
    </row>
    <row r="46" spans="1:2" ht="15" customHeight="1" x14ac:dyDescent="0.2">
      <c r="A46" s="143">
        <v>93</v>
      </c>
      <c r="B46" s="144" t="s">
        <v>9142</v>
      </c>
    </row>
    <row r="47" spans="1:2" ht="15" customHeight="1" x14ac:dyDescent="0.2">
      <c r="A47" s="143">
        <v>94</v>
      </c>
      <c r="B47" s="144" t="s">
        <v>9143</v>
      </c>
    </row>
    <row r="48" spans="1:2" ht="15" customHeight="1" x14ac:dyDescent="0.2">
      <c r="A48" s="143">
        <v>102</v>
      </c>
      <c r="B48" s="144" t="s">
        <v>9144</v>
      </c>
    </row>
    <row r="49" spans="1:2" ht="15" customHeight="1" x14ac:dyDescent="0.2">
      <c r="A49" s="143">
        <v>104</v>
      </c>
      <c r="B49" s="144" t="s">
        <v>9145</v>
      </c>
    </row>
    <row r="50" spans="1:2" ht="15" customHeight="1" x14ac:dyDescent="0.2">
      <c r="A50" s="143">
        <v>109</v>
      </c>
      <c r="B50" s="144" t="s">
        <v>9146</v>
      </c>
    </row>
    <row r="51" spans="1:2" ht="15" customHeight="1" x14ac:dyDescent="0.2">
      <c r="A51" s="143">
        <v>107</v>
      </c>
      <c r="B51" s="144" t="s">
        <v>9147</v>
      </c>
    </row>
    <row r="52" spans="1:2" ht="15" customHeight="1" x14ac:dyDescent="0.2">
      <c r="A52" s="143">
        <v>100</v>
      </c>
      <c r="B52" s="144" t="s">
        <v>9148</v>
      </c>
    </row>
    <row r="53" spans="1:2" ht="15" customHeight="1" x14ac:dyDescent="0.2">
      <c r="A53" s="143">
        <v>92</v>
      </c>
      <c r="B53" s="144" t="s">
        <v>9149</v>
      </c>
    </row>
    <row r="54" spans="1:2" ht="15" customHeight="1" x14ac:dyDescent="0.2">
      <c r="A54" s="143">
        <v>106</v>
      </c>
      <c r="B54" s="144" t="s">
        <v>9150</v>
      </c>
    </row>
    <row r="55" spans="1:2" ht="15" customHeight="1" x14ac:dyDescent="0.2">
      <c r="A55" s="143">
        <v>105</v>
      </c>
      <c r="B55" s="144" t="s">
        <v>9151</v>
      </c>
    </row>
    <row r="56" spans="1:2" ht="15" customHeight="1" x14ac:dyDescent="0.2">
      <c r="A56" s="147">
        <v>107</v>
      </c>
      <c r="B56" s="146" t="s">
        <v>9152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D14B-5306-8D4F-9020-DF9BB7772FB6}">
  <sheetPr>
    <outlinePr summaryBelow="0" summaryRight="0"/>
  </sheetPr>
  <dimension ref="A1:B20"/>
  <sheetViews>
    <sheetView workbookViewId="0"/>
  </sheetViews>
  <sheetFormatPr baseColWidth="10" defaultColWidth="14" defaultRowHeight="14" x14ac:dyDescent="0.2"/>
  <cols>
    <col min="1" max="1" width="42" customWidth="1"/>
    <col min="2" max="2" width="38" customWidth="1"/>
    <col min="3" max="20" width="13" customWidth="1"/>
  </cols>
  <sheetData>
    <row r="1" spans="1:2" ht="15" customHeight="1" x14ac:dyDescent="0.2">
      <c r="B1" s="98" t="s">
        <v>9153</v>
      </c>
    </row>
    <row r="2" spans="1:2" ht="16" customHeight="1" x14ac:dyDescent="0.2">
      <c r="A2" s="120" t="s">
        <v>9154</v>
      </c>
      <c r="B2" s="120">
        <v>4.3</v>
      </c>
    </row>
    <row r="3" spans="1:2" ht="16" customHeight="1" x14ac:dyDescent="0.2">
      <c r="A3" s="120" t="s">
        <v>9155</v>
      </c>
      <c r="B3" s="120">
        <v>3.6</v>
      </c>
    </row>
    <row r="4" spans="1:2" ht="16" customHeight="1" x14ac:dyDescent="0.2">
      <c r="A4" s="120" t="s">
        <v>9156</v>
      </c>
      <c r="B4" s="120">
        <v>13</v>
      </c>
    </row>
    <row r="5" spans="1:2" ht="15" customHeight="1" x14ac:dyDescent="0.2"/>
    <row r="6" spans="1:2" ht="15" customHeight="1" x14ac:dyDescent="0.2"/>
    <row r="7" spans="1:2" ht="15" customHeight="1" x14ac:dyDescent="0.2"/>
    <row r="8" spans="1:2" ht="15" customHeight="1" x14ac:dyDescent="0.2"/>
    <row r="9" spans="1:2" ht="15" customHeight="1" x14ac:dyDescent="0.2"/>
    <row r="10" spans="1:2" ht="15" customHeight="1" x14ac:dyDescent="0.2"/>
    <row r="11" spans="1:2" ht="15" customHeight="1" x14ac:dyDescent="0.2"/>
    <row r="12" spans="1:2" ht="15" customHeight="1" x14ac:dyDescent="0.2"/>
    <row r="13" spans="1:2" ht="15" customHeight="1" x14ac:dyDescent="0.2"/>
    <row r="14" spans="1:2" ht="15" customHeight="1" x14ac:dyDescent="0.2"/>
    <row r="15" spans="1:2" ht="15" customHeight="1" x14ac:dyDescent="0.2"/>
    <row r="16" spans="1:2" ht="15" customHeight="1" x14ac:dyDescent="0.2"/>
    <row r="17" ht="15" customHeight="1" x14ac:dyDescent="0.2"/>
    <row r="18" ht="15" customHeight="1" x14ac:dyDescent="0.2"/>
    <row r="19" ht="15" customHeight="1" x14ac:dyDescent="0.2"/>
    <row r="20" ht="15" customHeight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2C1A-57BB-6246-A556-164682EEE3EF}">
  <sheetPr>
    <outlinePr summaryBelow="0" summaryRight="0"/>
  </sheetPr>
  <dimension ref="A1:J3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4" defaultRowHeight="14" x14ac:dyDescent="0.2"/>
  <cols>
    <col min="1" max="1" width="40" customWidth="1"/>
    <col min="2" max="2" width="12" customWidth="1"/>
    <col min="3" max="3" width="9" customWidth="1"/>
    <col min="4" max="20" width="13" customWidth="1"/>
  </cols>
  <sheetData>
    <row r="1" spans="1:10" ht="15" customHeight="1" x14ac:dyDescent="0.2">
      <c r="A1" s="151"/>
      <c r="B1" s="151" t="s">
        <v>8727</v>
      </c>
      <c r="C1" s="151" t="s">
        <v>9157</v>
      </c>
      <c r="D1" s="151" t="s">
        <v>8727</v>
      </c>
      <c r="E1" s="151"/>
      <c r="F1" s="151" t="s">
        <v>8727</v>
      </c>
      <c r="G1" s="151" t="s">
        <v>9157</v>
      </c>
    </row>
    <row r="2" spans="1:10" ht="19" customHeight="1" x14ac:dyDescent="0.25">
      <c r="A2" s="148" t="s">
        <v>9158</v>
      </c>
      <c r="B2" s="98" t="s">
        <v>9159</v>
      </c>
      <c r="C2" s="149">
        <v>5</v>
      </c>
      <c r="D2" s="98" t="s">
        <v>9160</v>
      </c>
      <c r="E2" s="150">
        <v>4.75</v>
      </c>
      <c r="F2" s="98" t="s">
        <v>9161</v>
      </c>
      <c r="G2" s="150">
        <v>4.5</v>
      </c>
      <c r="H2" s="98" t="s">
        <v>9162</v>
      </c>
      <c r="I2" s="98" t="s">
        <v>9163</v>
      </c>
    </row>
    <row r="3" spans="1:10" ht="19" customHeight="1" x14ac:dyDescent="0.25">
      <c r="A3" s="148"/>
    </row>
    <row r="4" spans="1:10" ht="19" customHeight="1" x14ac:dyDescent="0.25">
      <c r="A4" s="148" t="s">
        <v>9164</v>
      </c>
      <c r="B4" s="98" t="s">
        <v>9159</v>
      </c>
      <c r="C4" s="150">
        <v>5.8</v>
      </c>
      <c r="D4" s="98" t="s">
        <v>9165</v>
      </c>
      <c r="E4" s="150">
        <v>5.6</v>
      </c>
      <c r="H4" s="98" t="s">
        <v>9162</v>
      </c>
      <c r="I4" s="98" t="s">
        <v>9163</v>
      </c>
    </row>
    <row r="5" spans="1:10" ht="19" customHeight="1" x14ac:dyDescent="0.25">
      <c r="A5" s="148"/>
    </row>
    <row r="6" spans="1:10" ht="19" customHeight="1" x14ac:dyDescent="0.25">
      <c r="A6" s="148" t="s">
        <v>2307</v>
      </c>
      <c r="B6" s="98" t="s">
        <v>9166</v>
      </c>
      <c r="C6" s="149">
        <v>46</v>
      </c>
      <c r="D6" s="98" t="s">
        <v>9167</v>
      </c>
      <c r="E6" s="149">
        <v>45</v>
      </c>
      <c r="H6" s="98" t="s">
        <v>9162</v>
      </c>
      <c r="I6" s="98" t="s">
        <v>9163</v>
      </c>
    </row>
    <row r="7" spans="1:10" ht="19" customHeight="1" x14ac:dyDescent="0.25">
      <c r="A7" s="148"/>
    </row>
    <row r="8" spans="1:10" ht="19" customHeight="1" x14ac:dyDescent="0.25">
      <c r="A8" s="148" t="s">
        <v>9168</v>
      </c>
      <c r="B8" s="98" t="s">
        <v>9166</v>
      </c>
      <c r="C8" s="149">
        <v>49</v>
      </c>
      <c r="D8" s="98" t="s">
        <v>9167</v>
      </c>
      <c r="E8" s="98">
        <v>47.5</v>
      </c>
      <c r="H8" s="98" t="s">
        <v>9162</v>
      </c>
      <c r="I8" s="98" t="s">
        <v>9169</v>
      </c>
      <c r="J8" s="98" t="s">
        <v>9163</v>
      </c>
    </row>
    <row r="9" spans="1:10" ht="19" customHeight="1" x14ac:dyDescent="0.25">
      <c r="A9" s="148"/>
    </row>
    <row r="10" spans="1:10" ht="19" customHeight="1" x14ac:dyDescent="0.25">
      <c r="A10" s="148" t="s">
        <v>9170</v>
      </c>
      <c r="B10" s="98" t="s">
        <v>9166</v>
      </c>
      <c r="C10" s="149">
        <v>41</v>
      </c>
      <c r="D10" s="98" t="s">
        <v>9167</v>
      </c>
      <c r="E10" s="98">
        <v>40</v>
      </c>
      <c r="H10" s="98" t="s">
        <v>9162</v>
      </c>
      <c r="I10" s="98" t="s">
        <v>9169</v>
      </c>
      <c r="J10" s="98" t="s">
        <v>9163</v>
      </c>
    </row>
    <row r="11" spans="1:10" ht="19" customHeight="1" x14ac:dyDescent="0.25">
      <c r="A11" s="148"/>
    </row>
    <row r="12" spans="1:10" ht="19" customHeight="1" x14ac:dyDescent="0.25">
      <c r="A12" s="148" t="s">
        <v>9171</v>
      </c>
      <c r="B12" s="98" t="s">
        <v>9166</v>
      </c>
      <c r="C12" s="149">
        <v>58</v>
      </c>
      <c r="D12" s="98" t="s">
        <v>9167</v>
      </c>
      <c r="E12" s="98">
        <v>57</v>
      </c>
      <c r="H12" s="98" t="s">
        <v>9162</v>
      </c>
      <c r="I12" s="98" t="s">
        <v>9169</v>
      </c>
      <c r="J12" s="98" t="s">
        <v>9163</v>
      </c>
    </row>
    <row r="13" spans="1:10" ht="19" customHeight="1" x14ac:dyDescent="0.25">
      <c r="A13" s="148"/>
    </row>
    <row r="14" spans="1:10" ht="19" customHeight="1" x14ac:dyDescent="0.25">
      <c r="A14" s="148" t="s">
        <v>9172</v>
      </c>
      <c r="B14" s="98" t="s">
        <v>9166</v>
      </c>
      <c r="C14" s="150">
        <v>9.75</v>
      </c>
      <c r="D14" s="98" t="s">
        <v>9167</v>
      </c>
      <c r="E14" s="98">
        <v>9.25</v>
      </c>
      <c r="H14" s="98" t="s">
        <v>9162</v>
      </c>
      <c r="I14" s="98" t="s">
        <v>9169</v>
      </c>
      <c r="J14" s="98" t="s">
        <v>9163</v>
      </c>
    </row>
    <row r="15" spans="1:10" ht="19" customHeight="1" x14ac:dyDescent="0.25">
      <c r="A15" s="148"/>
    </row>
    <row r="16" spans="1:10" ht="19" customHeight="1" x14ac:dyDescent="0.25">
      <c r="A16" s="148" t="s">
        <v>9173</v>
      </c>
      <c r="B16" s="98" t="s">
        <v>9166</v>
      </c>
      <c r="C16" s="149">
        <v>9</v>
      </c>
      <c r="D16" s="98" t="s">
        <v>9167</v>
      </c>
      <c r="E16" s="98">
        <v>8.5</v>
      </c>
      <c r="H16" s="98" t="s">
        <v>9162</v>
      </c>
      <c r="I16" s="98" t="s">
        <v>9169</v>
      </c>
      <c r="J16" s="98" t="s">
        <v>9163</v>
      </c>
    </row>
    <row r="17" spans="1:10" ht="19" customHeight="1" x14ac:dyDescent="0.25">
      <c r="A17" s="148"/>
    </row>
    <row r="18" spans="1:10" ht="19" customHeight="1" x14ac:dyDescent="0.25">
      <c r="A18" s="148" t="s">
        <v>9174</v>
      </c>
      <c r="B18" s="98" t="s">
        <v>9166</v>
      </c>
      <c r="C18" s="150">
        <v>26.5</v>
      </c>
      <c r="D18" s="98" t="s">
        <v>9167</v>
      </c>
      <c r="E18" s="98">
        <v>26</v>
      </c>
      <c r="H18" s="98" t="s">
        <v>9162</v>
      </c>
      <c r="I18" s="98" t="s">
        <v>9169</v>
      </c>
      <c r="J18" s="98" t="s">
        <v>9163</v>
      </c>
    </row>
    <row r="19" spans="1:10" ht="19" customHeight="1" x14ac:dyDescent="0.25">
      <c r="A19" s="148"/>
    </row>
    <row r="20" spans="1:10" ht="19" customHeight="1" x14ac:dyDescent="0.25">
      <c r="A20" s="148" t="s">
        <v>9175</v>
      </c>
      <c r="B20" s="98" t="s">
        <v>9166</v>
      </c>
      <c r="C20" s="150">
        <v>9.25</v>
      </c>
      <c r="D20" s="98" t="s">
        <v>9167</v>
      </c>
      <c r="E20" s="98">
        <v>8.75</v>
      </c>
      <c r="H20" s="98" t="s">
        <v>9162</v>
      </c>
      <c r="I20" s="98" t="s">
        <v>9169</v>
      </c>
      <c r="J20" s="98" t="s">
        <v>9163</v>
      </c>
    </row>
    <row r="21" spans="1:10" ht="19" customHeight="1" x14ac:dyDescent="0.25">
      <c r="A21" s="148"/>
    </row>
    <row r="22" spans="1:10" ht="19" customHeight="1" x14ac:dyDescent="0.25">
      <c r="A22" s="148" t="s">
        <v>9176</v>
      </c>
      <c r="B22" s="98" t="s">
        <v>2994</v>
      </c>
      <c r="C22" s="149">
        <v>195</v>
      </c>
      <c r="D22" s="98" t="s">
        <v>9177</v>
      </c>
      <c r="E22" s="98">
        <v>188</v>
      </c>
      <c r="F22" s="98" t="s">
        <v>2466</v>
      </c>
      <c r="G22" s="149">
        <v>185</v>
      </c>
      <c r="H22" s="98" t="s">
        <v>9162</v>
      </c>
      <c r="I22" s="98" t="s">
        <v>9169</v>
      </c>
      <c r="J22" s="98" t="s">
        <v>9163</v>
      </c>
    </row>
    <row r="23" spans="1:10" ht="19" customHeight="1" x14ac:dyDescent="0.25">
      <c r="A23" s="148"/>
    </row>
    <row r="24" spans="1:10" ht="19" customHeight="1" x14ac:dyDescent="0.25">
      <c r="A24" s="148" t="s">
        <v>9178</v>
      </c>
      <c r="B24" s="98" t="s">
        <v>9166</v>
      </c>
      <c r="C24" s="149">
        <v>9</v>
      </c>
      <c r="D24" s="98" t="s">
        <v>9167</v>
      </c>
      <c r="E24" s="98">
        <v>8.25</v>
      </c>
      <c r="H24" s="98" t="s">
        <v>9162</v>
      </c>
      <c r="I24" s="98" t="s">
        <v>9169</v>
      </c>
      <c r="J24" s="98" t="s">
        <v>9163</v>
      </c>
    </row>
    <row r="25" spans="1:10" ht="19" customHeight="1" x14ac:dyDescent="0.25">
      <c r="A25" s="148"/>
    </row>
    <row r="26" spans="1:10" ht="19" customHeight="1" x14ac:dyDescent="0.25">
      <c r="A26" s="148" t="s">
        <v>9179</v>
      </c>
      <c r="B26" s="98" t="s">
        <v>9180</v>
      </c>
      <c r="C26" s="149">
        <v>79</v>
      </c>
      <c r="D26" s="98" t="s">
        <v>9167</v>
      </c>
      <c r="E26" s="98">
        <v>77</v>
      </c>
      <c r="H26" s="98" t="s">
        <v>9162</v>
      </c>
      <c r="I26" s="98" t="s">
        <v>9169</v>
      </c>
      <c r="J26" s="98" t="s">
        <v>9163</v>
      </c>
    </row>
    <row r="27" spans="1:10" ht="19" customHeight="1" x14ac:dyDescent="0.25">
      <c r="A27" s="148"/>
    </row>
    <row r="28" spans="1:10" ht="19" customHeight="1" x14ac:dyDescent="0.25">
      <c r="A28" s="148" t="s">
        <v>9181</v>
      </c>
      <c r="B28" t="s">
        <v>9159</v>
      </c>
      <c r="C28" s="150">
        <v>5.85</v>
      </c>
      <c r="D28" s="98" t="s">
        <v>9182</v>
      </c>
      <c r="E28" s="98">
        <v>5.6</v>
      </c>
    </row>
    <row r="29" spans="1:10" ht="19" customHeight="1" x14ac:dyDescent="0.25">
      <c r="A29" s="148"/>
    </row>
    <row r="30" spans="1:10" ht="19" customHeight="1" x14ac:dyDescent="0.25">
      <c r="A30" s="148" t="s">
        <v>9183</v>
      </c>
      <c r="B30" s="98" t="s">
        <v>9159</v>
      </c>
      <c r="C30" s="150">
        <v>5.75</v>
      </c>
      <c r="D30" s="98" t="s">
        <v>9165</v>
      </c>
      <c r="E30" s="98">
        <v>5.5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A996-90C2-CA46-B4B1-45DFD6F3B2BF}">
  <sheetPr>
    <outlinePr summaryBelow="0" summaryRight="0"/>
  </sheetPr>
  <dimension ref="A1:R76"/>
  <sheetViews>
    <sheetView workbookViewId="0"/>
  </sheetViews>
  <sheetFormatPr baseColWidth="10" defaultColWidth="14" defaultRowHeight="14" x14ac:dyDescent="0.2"/>
  <cols>
    <col min="1" max="1" width="10" customWidth="1"/>
    <col min="2" max="2" width="25" customWidth="1"/>
    <col min="3" max="3" width="38" customWidth="1"/>
    <col min="4" max="20" width="10" customWidth="1"/>
  </cols>
  <sheetData>
    <row r="1" spans="1:10" ht="45" customHeight="1" x14ac:dyDescent="0.2">
      <c r="A1" s="177" t="s">
        <v>9184</v>
      </c>
      <c r="B1" s="177"/>
      <c r="C1" s="177"/>
      <c r="D1" s="178"/>
      <c r="E1" s="154"/>
      <c r="F1" s="154"/>
      <c r="G1" s="154"/>
      <c r="H1" s="154"/>
    </row>
    <row r="2" spans="1:10" ht="24" customHeight="1" x14ac:dyDescent="0.2">
      <c r="A2" s="153">
        <v>1</v>
      </c>
      <c r="B2" s="152" t="s">
        <v>9185</v>
      </c>
      <c r="C2" s="152" t="s">
        <v>9186</v>
      </c>
      <c r="D2" s="154" t="s">
        <v>9187</v>
      </c>
      <c r="E2" s="154"/>
      <c r="F2" s="154"/>
      <c r="G2" s="154"/>
      <c r="H2" s="154"/>
    </row>
    <row r="3" spans="1:10" ht="44" customHeight="1" x14ac:dyDescent="0.2">
      <c r="A3" s="177" t="s">
        <v>9188</v>
      </c>
      <c r="B3" s="177"/>
      <c r="C3" s="177"/>
      <c r="D3" s="178"/>
      <c r="E3" s="154"/>
      <c r="F3" s="154"/>
      <c r="G3" s="154"/>
      <c r="H3" s="154"/>
    </row>
    <row r="4" spans="1:10" ht="19" customHeight="1" x14ac:dyDescent="0.2">
      <c r="A4" s="153">
        <v>1</v>
      </c>
      <c r="B4" s="152" t="s">
        <v>9189</v>
      </c>
      <c r="C4" s="98" t="s">
        <v>9190</v>
      </c>
      <c r="D4" s="154" t="s">
        <v>9191</v>
      </c>
      <c r="E4" s="154"/>
      <c r="F4" s="154"/>
      <c r="G4" s="154"/>
      <c r="H4" s="154"/>
    </row>
    <row r="5" spans="1:10" ht="19" customHeight="1" x14ac:dyDescent="0.2">
      <c r="A5" s="153">
        <v>2</v>
      </c>
      <c r="B5" s="152" t="s">
        <v>9192</v>
      </c>
      <c r="C5" s="98" t="s">
        <v>9193</v>
      </c>
      <c r="D5" s="154" t="s">
        <v>9191</v>
      </c>
      <c r="E5" s="154"/>
      <c r="F5" s="154"/>
      <c r="G5" s="154"/>
      <c r="H5" s="154"/>
    </row>
    <row r="6" spans="1:10" ht="19" customHeight="1" x14ac:dyDescent="0.2">
      <c r="A6" s="153">
        <v>3</v>
      </c>
      <c r="B6" s="152" t="s">
        <v>9194</v>
      </c>
      <c r="C6" s="98" t="s">
        <v>9195</v>
      </c>
      <c r="D6" s="154" t="s">
        <v>9196</v>
      </c>
      <c r="E6" s="154"/>
      <c r="F6" s="154"/>
      <c r="G6" s="154"/>
      <c r="H6" s="154"/>
    </row>
    <row r="7" spans="1:10" ht="19" customHeight="1" x14ac:dyDescent="0.2">
      <c r="A7" s="153">
        <v>4</v>
      </c>
      <c r="B7" s="152" t="s">
        <v>9197</v>
      </c>
      <c r="C7" s="98" t="s">
        <v>9198</v>
      </c>
      <c r="D7" s="154" t="s">
        <v>9199</v>
      </c>
      <c r="E7" s="154"/>
      <c r="F7" s="154"/>
      <c r="G7" s="154"/>
      <c r="H7" s="154"/>
    </row>
    <row r="8" spans="1:10" ht="19" customHeight="1" x14ac:dyDescent="0.2">
      <c r="A8" s="153">
        <v>5</v>
      </c>
      <c r="B8" s="152" t="s">
        <v>9200</v>
      </c>
      <c r="C8" s="98" t="s">
        <v>9201</v>
      </c>
      <c r="D8" s="154" t="s">
        <v>9196</v>
      </c>
      <c r="E8" s="154"/>
      <c r="F8" s="154"/>
      <c r="G8" s="154"/>
      <c r="H8" s="154"/>
    </row>
    <row r="9" spans="1:10" ht="19" customHeight="1" x14ac:dyDescent="0.2">
      <c r="A9" s="153">
        <v>6</v>
      </c>
      <c r="B9" s="152" t="s">
        <v>9202</v>
      </c>
      <c r="C9" s="98" t="s">
        <v>9203</v>
      </c>
      <c r="D9" s="154" t="s">
        <v>9199</v>
      </c>
      <c r="E9" s="154"/>
      <c r="F9" s="154"/>
      <c r="G9" s="154"/>
      <c r="H9" s="154"/>
    </row>
    <row r="10" spans="1:10" ht="19" customHeight="1" x14ac:dyDescent="0.2">
      <c r="A10" s="153">
        <v>7</v>
      </c>
      <c r="B10" s="152" t="s">
        <v>9204</v>
      </c>
      <c r="C10" s="98" t="s">
        <v>9205</v>
      </c>
      <c r="D10" s="154" t="s">
        <v>9191</v>
      </c>
      <c r="E10" s="154"/>
      <c r="F10" s="154"/>
      <c r="G10" s="154"/>
      <c r="H10" s="154"/>
    </row>
    <row r="11" spans="1:10" ht="19" customHeight="1" x14ac:dyDescent="0.2">
      <c r="A11" s="153">
        <v>8</v>
      </c>
      <c r="B11" s="152" t="s">
        <v>9206</v>
      </c>
      <c r="C11" s="98" t="s">
        <v>9207</v>
      </c>
      <c r="D11" s="154" t="s">
        <v>9208</v>
      </c>
      <c r="E11" s="154"/>
      <c r="F11" s="154"/>
      <c r="G11" s="154"/>
      <c r="H11" s="154"/>
    </row>
    <row r="12" spans="1:10" ht="19" customHeight="1" x14ac:dyDescent="0.2">
      <c r="A12" s="153">
        <v>9</v>
      </c>
      <c r="B12" s="152" t="s">
        <v>9209</v>
      </c>
      <c r="C12" s="98" t="s">
        <v>9210</v>
      </c>
      <c r="D12" s="154" t="s">
        <v>9191</v>
      </c>
      <c r="E12" s="154"/>
      <c r="F12" s="154"/>
      <c r="G12" s="154"/>
      <c r="H12" s="154"/>
    </row>
    <row r="13" spans="1:10" ht="19" customHeight="1" x14ac:dyDescent="0.2">
      <c r="A13" s="153">
        <v>10</v>
      </c>
      <c r="B13" s="152" t="s">
        <v>9211</v>
      </c>
      <c r="C13" s="98" t="s">
        <v>9212</v>
      </c>
      <c r="D13" s="154" t="s">
        <v>9213</v>
      </c>
      <c r="E13" s="154"/>
      <c r="F13" s="154"/>
      <c r="G13" s="154"/>
      <c r="H13" s="154"/>
    </row>
    <row r="14" spans="1:10" ht="63" customHeight="1" x14ac:dyDescent="0.2">
      <c r="A14" s="179" t="s">
        <v>9214</v>
      </c>
      <c r="B14" s="179"/>
      <c r="C14" s="179"/>
      <c r="D14" s="180"/>
      <c r="E14" s="181" t="s">
        <v>2</v>
      </c>
      <c r="F14" s="181"/>
      <c r="G14" s="181"/>
      <c r="H14" s="181"/>
    </row>
    <row r="15" spans="1:10" ht="19" customHeight="1" x14ac:dyDescent="0.2">
      <c r="A15" s="153">
        <v>1</v>
      </c>
      <c r="B15" s="152" t="s">
        <v>9215</v>
      </c>
      <c r="C15" s="98" t="s">
        <v>9216</v>
      </c>
      <c r="D15" s="176" t="s">
        <v>9217</v>
      </c>
      <c r="E15" s="176" t="s">
        <v>9218</v>
      </c>
      <c r="F15" s="154"/>
      <c r="G15" s="154"/>
      <c r="H15" s="154"/>
    </row>
    <row r="16" spans="1:10" ht="19" customHeight="1" x14ac:dyDescent="0.2">
      <c r="A16" s="153">
        <v>2</v>
      </c>
      <c r="B16" s="152" t="s">
        <v>9219</v>
      </c>
      <c r="C16" s="98" t="s">
        <v>9220</v>
      </c>
      <c r="D16" s="176"/>
      <c r="E16" s="176"/>
      <c r="F16" s="154"/>
      <c r="G16" s="154"/>
      <c r="H16" s="154"/>
      <c r="J16" s="129"/>
    </row>
    <row r="17" spans="1:18" ht="19" customHeight="1" x14ac:dyDescent="0.2">
      <c r="A17" s="153">
        <v>3</v>
      </c>
      <c r="B17" s="152" t="s">
        <v>9221</v>
      </c>
      <c r="C17" s="98" t="s">
        <v>9222</v>
      </c>
      <c r="D17" s="176" t="s">
        <v>9223</v>
      </c>
      <c r="E17" s="176"/>
      <c r="F17" s="154"/>
      <c r="G17" s="154"/>
      <c r="H17" s="154"/>
    </row>
    <row r="18" spans="1:18" ht="19" customHeight="1" x14ac:dyDescent="0.2">
      <c r="A18" s="153">
        <v>4</v>
      </c>
      <c r="B18" s="152" t="s">
        <v>9224</v>
      </c>
      <c r="C18" s="98" t="s">
        <v>9225</v>
      </c>
      <c r="D18" s="176"/>
      <c r="E18" s="176"/>
      <c r="F18" s="154"/>
      <c r="G18" s="154"/>
      <c r="H18" s="154"/>
      <c r="R18" s="98"/>
    </row>
    <row r="19" spans="1:18" ht="19" customHeight="1" x14ac:dyDescent="0.2">
      <c r="A19" s="153">
        <v>5</v>
      </c>
      <c r="B19" s="152" t="s">
        <v>9226</v>
      </c>
      <c r="C19" s="98" t="s">
        <v>9227</v>
      </c>
      <c r="D19" s="176"/>
      <c r="E19" s="154" t="s">
        <v>9228</v>
      </c>
      <c r="F19" s="154"/>
      <c r="G19" s="154"/>
      <c r="H19" s="154"/>
      <c r="R19" s="98"/>
    </row>
    <row r="20" spans="1:18" ht="19" customHeight="1" x14ac:dyDescent="0.2">
      <c r="A20" s="153">
        <v>6</v>
      </c>
      <c r="B20" s="152" t="s">
        <v>9229</v>
      </c>
      <c r="C20" s="98" t="s">
        <v>9230</v>
      </c>
      <c r="D20" s="176" t="s">
        <v>9231</v>
      </c>
      <c r="E20" s="154"/>
      <c r="F20" s="154"/>
      <c r="G20" s="154"/>
      <c r="H20" s="154"/>
      <c r="R20" s="98"/>
    </row>
    <row r="21" spans="1:18" ht="19" customHeight="1" x14ac:dyDescent="0.2">
      <c r="A21" s="153">
        <v>7</v>
      </c>
      <c r="B21" s="152" t="s">
        <v>9232</v>
      </c>
      <c r="C21" s="98" t="s">
        <v>9233</v>
      </c>
      <c r="D21" s="176"/>
      <c r="E21" s="154"/>
      <c r="F21" s="154"/>
      <c r="G21" s="154"/>
      <c r="H21" s="154"/>
      <c r="R21" s="98"/>
    </row>
    <row r="22" spans="1:18" ht="19" customHeight="1" x14ac:dyDescent="0.2">
      <c r="A22" s="153">
        <v>8</v>
      </c>
      <c r="B22" s="152" t="s">
        <v>9234</v>
      </c>
      <c r="C22" s="98" t="s">
        <v>9235</v>
      </c>
      <c r="D22" s="176"/>
      <c r="E22" s="154"/>
      <c r="F22" s="154"/>
      <c r="G22" s="154"/>
      <c r="H22" s="154"/>
      <c r="R22" s="98"/>
    </row>
    <row r="23" spans="1:18" ht="19" customHeight="1" x14ac:dyDescent="0.2">
      <c r="A23" s="153">
        <v>9</v>
      </c>
      <c r="B23" s="152" t="s">
        <v>9236</v>
      </c>
      <c r="C23" s="98" t="s">
        <v>9237</v>
      </c>
      <c r="D23" s="176"/>
      <c r="E23" s="175" t="s">
        <v>9238</v>
      </c>
      <c r="F23" s="154"/>
      <c r="G23" s="154"/>
      <c r="H23" s="154"/>
      <c r="R23" s="98"/>
    </row>
    <row r="24" spans="1:18" ht="19" customHeight="1" x14ac:dyDescent="0.2">
      <c r="A24" s="153">
        <v>10</v>
      </c>
      <c r="B24" s="152" t="s">
        <v>9239</v>
      </c>
      <c r="C24" s="98" t="s">
        <v>9240</v>
      </c>
      <c r="D24" s="176"/>
      <c r="E24" s="175"/>
      <c r="F24" s="154"/>
      <c r="G24" s="154"/>
      <c r="H24" s="154"/>
      <c r="R24" s="98"/>
    </row>
    <row r="25" spans="1:18" ht="19" customHeight="1" x14ac:dyDescent="0.2">
      <c r="A25" s="153">
        <v>11</v>
      </c>
      <c r="B25" s="152" t="s">
        <v>9241</v>
      </c>
      <c r="C25" s="98" t="s">
        <v>9242</v>
      </c>
      <c r="D25" s="176"/>
      <c r="E25" s="175"/>
      <c r="F25" s="154"/>
      <c r="G25" s="154"/>
      <c r="H25" s="154"/>
      <c r="R25" s="98"/>
    </row>
    <row r="26" spans="1:18" ht="19" customHeight="1" x14ac:dyDescent="0.2">
      <c r="A26" s="153">
        <v>12</v>
      </c>
      <c r="B26" s="152" t="s">
        <v>9243</v>
      </c>
      <c r="C26" s="98" t="s">
        <v>9244</v>
      </c>
      <c r="D26" s="176"/>
      <c r="E26" s="175"/>
      <c r="F26" s="154"/>
      <c r="G26" s="154"/>
      <c r="H26" s="154"/>
      <c r="R26" s="98"/>
    </row>
    <row r="27" spans="1:18" ht="19" customHeight="1" x14ac:dyDescent="0.2">
      <c r="A27" s="153">
        <v>13</v>
      </c>
      <c r="B27" s="152" t="s">
        <v>9245</v>
      </c>
      <c r="C27" s="98" t="s">
        <v>9246</v>
      </c>
      <c r="D27" s="176"/>
      <c r="E27" s="175"/>
      <c r="F27" s="154"/>
      <c r="G27" s="154"/>
      <c r="H27" s="154"/>
      <c r="R27" s="98"/>
    </row>
    <row r="28" spans="1:18" ht="19" customHeight="1" x14ac:dyDescent="0.2">
      <c r="A28" s="153">
        <v>14</v>
      </c>
      <c r="B28" s="152" t="s">
        <v>9247</v>
      </c>
      <c r="C28" s="98" t="s">
        <v>9248</v>
      </c>
      <c r="D28" s="176"/>
      <c r="E28" s="175" t="s">
        <v>9249</v>
      </c>
      <c r="F28" s="154"/>
      <c r="G28" s="154"/>
      <c r="H28" s="154"/>
    </row>
    <row r="29" spans="1:18" ht="19" customHeight="1" x14ac:dyDescent="0.2">
      <c r="A29" s="153">
        <v>15</v>
      </c>
      <c r="B29" s="152" t="s">
        <v>9250</v>
      </c>
      <c r="C29" s="98" t="s">
        <v>9251</v>
      </c>
      <c r="D29" s="176"/>
      <c r="E29" s="175"/>
      <c r="F29" s="154"/>
      <c r="G29" s="154"/>
      <c r="H29" s="154"/>
    </row>
    <row r="30" spans="1:18" ht="19" customHeight="1" x14ac:dyDescent="0.2">
      <c r="A30" s="153">
        <v>16</v>
      </c>
      <c r="B30" s="152" t="s">
        <v>9252</v>
      </c>
      <c r="C30" s="98" t="s">
        <v>9253</v>
      </c>
      <c r="D30" s="176"/>
      <c r="E30" s="175"/>
      <c r="F30" s="154"/>
      <c r="G30" s="154"/>
      <c r="H30" s="154"/>
    </row>
    <row r="31" spans="1:18" ht="19" customHeight="1" x14ac:dyDescent="0.2">
      <c r="A31" s="153">
        <v>17</v>
      </c>
      <c r="B31" s="152" t="s">
        <v>9254</v>
      </c>
      <c r="C31" s="98" t="s">
        <v>9255</v>
      </c>
      <c r="D31" s="176"/>
      <c r="E31" s="154" t="s">
        <v>9238</v>
      </c>
      <c r="F31" s="154"/>
      <c r="G31" s="154"/>
      <c r="H31" s="154"/>
    </row>
    <row r="32" spans="1:18" ht="19" customHeight="1" x14ac:dyDescent="0.2">
      <c r="A32" s="153">
        <v>18</v>
      </c>
      <c r="B32" s="152" t="s">
        <v>9256</v>
      </c>
      <c r="C32" s="98" t="s">
        <v>9257</v>
      </c>
      <c r="D32" s="176" t="s">
        <v>9258</v>
      </c>
      <c r="E32" s="154" t="s">
        <v>9249</v>
      </c>
      <c r="F32" s="154"/>
      <c r="G32" s="154"/>
      <c r="H32" s="154"/>
    </row>
    <row r="33" spans="1:14" ht="19" customHeight="1" x14ac:dyDescent="0.2">
      <c r="A33" s="153">
        <v>19</v>
      </c>
      <c r="B33" s="152" t="s">
        <v>9259</v>
      </c>
      <c r="C33" s="98" t="s">
        <v>9260</v>
      </c>
      <c r="D33" s="176"/>
      <c r="E33" s="175" t="s">
        <v>9261</v>
      </c>
      <c r="F33" s="154"/>
      <c r="G33" s="154"/>
      <c r="H33" s="154"/>
    </row>
    <row r="34" spans="1:14" ht="19" customHeight="1" x14ac:dyDescent="0.2">
      <c r="A34" s="153">
        <v>20</v>
      </c>
      <c r="B34" s="152" t="s">
        <v>9262</v>
      </c>
      <c r="C34" s="98" t="s">
        <v>9263</v>
      </c>
      <c r="D34" s="176"/>
      <c r="E34" s="175"/>
      <c r="F34" s="154"/>
      <c r="G34" s="154"/>
      <c r="H34" s="154"/>
    </row>
    <row r="35" spans="1:14" ht="19" customHeight="1" x14ac:dyDescent="0.2">
      <c r="A35" s="153">
        <v>21</v>
      </c>
      <c r="B35" s="152" t="s">
        <v>9264</v>
      </c>
      <c r="C35" s="98" t="s">
        <v>9265</v>
      </c>
      <c r="D35" s="176"/>
      <c r="E35" s="175"/>
      <c r="F35" s="154"/>
      <c r="G35" s="154"/>
      <c r="H35" s="154"/>
    </row>
    <row r="36" spans="1:14" ht="19" customHeight="1" x14ac:dyDescent="0.2">
      <c r="A36" s="153">
        <v>22</v>
      </c>
      <c r="B36" s="152" t="s">
        <v>9266</v>
      </c>
      <c r="C36" s="98" t="s">
        <v>9267</v>
      </c>
      <c r="D36" s="176"/>
      <c r="E36" s="154" t="s">
        <v>9249</v>
      </c>
      <c r="F36" s="154"/>
      <c r="G36" s="154"/>
      <c r="H36" s="154"/>
    </row>
    <row r="37" spans="1:14" ht="19" customHeight="1" x14ac:dyDescent="0.2">
      <c r="A37" s="153">
        <v>23</v>
      </c>
      <c r="B37" s="152" t="s">
        <v>9268</v>
      </c>
      <c r="C37" s="98" t="s">
        <v>9269</v>
      </c>
      <c r="D37" s="176" t="s">
        <v>9270</v>
      </c>
      <c r="E37" s="176" t="s">
        <v>9271</v>
      </c>
      <c r="F37" s="154"/>
      <c r="G37" s="154"/>
      <c r="H37" s="154"/>
    </row>
    <row r="38" spans="1:14" ht="19" customHeight="1" x14ac:dyDescent="0.2">
      <c r="A38" s="153">
        <v>24</v>
      </c>
      <c r="B38" s="152" t="s">
        <v>9272</v>
      </c>
      <c r="C38" s="98" t="s">
        <v>9273</v>
      </c>
      <c r="D38" s="176"/>
      <c r="E38" s="176"/>
      <c r="F38" s="154"/>
      <c r="G38" s="154"/>
      <c r="H38" s="154"/>
    </row>
    <row r="39" spans="1:14" ht="19" customHeight="1" x14ac:dyDescent="0.2">
      <c r="A39" s="153">
        <v>25</v>
      </c>
      <c r="B39" s="152" t="s">
        <v>9274</v>
      </c>
      <c r="C39" s="98" t="s">
        <v>9275</v>
      </c>
      <c r="D39" s="176"/>
      <c r="E39" s="176"/>
      <c r="F39" s="154"/>
      <c r="G39" s="154"/>
      <c r="H39" s="154"/>
    </row>
    <row r="40" spans="1:14" ht="19" customHeight="1" x14ac:dyDescent="0.2">
      <c r="A40" s="153">
        <v>26</v>
      </c>
      <c r="B40" s="152" t="s">
        <v>9276</v>
      </c>
      <c r="C40" s="98" t="s">
        <v>9277</v>
      </c>
      <c r="D40" s="176"/>
      <c r="E40" s="176"/>
      <c r="F40" s="154"/>
      <c r="G40" s="154"/>
      <c r="H40" s="154"/>
    </row>
    <row r="41" spans="1:14" ht="19" customHeight="1" x14ac:dyDescent="0.2">
      <c r="A41" s="153">
        <v>27</v>
      </c>
      <c r="B41" s="152" t="s">
        <v>9278</v>
      </c>
      <c r="C41" s="98" t="s">
        <v>9279</v>
      </c>
      <c r="D41" s="176"/>
      <c r="E41" s="176"/>
      <c r="F41" s="154"/>
      <c r="G41" s="154"/>
      <c r="H41" s="154"/>
    </row>
    <row r="42" spans="1:14" ht="19" customHeight="1" x14ac:dyDescent="0.2">
      <c r="A42" s="153">
        <v>28</v>
      </c>
      <c r="B42" s="152" t="s">
        <v>9280</v>
      </c>
      <c r="C42" s="98" t="s">
        <v>9281</v>
      </c>
      <c r="D42" s="176"/>
      <c r="E42" s="176"/>
      <c r="F42" s="154"/>
      <c r="G42" s="154"/>
      <c r="H42" s="154"/>
    </row>
    <row r="43" spans="1:14" ht="76" customHeight="1" x14ac:dyDescent="0.2">
      <c r="A43" s="179" t="s">
        <v>9282</v>
      </c>
      <c r="B43" s="179"/>
      <c r="C43" s="179"/>
      <c r="D43" s="180"/>
      <c r="E43" s="154"/>
      <c r="F43" s="154"/>
      <c r="G43" s="154"/>
      <c r="H43" s="154"/>
    </row>
    <row r="44" spans="1:14" ht="19" customHeight="1" x14ac:dyDescent="0.2">
      <c r="A44" s="153">
        <v>1</v>
      </c>
      <c r="B44" s="152" t="s">
        <v>9283</v>
      </c>
      <c r="C44" s="98" t="s">
        <v>5400</v>
      </c>
      <c r="D44" s="176" t="s">
        <v>9284</v>
      </c>
      <c r="E44" s="154"/>
      <c r="F44" s="154"/>
      <c r="G44" s="154"/>
      <c r="H44" s="154"/>
      <c r="N44" s="98"/>
    </row>
    <row r="45" spans="1:14" ht="19" customHeight="1" x14ac:dyDescent="0.2">
      <c r="A45" s="153">
        <v>2</v>
      </c>
      <c r="B45" s="152" t="s">
        <v>9285</v>
      </c>
      <c r="C45" s="98" t="s">
        <v>9286</v>
      </c>
      <c r="D45" s="176"/>
      <c r="E45" s="154"/>
      <c r="F45" s="154"/>
      <c r="G45" s="154"/>
      <c r="H45" s="154"/>
      <c r="N45" s="98"/>
    </row>
    <row r="46" spans="1:14" ht="19" customHeight="1" x14ac:dyDescent="0.2">
      <c r="A46" s="153">
        <v>3</v>
      </c>
      <c r="B46" s="152" t="s">
        <v>9287</v>
      </c>
      <c r="C46" s="98" t="s">
        <v>9288</v>
      </c>
      <c r="D46" s="176"/>
      <c r="E46" s="154"/>
      <c r="F46" s="154"/>
      <c r="G46" s="154"/>
      <c r="H46" s="154"/>
      <c r="N46" s="98"/>
    </row>
    <row r="47" spans="1:14" ht="19" customHeight="1" x14ac:dyDescent="0.2">
      <c r="A47" s="153">
        <v>4</v>
      </c>
      <c r="B47" s="152" t="s">
        <v>9289</v>
      </c>
      <c r="C47" s="98" t="s">
        <v>9290</v>
      </c>
      <c r="D47" s="176"/>
      <c r="E47" s="154"/>
      <c r="F47" s="154"/>
      <c r="G47" s="154"/>
      <c r="H47" s="154"/>
      <c r="N47" s="98"/>
    </row>
    <row r="48" spans="1:14" ht="19" customHeight="1" x14ac:dyDescent="0.2">
      <c r="A48" s="153">
        <v>5</v>
      </c>
      <c r="B48" s="152" t="s">
        <v>9291</v>
      </c>
      <c r="C48" s="98" t="s">
        <v>9292</v>
      </c>
      <c r="D48" s="176"/>
      <c r="E48" s="154"/>
      <c r="F48" s="154"/>
      <c r="G48" s="154"/>
      <c r="H48" s="154"/>
      <c r="N48" s="98"/>
    </row>
    <row r="49" spans="1:14" ht="19" customHeight="1" x14ac:dyDescent="0.2">
      <c r="A49" s="153">
        <v>6</v>
      </c>
      <c r="B49" s="152" t="s">
        <v>9293</v>
      </c>
      <c r="C49" s="98" t="s">
        <v>9294</v>
      </c>
      <c r="D49" s="176"/>
      <c r="E49" s="154"/>
      <c r="F49" s="154"/>
      <c r="G49" s="154"/>
      <c r="H49" s="154"/>
      <c r="N49" s="98"/>
    </row>
    <row r="50" spans="1:14" ht="19" customHeight="1" x14ac:dyDescent="0.2">
      <c r="A50" s="153">
        <v>7</v>
      </c>
      <c r="B50" s="152" t="s">
        <v>9295</v>
      </c>
      <c r="C50" s="98" t="s">
        <v>9296</v>
      </c>
      <c r="D50" s="176"/>
      <c r="E50" s="154"/>
      <c r="F50" s="154"/>
      <c r="G50" s="154"/>
      <c r="H50" s="154"/>
      <c r="N50" s="98"/>
    </row>
    <row r="51" spans="1:14" ht="19" customHeight="1" x14ac:dyDescent="0.2">
      <c r="A51" s="153">
        <v>8</v>
      </c>
      <c r="B51" s="152" t="s">
        <v>9001</v>
      </c>
      <c r="C51" s="98" t="s">
        <v>5399</v>
      </c>
      <c r="D51" s="176"/>
      <c r="E51" s="154"/>
      <c r="F51" s="154"/>
      <c r="G51" s="154"/>
      <c r="H51" s="154"/>
      <c r="N51" s="98"/>
    </row>
    <row r="52" spans="1:14" ht="19" customHeight="1" x14ac:dyDescent="0.2">
      <c r="A52" s="153">
        <v>9</v>
      </c>
      <c r="B52" s="152" t="s">
        <v>9297</v>
      </c>
      <c r="C52" s="98" t="s">
        <v>9298</v>
      </c>
      <c r="D52" s="176"/>
      <c r="E52" s="154"/>
      <c r="F52" s="154"/>
      <c r="G52" s="154"/>
      <c r="H52" s="154"/>
      <c r="N52" s="98"/>
    </row>
    <row r="53" spans="1:14" ht="19" customHeight="1" x14ac:dyDescent="0.2">
      <c r="A53" s="153">
        <v>10</v>
      </c>
      <c r="B53" s="152" t="s">
        <v>9010</v>
      </c>
      <c r="C53" s="98" t="s">
        <v>9299</v>
      </c>
      <c r="D53" s="176"/>
      <c r="E53" s="154"/>
      <c r="F53" s="154"/>
      <c r="G53" s="154"/>
      <c r="H53" s="154"/>
      <c r="N53" s="98"/>
    </row>
    <row r="54" spans="1:14" ht="19" customHeight="1" x14ac:dyDescent="0.2">
      <c r="A54" s="153">
        <v>11</v>
      </c>
      <c r="B54" s="152" t="s">
        <v>9300</v>
      </c>
      <c r="C54" s="98" t="s">
        <v>9301</v>
      </c>
      <c r="D54" s="176" t="s">
        <v>9302</v>
      </c>
      <c r="E54" s="154"/>
      <c r="F54" s="154"/>
      <c r="G54" s="154"/>
      <c r="H54" s="154"/>
      <c r="N54" s="98"/>
    </row>
    <row r="55" spans="1:14" ht="19" customHeight="1" x14ac:dyDescent="0.2">
      <c r="A55" s="153">
        <v>12</v>
      </c>
      <c r="B55" s="152" t="s">
        <v>9303</v>
      </c>
      <c r="C55" s="98" t="s">
        <v>9304</v>
      </c>
      <c r="D55" s="176"/>
      <c r="E55" s="154"/>
      <c r="F55" s="154"/>
      <c r="G55" s="154"/>
      <c r="H55" s="154"/>
      <c r="N55" s="98"/>
    </row>
    <row r="56" spans="1:14" ht="19" customHeight="1" x14ac:dyDescent="0.2">
      <c r="A56" s="153">
        <v>13</v>
      </c>
      <c r="B56" s="152" t="s">
        <v>9305</v>
      </c>
      <c r="C56" s="98" t="s">
        <v>9306</v>
      </c>
      <c r="D56" s="176"/>
      <c r="E56" s="154"/>
      <c r="F56" s="154"/>
      <c r="G56" s="154"/>
      <c r="H56" s="154"/>
      <c r="N56" s="98"/>
    </row>
    <row r="57" spans="1:14" ht="19" customHeight="1" x14ac:dyDescent="0.2">
      <c r="A57" s="153">
        <v>14</v>
      </c>
      <c r="B57" s="152" t="s">
        <v>9307</v>
      </c>
      <c r="C57" s="98" t="s">
        <v>9308</v>
      </c>
      <c r="D57" s="176"/>
      <c r="E57" s="154"/>
      <c r="F57" s="154"/>
      <c r="G57" s="154"/>
      <c r="H57" s="154"/>
      <c r="N57" s="98"/>
    </row>
    <row r="58" spans="1:14" ht="19" customHeight="1" x14ac:dyDescent="0.2">
      <c r="A58" s="153">
        <v>15</v>
      </c>
      <c r="B58" s="152" t="s">
        <v>9309</v>
      </c>
      <c r="C58" s="98" t="s">
        <v>9310</v>
      </c>
      <c r="D58" s="176"/>
      <c r="E58" s="154"/>
      <c r="F58" s="154"/>
      <c r="G58" s="154"/>
      <c r="H58" s="154"/>
      <c r="N58" s="98"/>
    </row>
    <row r="59" spans="1:14" ht="19" customHeight="1" x14ac:dyDescent="0.2">
      <c r="A59" s="153">
        <v>16</v>
      </c>
      <c r="B59" s="152" t="s">
        <v>9311</v>
      </c>
      <c r="C59" s="98" t="s">
        <v>9034</v>
      </c>
      <c r="D59" s="176" t="s">
        <v>9302</v>
      </c>
      <c r="E59" s="154"/>
      <c r="F59" s="154"/>
      <c r="G59" s="154"/>
      <c r="H59" s="154"/>
      <c r="N59" s="98"/>
    </row>
    <row r="60" spans="1:14" ht="19" customHeight="1" x14ac:dyDescent="0.2">
      <c r="A60" s="153">
        <v>17</v>
      </c>
      <c r="B60" s="152" t="s">
        <v>9312</v>
      </c>
      <c r="C60" s="98" t="s">
        <v>9313</v>
      </c>
      <c r="D60" s="176"/>
      <c r="E60" s="154"/>
      <c r="F60" s="154"/>
      <c r="G60" s="154"/>
      <c r="H60" s="154"/>
      <c r="N60" s="98"/>
    </row>
    <row r="61" spans="1:14" ht="19" customHeight="1" x14ac:dyDescent="0.2">
      <c r="A61" s="153">
        <v>18</v>
      </c>
      <c r="B61" s="152" t="s">
        <v>9314</v>
      </c>
      <c r="C61" s="98" t="s">
        <v>9048</v>
      </c>
      <c r="D61" s="176"/>
      <c r="E61" s="154"/>
      <c r="F61" s="154"/>
      <c r="G61" s="154"/>
      <c r="H61" s="154"/>
      <c r="N61" s="98"/>
    </row>
    <row r="62" spans="1:14" ht="19" customHeight="1" x14ac:dyDescent="0.2">
      <c r="A62" s="153">
        <v>19</v>
      </c>
      <c r="B62" s="152" t="s">
        <v>9315</v>
      </c>
      <c r="C62" s="98" t="s">
        <v>9316</v>
      </c>
      <c r="D62" s="176"/>
      <c r="E62" s="154"/>
      <c r="F62" s="154"/>
      <c r="G62" s="154"/>
      <c r="H62" s="154"/>
      <c r="N62" s="98"/>
    </row>
    <row r="63" spans="1:14" ht="19" customHeight="1" x14ac:dyDescent="0.2">
      <c r="A63" s="153">
        <v>20</v>
      </c>
      <c r="B63" s="152" t="s">
        <v>9317</v>
      </c>
      <c r="C63" s="98" t="s">
        <v>9318</v>
      </c>
      <c r="D63" s="176"/>
      <c r="E63" s="154"/>
      <c r="F63" s="154"/>
      <c r="G63" s="154"/>
      <c r="H63" s="154"/>
      <c r="N63" s="98"/>
    </row>
    <row r="64" spans="1:14" ht="17" customHeight="1" x14ac:dyDescent="0.2">
      <c r="A64" s="153">
        <v>21</v>
      </c>
      <c r="B64" s="153" t="s">
        <v>9319</v>
      </c>
      <c r="C64" s="98" t="s">
        <v>9320</v>
      </c>
      <c r="D64" s="176"/>
      <c r="E64" s="154"/>
      <c r="F64" s="154"/>
      <c r="G64" s="154"/>
      <c r="H64" s="154"/>
      <c r="N64" s="98"/>
    </row>
    <row r="65" spans="1:14" ht="75" customHeight="1" x14ac:dyDescent="0.2">
      <c r="A65" s="179" t="s">
        <v>9321</v>
      </c>
      <c r="B65" s="179"/>
      <c r="C65" s="179"/>
      <c r="D65" s="180"/>
      <c r="E65" s="154"/>
      <c r="F65" s="154"/>
      <c r="G65" s="154"/>
      <c r="H65" s="154"/>
    </row>
    <row r="66" spans="1:14" ht="19" customHeight="1" x14ac:dyDescent="0.2">
      <c r="A66" s="153">
        <v>1</v>
      </c>
      <c r="B66" s="152" t="s">
        <v>9322</v>
      </c>
      <c r="C66" s="98" t="s">
        <v>9323</v>
      </c>
      <c r="D66" s="176" t="s">
        <v>9324</v>
      </c>
      <c r="E66" s="154"/>
      <c r="F66" s="154"/>
      <c r="G66" s="154"/>
      <c r="H66" s="154"/>
      <c r="N66" s="98"/>
    </row>
    <row r="67" spans="1:14" ht="19" customHeight="1" x14ac:dyDescent="0.2">
      <c r="A67" s="153">
        <v>2</v>
      </c>
      <c r="B67" s="152" t="s">
        <v>9325</v>
      </c>
      <c r="C67" s="98" t="s">
        <v>9326</v>
      </c>
      <c r="D67" s="176"/>
      <c r="E67" s="154"/>
      <c r="F67" s="154"/>
      <c r="G67" s="154"/>
      <c r="H67" s="154"/>
      <c r="N67" s="98"/>
    </row>
    <row r="68" spans="1:14" ht="19" customHeight="1" x14ac:dyDescent="0.2">
      <c r="A68" s="153">
        <v>3</v>
      </c>
      <c r="B68" s="152" t="s">
        <v>9327</v>
      </c>
      <c r="C68" s="98" t="s">
        <v>9328</v>
      </c>
      <c r="D68" s="176"/>
      <c r="E68" s="154"/>
      <c r="F68" s="154"/>
      <c r="G68" s="154"/>
      <c r="H68" s="154"/>
      <c r="N68" s="98"/>
    </row>
    <row r="69" spans="1:14" ht="19" customHeight="1" x14ac:dyDescent="0.2">
      <c r="A69" s="153">
        <v>4</v>
      </c>
      <c r="B69" s="152" t="s">
        <v>9329</v>
      </c>
      <c r="C69" s="98" t="s">
        <v>9330</v>
      </c>
      <c r="D69" s="176"/>
      <c r="E69" s="154"/>
      <c r="F69" s="154"/>
      <c r="G69" s="154"/>
      <c r="H69" s="154"/>
      <c r="N69" s="98"/>
    </row>
    <row r="70" spans="1:14" ht="19" customHeight="1" x14ac:dyDescent="0.2">
      <c r="A70" s="153">
        <v>5</v>
      </c>
      <c r="B70" s="152" t="s">
        <v>9331</v>
      </c>
      <c r="C70" s="98" t="s">
        <v>9332</v>
      </c>
      <c r="D70" s="176"/>
      <c r="E70" s="154"/>
      <c r="F70" s="154"/>
      <c r="G70" s="154"/>
      <c r="H70" s="154"/>
      <c r="N70" s="98"/>
    </row>
    <row r="71" spans="1:14" ht="19" customHeight="1" x14ac:dyDescent="0.2">
      <c r="A71" s="153">
        <v>6</v>
      </c>
      <c r="B71" s="152" t="s">
        <v>9333</v>
      </c>
      <c r="C71" s="98" t="s">
        <v>9334</v>
      </c>
      <c r="D71" s="176" t="s">
        <v>9238</v>
      </c>
      <c r="E71" s="154"/>
      <c r="F71" s="154"/>
      <c r="G71" s="154"/>
      <c r="H71" s="154"/>
      <c r="N71" s="98"/>
    </row>
    <row r="72" spans="1:14" ht="19" customHeight="1" x14ac:dyDescent="0.2">
      <c r="A72" s="153">
        <v>7</v>
      </c>
      <c r="B72" s="152" t="s">
        <v>9335</v>
      </c>
      <c r="C72" s="98" t="s">
        <v>9336</v>
      </c>
      <c r="D72" s="176"/>
      <c r="E72" s="154"/>
      <c r="F72" s="154"/>
      <c r="G72" s="154"/>
      <c r="H72" s="154"/>
      <c r="N72" s="98"/>
    </row>
    <row r="73" spans="1:14" ht="19" customHeight="1" x14ac:dyDescent="0.2">
      <c r="A73" s="153">
        <v>8</v>
      </c>
      <c r="B73" s="152" t="s">
        <v>9337</v>
      </c>
      <c r="C73" s="98" t="s">
        <v>9338</v>
      </c>
      <c r="D73" s="176"/>
      <c r="E73" s="154"/>
      <c r="F73" s="154"/>
      <c r="G73" s="154"/>
      <c r="H73" s="154"/>
      <c r="N73" s="98"/>
    </row>
    <row r="74" spans="1:14" ht="19" customHeight="1" x14ac:dyDescent="0.2">
      <c r="A74" s="153">
        <v>9</v>
      </c>
      <c r="B74" s="152" t="s">
        <v>9339</v>
      </c>
      <c r="C74" s="98" t="s">
        <v>9340</v>
      </c>
      <c r="D74" s="176"/>
      <c r="E74" s="154"/>
      <c r="F74" s="154"/>
      <c r="G74" s="154"/>
      <c r="H74" s="154"/>
      <c r="N74" s="98"/>
    </row>
    <row r="75" spans="1:14" ht="19" customHeight="1" x14ac:dyDescent="0.2">
      <c r="A75" s="153">
        <v>10</v>
      </c>
      <c r="B75" s="152" t="s">
        <v>9341</v>
      </c>
      <c r="C75" s="98" t="s">
        <v>9342</v>
      </c>
      <c r="D75" s="176"/>
      <c r="E75" s="154"/>
      <c r="F75" s="154"/>
      <c r="G75" s="154"/>
      <c r="H75" s="154"/>
      <c r="N75" s="98"/>
    </row>
    <row r="76" spans="1:14" ht="19" customHeight="1" x14ac:dyDescent="0.2">
      <c r="A76" s="153">
        <v>11</v>
      </c>
      <c r="B76" s="152" t="s">
        <v>9343</v>
      </c>
      <c r="C76" s="98" t="s">
        <v>9344</v>
      </c>
      <c r="D76" s="176"/>
      <c r="E76" s="154"/>
      <c r="F76" s="154"/>
      <c r="G76" s="154"/>
      <c r="H76" s="154"/>
      <c r="N76" s="98"/>
    </row>
  </sheetData>
  <mergeCells count="21">
    <mergeCell ref="D32:D36"/>
    <mergeCell ref="D37:D42"/>
    <mergeCell ref="D44:D53"/>
    <mergeCell ref="D54:D58"/>
    <mergeCell ref="D59:D64"/>
    <mergeCell ref="E33:E35"/>
    <mergeCell ref="E37:E42"/>
    <mergeCell ref="D66:D70"/>
    <mergeCell ref="D71:D76"/>
    <mergeCell ref="A1:D1"/>
    <mergeCell ref="A3:D3"/>
    <mergeCell ref="A14:D14"/>
    <mergeCell ref="E14:H14"/>
    <mergeCell ref="A43:D43"/>
    <mergeCell ref="E15:E18"/>
    <mergeCell ref="E23:E27"/>
    <mergeCell ref="E28:E30"/>
    <mergeCell ref="A65:D65"/>
    <mergeCell ref="D15:D16"/>
    <mergeCell ref="D17:D19"/>
    <mergeCell ref="D20:D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F181-1CB4-5D47-AB76-2B803877D3C9}">
  <sheetPr>
    <outlinePr summaryBelow="0" summaryRight="0"/>
  </sheetPr>
  <dimension ref="A1:E2083"/>
  <sheetViews>
    <sheetView workbookViewId="0"/>
  </sheetViews>
  <sheetFormatPr baseColWidth="10" defaultColWidth="14" defaultRowHeight="14" x14ac:dyDescent="0.2"/>
  <cols>
    <col min="1" max="1" width="52" customWidth="1"/>
    <col min="2" max="2" width="25" customWidth="1"/>
    <col min="3" max="3" width="11" customWidth="1"/>
    <col min="4" max="4" width="8" customWidth="1"/>
    <col min="5" max="5" width="3" customWidth="1"/>
    <col min="6" max="20" width="8" customWidth="1"/>
  </cols>
  <sheetData>
    <row r="1" spans="1:5" ht="42" customHeight="1" x14ac:dyDescent="0.2">
      <c r="A1" s="182" t="s">
        <v>978</v>
      </c>
      <c r="B1" s="182"/>
      <c r="C1" s="182"/>
      <c r="D1" s="182"/>
      <c r="E1" s="182"/>
    </row>
    <row r="2" spans="1:5" ht="19" customHeight="1" x14ac:dyDescent="0.2">
      <c r="A2" s="183" t="s">
        <v>2017</v>
      </c>
      <c r="B2" s="183"/>
      <c r="C2" s="183"/>
      <c r="D2" s="183"/>
      <c r="E2" s="183"/>
    </row>
    <row r="3" spans="1:5" ht="19" customHeight="1" x14ac:dyDescent="0.2">
      <c r="A3" s="183" t="s">
        <v>970</v>
      </c>
      <c r="B3" s="183"/>
      <c r="C3" s="183"/>
      <c r="D3" s="183"/>
      <c r="E3" s="183"/>
    </row>
    <row r="4" spans="1:5" ht="37" customHeight="1" x14ac:dyDescent="0.2">
      <c r="A4" s="184" t="s">
        <v>2009</v>
      </c>
      <c r="B4" s="184"/>
      <c r="C4" s="184"/>
      <c r="D4" s="184"/>
      <c r="E4" s="184"/>
    </row>
    <row r="5" spans="1:5" ht="129" customHeight="1" x14ac:dyDescent="0.2"/>
    <row r="6" spans="1:5" ht="88" customHeight="1" x14ac:dyDescent="0.2"/>
    <row r="7" spans="1:5" ht="190" customHeight="1" x14ac:dyDescent="0.2"/>
    <row r="8" spans="1:5" ht="146" customHeight="1" x14ac:dyDescent="0.2"/>
    <row r="9" spans="1:5" ht="29" customHeight="1" x14ac:dyDescent="0.2">
      <c r="A9" s="166" t="s">
        <v>1013</v>
      </c>
      <c r="B9" s="164" t="s">
        <v>1014</v>
      </c>
      <c r="C9" s="164" t="s">
        <v>1011</v>
      </c>
      <c r="D9" s="165" t="s">
        <v>1012</v>
      </c>
    </row>
    <row r="10" spans="1:5" ht="15" customHeight="1" x14ac:dyDescent="0.2">
      <c r="A10" s="155" t="s">
        <v>2050</v>
      </c>
      <c r="B10" s="156">
        <v>14</v>
      </c>
      <c r="C10" s="155" t="s">
        <v>4</v>
      </c>
      <c r="D10" s="157" t="s">
        <v>5</v>
      </c>
    </row>
    <row r="11" spans="1:5" ht="15" customHeight="1" x14ac:dyDescent="0.2">
      <c r="A11" s="155" t="s">
        <v>1003</v>
      </c>
      <c r="B11" s="156">
        <v>925</v>
      </c>
      <c r="C11" s="155" t="s">
        <v>4</v>
      </c>
      <c r="D11" s="157" t="s">
        <v>5</v>
      </c>
    </row>
    <row r="12" spans="1:5" ht="15" customHeight="1" x14ac:dyDescent="0.2">
      <c r="A12" s="155" t="s">
        <v>2042</v>
      </c>
      <c r="B12" s="156">
        <v>2000</v>
      </c>
      <c r="C12" s="155" t="s">
        <v>4</v>
      </c>
      <c r="D12" s="157" t="s">
        <v>5</v>
      </c>
    </row>
    <row r="13" spans="1:5" ht="15" customHeight="1" x14ac:dyDescent="0.2">
      <c r="A13" s="155" t="s">
        <v>995</v>
      </c>
      <c r="B13" s="158">
        <v>562.72</v>
      </c>
      <c r="C13" s="155" t="s">
        <v>4</v>
      </c>
      <c r="D13" s="157" t="s">
        <v>5</v>
      </c>
    </row>
    <row r="14" spans="1:5" ht="15" customHeight="1" x14ac:dyDescent="0.2">
      <c r="A14" s="155" t="s">
        <v>2034</v>
      </c>
      <c r="B14" s="156">
        <v>25</v>
      </c>
      <c r="C14" s="155" t="s">
        <v>4</v>
      </c>
      <c r="D14" s="157" t="s">
        <v>5</v>
      </c>
    </row>
    <row r="15" spans="1:5" ht="15" customHeight="1" x14ac:dyDescent="0.2">
      <c r="A15" s="155" t="s">
        <v>986</v>
      </c>
      <c r="B15" s="156">
        <v>50</v>
      </c>
      <c r="C15" s="155" t="s">
        <v>4</v>
      </c>
      <c r="D15" s="157" t="s">
        <v>5</v>
      </c>
    </row>
    <row r="16" spans="1:5" ht="15" customHeight="1" x14ac:dyDescent="0.2">
      <c r="A16" s="155" t="s">
        <v>2025</v>
      </c>
      <c r="B16" s="156">
        <v>125</v>
      </c>
      <c r="C16" s="155" t="s">
        <v>4</v>
      </c>
      <c r="D16" s="157" t="s">
        <v>5</v>
      </c>
    </row>
    <row r="17" spans="1:4" ht="15" customHeight="1" x14ac:dyDescent="0.2">
      <c r="A17" s="155" t="s">
        <v>1042</v>
      </c>
      <c r="B17" s="156">
        <v>100</v>
      </c>
      <c r="C17" s="155" t="s">
        <v>4</v>
      </c>
      <c r="D17" s="157" t="s">
        <v>5</v>
      </c>
    </row>
    <row r="18" spans="1:4" ht="15" customHeight="1" x14ac:dyDescent="0.2">
      <c r="A18" s="155" t="s">
        <v>2078</v>
      </c>
      <c r="B18" s="156">
        <v>125</v>
      </c>
      <c r="C18" s="155" t="s">
        <v>4</v>
      </c>
      <c r="D18" s="157" t="s">
        <v>5</v>
      </c>
    </row>
    <row r="19" spans="1:4" ht="15" customHeight="1" x14ac:dyDescent="0.2">
      <c r="A19" s="155" t="s">
        <v>1034</v>
      </c>
      <c r="B19" s="156">
        <v>175</v>
      </c>
      <c r="C19" s="155" t="s">
        <v>4</v>
      </c>
      <c r="D19" s="157" t="s">
        <v>5</v>
      </c>
    </row>
    <row r="20" spans="1:4" ht="15" customHeight="1" x14ac:dyDescent="0.2">
      <c r="A20" s="155" t="s">
        <v>2070</v>
      </c>
      <c r="B20" s="156">
        <v>125</v>
      </c>
      <c r="C20" s="155" t="s">
        <v>4</v>
      </c>
      <c r="D20" s="157" t="s">
        <v>5</v>
      </c>
    </row>
    <row r="21" spans="1:4" ht="15" customHeight="1" x14ac:dyDescent="0.2">
      <c r="A21" s="155" t="s">
        <v>1025</v>
      </c>
      <c r="B21" s="156">
        <v>125</v>
      </c>
      <c r="C21" s="155" t="s">
        <v>4</v>
      </c>
      <c r="D21" s="157" t="s">
        <v>5</v>
      </c>
    </row>
    <row r="22" spans="1:4" ht="15" customHeight="1" x14ac:dyDescent="0.2">
      <c r="A22" s="155" t="s">
        <v>2066</v>
      </c>
      <c r="B22" s="156">
        <v>125</v>
      </c>
      <c r="C22" s="155" t="s">
        <v>4</v>
      </c>
      <c r="D22" s="157" t="s">
        <v>5</v>
      </c>
    </row>
    <row r="23" spans="1:4" ht="15" customHeight="1" x14ac:dyDescent="0.2">
      <c r="A23" s="155" t="s">
        <v>1022</v>
      </c>
      <c r="B23" s="156">
        <v>125</v>
      </c>
      <c r="C23" s="155" t="s">
        <v>4</v>
      </c>
      <c r="D23" s="157" t="s">
        <v>5</v>
      </c>
    </row>
    <row r="24" spans="1:4" ht="15" customHeight="1" x14ac:dyDescent="0.2">
      <c r="A24" s="155" t="s">
        <v>2058</v>
      </c>
      <c r="B24" s="156">
        <v>975</v>
      </c>
      <c r="C24" s="155" t="s">
        <v>4</v>
      </c>
      <c r="D24" s="157" t="s">
        <v>5</v>
      </c>
    </row>
    <row r="25" spans="1:4" ht="15" customHeight="1" x14ac:dyDescent="0.2">
      <c r="A25" s="155" t="s">
        <v>1075</v>
      </c>
      <c r="B25" s="156">
        <v>8375</v>
      </c>
      <c r="C25" s="155" t="s">
        <v>4</v>
      </c>
      <c r="D25" s="157" t="s">
        <v>5</v>
      </c>
    </row>
    <row r="26" spans="1:4" ht="15" customHeight="1" x14ac:dyDescent="0.2">
      <c r="A26" s="155" t="s">
        <v>30</v>
      </c>
      <c r="B26" s="156">
        <v>125</v>
      </c>
      <c r="C26" s="155" t="s">
        <v>4</v>
      </c>
      <c r="D26" s="157" t="s">
        <v>5</v>
      </c>
    </row>
    <row r="27" spans="1:4" ht="15" customHeight="1" x14ac:dyDescent="0.2">
      <c r="A27" s="155" t="s">
        <v>1066</v>
      </c>
      <c r="B27" s="156">
        <v>25</v>
      </c>
      <c r="C27" s="155" t="s">
        <v>4</v>
      </c>
      <c r="D27" s="157" t="s">
        <v>5</v>
      </c>
    </row>
    <row r="28" spans="1:4" ht="15" customHeight="1" x14ac:dyDescent="0.2">
      <c r="A28" s="155" t="s">
        <v>21</v>
      </c>
      <c r="B28" s="156">
        <v>125</v>
      </c>
      <c r="C28" s="155" t="s">
        <v>4</v>
      </c>
      <c r="D28" s="157" t="s">
        <v>5</v>
      </c>
    </row>
    <row r="29" spans="1:4" ht="15" customHeight="1" x14ac:dyDescent="0.2">
      <c r="A29" s="155" t="s">
        <v>1058</v>
      </c>
      <c r="B29" s="156">
        <v>125</v>
      </c>
      <c r="C29" s="155" t="s">
        <v>4</v>
      </c>
      <c r="D29" s="157" t="s">
        <v>5</v>
      </c>
    </row>
    <row r="30" spans="1:4" ht="15" customHeight="1" x14ac:dyDescent="0.2">
      <c r="A30" s="155" t="s">
        <v>13</v>
      </c>
      <c r="B30" s="156">
        <v>25</v>
      </c>
      <c r="C30" s="155" t="s">
        <v>4</v>
      </c>
      <c r="D30" s="157" t="s">
        <v>5</v>
      </c>
    </row>
    <row r="31" spans="1:4" ht="15" customHeight="1" x14ac:dyDescent="0.2">
      <c r="A31" s="155" t="s">
        <v>1050</v>
      </c>
      <c r="B31" s="156">
        <v>125</v>
      </c>
      <c r="C31" s="155" t="s">
        <v>4</v>
      </c>
      <c r="D31" s="157" t="s">
        <v>5</v>
      </c>
    </row>
    <row r="32" spans="1:4" ht="15" customHeight="1" x14ac:dyDescent="0.2">
      <c r="A32" s="155" t="s">
        <v>3</v>
      </c>
      <c r="B32" s="156">
        <v>125</v>
      </c>
      <c r="C32" s="155" t="s">
        <v>4</v>
      </c>
      <c r="D32" s="157" t="s">
        <v>5</v>
      </c>
    </row>
    <row r="33" spans="1:4" ht="15" customHeight="1" x14ac:dyDescent="0.2">
      <c r="A33" s="155" t="s">
        <v>1111</v>
      </c>
      <c r="B33" s="156">
        <v>3</v>
      </c>
      <c r="C33" s="155" t="s">
        <v>4</v>
      </c>
      <c r="D33" s="157" t="s">
        <v>5</v>
      </c>
    </row>
    <row r="34" spans="1:4" ht="15" customHeight="1" x14ac:dyDescent="0.2">
      <c r="A34" s="155" t="s">
        <v>66</v>
      </c>
      <c r="B34" s="156">
        <v>6982</v>
      </c>
      <c r="C34" s="155" t="s">
        <v>4</v>
      </c>
      <c r="D34" s="157" t="s">
        <v>5</v>
      </c>
    </row>
    <row r="35" spans="1:4" ht="15" customHeight="1" x14ac:dyDescent="0.2">
      <c r="A35" s="155" t="s">
        <v>1102</v>
      </c>
      <c r="B35" s="156">
        <v>15</v>
      </c>
      <c r="C35" s="155" t="s">
        <v>4</v>
      </c>
      <c r="D35" s="157" t="s">
        <v>5</v>
      </c>
    </row>
    <row r="36" spans="1:4" ht="15" customHeight="1" x14ac:dyDescent="0.2">
      <c r="A36" s="155" t="s">
        <v>57</v>
      </c>
      <c r="B36" s="156">
        <v>125</v>
      </c>
      <c r="C36" s="155" t="s">
        <v>4</v>
      </c>
      <c r="D36" s="157" t="s">
        <v>5</v>
      </c>
    </row>
    <row r="37" spans="1:4" ht="15" customHeight="1" x14ac:dyDescent="0.2">
      <c r="A37" s="155" t="s">
        <v>1093</v>
      </c>
      <c r="B37" s="156">
        <v>125</v>
      </c>
      <c r="C37" s="155" t="s">
        <v>4</v>
      </c>
      <c r="D37" s="157" t="s">
        <v>5</v>
      </c>
    </row>
    <row r="38" spans="1:4" ht="15" customHeight="1" x14ac:dyDescent="0.2">
      <c r="A38" s="155" t="s">
        <v>48</v>
      </c>
      <c r="B38" s="156">
        <v>125</v>
      </c>
      <c r="C38" s="155" t="s">
        <v>4</v>
      </c>
      <c r="D38" s="157" t="s">
        <v>5</v>
      </c>
    </row>
    <row r="39" spans="1:4" ht="15" customHeight="1" x14ac:dyDescent="0.2">
      <c r="A39" s="155" t="s">
        <v>1084</v>
      </c>
      <c r="B39" s="156">
        <v>125</v>
      </c>
      <c r="C39" s="155" t="s">
        <v>4</v>
      </c>
      <c r="D39" s="157" t="s">
        <v>5</v>
      </c>
    </row>
    <row r="40" spans="1:4" ht="15" customHeight="1" x14ac:dyDescent="0.2">
      <c r="A40" s="155" t="s">
        <v>39</v>
      </c>
      <c r="B40" s="156">
        <v>440</v>
      </c>
      <c r="C40" s="155" t="s">
        <v>4</v>
      </c>
      <c r="D40" s="157" t="s">
        <v>5</v>
      </c>
    </row>
    <row r="41" spans="1:4" ht="15" customHeight="1" x14ac:dyDescent="0.2">
      <c r="A41" s="155" t="s">
        <v>1148</v>
      </c>
      <c r="B41" s="156">
        <v>125</v>
      </c>
      <c r="C41" s="155" t="s">
        <v>4</v>
      </c>
      <c r="D41" s="157" t="s">
        <v>5</v>
      </c>
    </row>
    <row r="42" spans="1:4" ht="15" customHeight="1" x14ac:dyDescent="0.2">
      <c r="A42" s="155" t="s">
        <v>103</v>
      </c>
      <c r="B42" s="156">
        <v>25</v>
      </c>
      <c r="C42" s="155" t="s">
        <v>4</v>
      </c>
      <c r="D42" s="157" t="s">
        <v>5</v>
      </c>
    </row>
    <row r="43" spans="1:4" ht="15" customHeight="1" x14ac:dyDescent="0.2">
      <c r="A43" s="155" t="s">
        <v>1139</v>
      </c>
      <c r="B43" s="156">
        <v>25</v>
      </c>
      <c r="C43" s="155" t="s">
        <v>4</v>
      </c>
      <c r="D43" s="157" t="s">
        <v>5</v>
      </c>
    </row>
    <row r="44" spans="1:4" ht="15" customHeight="1" x14ac:dyDescent="0.2">
      <c r="A44" s="155" t="s">
        <v>94</v>
      </c>
      <c r="B44" s="156">
        <v>25</v>
      </c>
      <c r="C44" s="155" t="s">
        <v>4</v>
      </c>
      <c r="D44" s="157" t="s">
        <v>5</v>
      </c>
    </row>
    <row r="45" spans="1:4" ht="15" customHeight="1" x14ac:dyDescent="0.2">
      <c r="A45" s="155" t="s">
        <v>1130</v>
      </c>
      <c r="B45" s="156">
        <v>25</v>
      </c>
      <c r="C45" s="155" t="s">
        <v>4</v>
      </c>
      <c r="D45" s="157" t="s">
        <v>5</v>
      </c>
    </row>
    <row r="46" spans="1:4" ht="15" customHeight="1" x14ac:dyDescent="0.2">
      <c r="A46" s="155" t="s">
        <v>85</v>
      </c>
      <c r="B46" s="156">
        <v>25</v>
      </c>
      <c r="C46" s="155" t="s">
        <v>4</v>
      </c>
      <c r="D46" s="157" t="s">
        <v>5</v>
      </c>
    </row>
    <row r="47" spans="1:4" ht="15" customHeight="1" x14ac:dyDescent="0.2">
      <c r="A47" s="155" t="s">
        <v>1121</v>
      </c>
      <c r="B47" s="156">
        <v>350</v>
      </c>
      <c r="C47" s="155" t="s">
        <v>4</v>
      </c>
      <c r="D47" s="157" t="s">
        <v>5</v>
      </c>
    </row>
    <row r="48" spans="1:4" ht="15" customHeight="1" x14ac:dyDescent="0.2">
      <c r="A48" s="155" t="s">
        <v>76</v>
      </c>
      <c r="B48" s="156">
        <v>700</v>
      </c>
      <c r="C48" s="155" t="s">
        <v>4</v>
      </c>
      <c r="D48" s="157" t="s">
        <v>5</v>
      </c>
    </row>
    <row r="49" spans="1:4" ht="15" customHeight="1" x14ac:dyDescent="0.2">
      <c r="A49" s="155" t="s">
        <v>1184</v>
      </c>
      <c r="B49" s="156">
        <v>125</v>
      </c>
      <c r="C49" s="155" t="s">
        <v>4</v>
      </c>
      <c r="D49" s="157" t="s">
        <v>5</v>
      </c>
    </row>
    <row r="50" spans="1:4" ht="15" customHeight="1" x14ac:dyDescent="0.2">
      <c r="A50" s="155" t="s">
        <v>139</v>
      </c>
      <c r="B50" s="156">
        <v>125</v>
      </c>
      <c r="C50" s="155" t="s">
        <v>4</v>
      </c>
      <c r="D50" s="157" t="s">
        <v>5</v>
      </c>
    </row>
    <row r="51" spans="1:4" ht="15" customHeight="1" x14ac:dyDescent="0.2">
      <c r="A51" s="155" t="s">
        <v>1175</v>
      </c>
      <c r="B51" s="156">
        <v>125</v>
      </c>
      <c r="C51" s="155" t="s">
        <v>4</v>
      </c>
      <c r="D51" s="157" t="s">
        <v>5</v>
      </c>
    </row>
    <row r="52" spans="1:4" ht="15" customHeight="1" x14ac:dyDescent="0.2">
      <c r="A52" s="155" t="s">
        <v>130</v>
      </c>
      <c r="B52" s="156">
        <v>125</v>
      </c>
      <c r="C52" s="155" t="s">
        <v>4</v>
      </c>
      <c r="D52" s="157" t="s">
        <v>5</v>
      </c>
    </row>
    <row r="53" spans="1:4" ht="15" customHeight="1" x14ac:dyDescent="0.2">
      <c r="A53" s="155" t="s">
        <v>1166</v>
      </c>
      <c r="B53" s="156">
        <v>125</v>
      </c>
      <c r="C53" s="155" t="s">
        <v>4</v>
      </c>
      <c r="D53" s="157" t="s">
        <v>5</v>
      </c>
    </row>
    <row r="54" spans="1:4" ht="15" customHeight="1" x14ac:dyDescent="0.2">
      <c r="A54" s="155" t="s">
        <v>121</v>
      </c>
      <c r="B54" s="156">
        <v>125</v>
      </c>
      <c r="C54" s="155" t="s">
        <v>4</v>
      </c>
      <c r="D54" s="157" t="s">
        <v>5</v>
      </c>
    </row>
    <row r="55" spans="1:4" ht="15" customHeight="1" x14ac:dyDescent="0.2">
      <c r="A55" s="155" t="s">
        <v>1157</v>
      </c>
      <c r="B55" s="156">
        <v>125</v>
      </c>
      <c r="C55" s="155" t="s">
        <v>4</v>
      </c>
      <c r="D55" s="157" t="s">
        <v>5</v>
      </c>
    </row>
    <row r="56" spans="1:4" ht="15" customHeight="1" x14ac:dyDescent="0.2">
      <c r="A56" s="155" t="s">
        <v>112</v>
      </c>
      <c r="B56" s="156">
        <v>25</v>
      </c>
      <c r="C56" s="155" t="s">
        <v>4</v>
      </c>
      <c r="D56" s="157" t="s">
        <v>5</v>
      </c>
    </row>
    <row r="57" spans="1:4" ht="15" customHeight="1" x14ac:dyDescent="0.2">
      <c r="A57" s="155" t="s">
        <v>1220</v>
      </c>
      <c r="B57" s="156">
        <v>25</v>
      </c>
      <c r="C57" s="155" t="s">
        <v>4</v>
      </c>
      <c r="D57" s="157" t="s">
        <v>5</v>
      </c>
    </row>
    <row r="58" spans="1:4" ht="15" customHeight="1" x14ac:dyDescent="0.2">
      <c r="A58" s="155" t="s">
        <v>174</v>
      </c>
      <c r="B58" s="156">
        <v>25</v>
      </c>
      <c r="C58" s="155" t="s">
        <v>4</v>
      </c>
      <c r="D58" s="157" t="s">
        <v>5</v>
      </c>
    </row>
    <row r="59" spans="1:4" ht="15" customHeight="1" x14ac:dyDescent="0.2">
      <c r="A59" s="155" t="s">
        <v>1211</v>
      </c>
      <c r="B59" s="156">
        <v>25</v>
      </c>
      <c r="C59" s="155" t="s">
        <v>4</v>
      </c>
      <c r="D59" s="157" t="s">
        <v>5</v>
      </c>
    </row>
    <row r="60" spans="1:4" ht="15" customHeight="1" x14ac:dyDescent="0.2">
      <c r="A60" s="155" t="s">
        <v>166</v>
      </c>
      <c r="B60" s="156">
        <v>25</v>
      </c>
      <c r="C60" s="155" t="s">
        <v>4</v>
      </c>
      <c r="D60" s="157" t="s">
        <v>5</v>
      </c>
    </row>
    <row r="61" spans="1:4" ht="15" customHeight="1" x14ac:dyDescent="0.2">
      <c r="A61" s="155" t="s">
        <v>1202</v>
      </c>
      <c r="B61" s="156">
        <v>25</v>
      </c>
      <c r="C61" s="155" t="s">
        <v>4</v>
      </c>
      <c r="D61" s="157" t="s">
        <v>5</v>
      </c>
    </row>
    <row r="62" spans="1:4" ht="15" customHeight="1" x14ac:dyDescent="0.2">
      <c r="A62" s="155" t="s">
        <v>157</v>
      </c>
      <c r="B62" s="156">
        <v>725</v>
      </c>
      <c r="C62" s="155" t="s">
        <v>4</v>
      </c>
      <c r="D62" s="157" t="s">
        <v>5</v>
      </c>
    </row>
    <row r="63" spans="1:4" ht="15" customHeight="1" x14ac:dyDescent="0.2">
      <c r="A63" s="155" t="s">
        <v>1193</v>
      </c>
      <c r="B63" s="156">
        <v>125</v>
      </c>
      <c r="C63" s="155" t="s">
        <v>4</v>
      </c>
      <c r="D63" s="157" t="s">
        <v>5</v>
      </c>
    </row>
    <row r="64" spans="1:4" ht="15" customHeight="1" x14ac:dyDescent="0.2">
      <c r="A64" s="155" t="s">
        <v>148</v>
      </c>
      <c r="B64" s="156">
        <v>125</v>
      </c>
      <c r="C64" s="155" t="s">
        <v>4</v>
      </c>
      <c r="D64" s="157" t="s">
        <v>5</v>
      </c>
    </row>
    <row r="65" spans="1:4" ht="15" customHeight="1" x14ac:dyDescent="0.2">
      <c r="A65" s="155" t="s">
        <v>725</v>
      </c>
      <c r="B65" s="156">
        <v>125</v>
      </c>
      <c r="C65" s="155" t="s">
        <v>4</v>
      </c>
      <c r="D65" s="157" t="s">
        <v>5</v>
      </c>
    </row>
    <row r="66" spans="1:4" ht="15" customHeight="1" x14ac:dyDescent="0.2">
      <c r="A66" s="155" t="s">
        <v>1764</v>
      </c>
      <c r="B66" s="156">
        <v>125</v>
      </c>
      <c r="C66" s="155" t="s">
        <v>4</v>
      </c>
      <c r="D66" s="157" t="s">
        <v>5</v>
      </c>
    </row>
    <row r="67" spans="1:4" ht="15" customHeight="1" x14ac:dyDescent="0.2">
      <c r="A67" s="155" t="s">
        <v>717</v>
      </c>
      <c r="B67" s="156">
        <v>125</v>
      </c>
      <c r="C67" s="155" t="s">
        <v>4</v>
      </c>
      <c r="D67" s="157" t="s">
        <v>5</v>
      </c>
    </row>
    <row r="68" spans="1:4" ht="15" customHeight="1" x14ac:dyDescent="0.2">
      <c r="A68" s="155" t="s">
        <v>1756</v>
      </c>
      <c r="B68" s="156">
        <v>25</v>
      </c>
      <c r="C68" s="155" t="s">
        <v>4</v>
      </c>
      <c r="D68" s="157" t="s">
        <v>5</v>
      </c>
    </row>
    <row r="69" spans="1:4" ht="15" customHeight="1" x14ac:dyDescent="0.2">
      <c r="A69" s="155" t="s">
        <v>708</v>
      </c>
      <c r="B69" s="156">
        <v>25</v>
      </c>
      <c r="C69" s="155" t="s">
        <v>4</v>
      </c>
      <c r="D69" s="157" t="s">
        <v>5</v>
      </c>
    </row>
    <row r="70" spans="1:4" ht="15" customHeight="1" x14ac:dyDescent="0.2">
      <c r="A70" s="155" t="s">
        <v>1747</v>
      </c>
      <c r="B70" s="156">
        <v>25</v>
      </c>
      <c r="C70" s="155" t="s">
        <v>4</v>
      </c>
      <c r="D70" s="157" t="s">
        <v>5</v>
      </c>
    </row>
    <row r="71" spans="1:4" ht="15" customHeight="1" x14ac:dyDescent="0.2">
      <c r="A71" s="155" t="s">
        <v>700</v>
      </c>
      <c r="B71" s="156">
        <v>175</v>
      </c>
      <c r="C71" s="155" t="s">
        <v>4</v>
      </c>
      <c r="D71" s="157" t="s">
        <v>5</v>
      </c>
    </row>
    <row r="72" spans="1:4" ht="15" customHeight="1" x14ac:dyDescent="0.2">
      <c r="A72" s="155" t="s">
        <v>1739</v>
      </c>
      <c r="B72" s="156">
        <v>6325</v>
      </c>
      <c r="C72" s="155" t="s">
        <v>4</v>
      </c>
      <c r="D72" s="157" t="s">
        <v>5</v>
      </c>
    </row>
    <row r="73" spans="1:4" ht="15" customHeight="1" x14ac:dyDescent="0.2">
      <c r="A73" s="155" t="s">
        <v>753</v>
      </c>
      <c r="B73" s="156">
        <v>125</v>
      </c>
      <c r="C73" s="155" t="s">
        <v>4</v>
      </c>
      <c r="D73" s="157" t="s">
        <v>5</v>
      </c>
    </row>
    <row r="74" spans="1:4" ht="15" customHeight="1" x14ac:dyDescent="0.2">
      <c r="A74" s="155" t="s">
        <v>1792</v>
      </c>
      <c r="B74" s="156">
        <v>125</v>
      </c>
      <c r="C74" s="155" t="s">
        <v>4</v>
      </c>
      <c r="D74" s="157" t="s">
        <v>5</v>
      </c>
    </row>
    <row r="75" spans="1:4" ht="15" customHeight="1" x14ac:dyDescent="0.2">
      <c r="A75" s="155" t="s">
        <v>744</v>
      </c>
      <c r="B75" s="156">
        <v>125</v>
      </c>
      <c r="C75" s="155" t="s">
        <v>4</v>
      </c>
      <c r="D75" s="157" t="s">
        <v>5</v>
      </c>
    </row>
    <row r="76" spans="1:4" ht="15" customHeight="1" x14ac:dyDescent="0.2">
      <c r="A76" s="155" t="s">
        <v>1788</v>
      </c>
      <c r="B76" s="156">
        <v>25</v>
      </c>
      <c r="C76" s="155" t="s">
        <v>4</v>
      </c>
      <c r="D76" s="157" t="s">
        <v>5</v>
      </c>
    </row>
    <row r="77" spans="1:4" ht="15" customHeight="1" x14ac:dyDescent="0.2">
      <c r="A77" s="155" t="s">
        <v>741</v>
      </c>
      <c r="B77" s="156">
        <v>125</v>
      </c>
      <c r="C77" s="155" t="s">
        <v>4</v>
      </c>
      <c r="D77" s="157" t="s">
        <v>5</v>
      </c>
    </row>
    <row r="78" spans="1:4" ht="15" customHeight="1" x14ac:dyDescent="0.2">
      <c r="A78" s="155" t="s">
        <v>1780</v>
      </c>
      <c r="B78" s="156">
        <v>125</v>
      </c>
      <c r="C78" s="155" t="s">
        <v>4</v>
      </c>
      <c r="D78" s="157" t="s">
        <v>5</v>
      </c>
    </row>
    <row r="79" spans="1:4" ht="15" customHeight="1" x14ac:dyDescent="0.2">
      <c r="A79" s="155" t="s">
        <v>733</v>
      </c>
      <c r="B79" s="156">
        <v>25</v>
      </c>
      <c r="C79" s="155" t="s">
        <v>4</v>
      </c>
      <c r="D79" s="157" t="s">
        <v>5</v>
      </c>
    </row>
    <row r="80" spans="1:4" ht="15" customHeight="1" x14ac:dyDescent="0.2">
      <c r="A80" s="155" t="s">
        <v>1772</v>
      </c>
      <c r="B80" s="156">
        <v>25</v>
      </c>
      <c r="C80" s="155" t="s">
        <v>4</v>
      </c>
      <c r="D80" s="157" t="s">
        <v>5</v>
      </c>
    </row>
    <row r="81" spans="1:4" ht="15" customHeight="1" x14ac:dyDescent="0.2">
      <c r="A81" s="155" t="s">
        <v>785</v>
      </c>
      <c r="B81" s="156">
        <v>25</v>
      </c>
      <c r="C81" s="155" t="s">
        <v>4</v>
      </c>
      <c r="D81" s="157" t="s">
        <v>5</v>
      </c>
    </row>
    <row r="82" spans="1:4" ht="15" customHeight="1" x14ac:dyDescent="0.2">
      <c r="A82" s="155" t="s">
        <v>1824</v>
      </c>
      <c r="B82" s="156">
        <v>25</v>
      </c>
      <c r="C82" s="155" t="s">
        <v>4</v>
      </c>
      <c r="D82" s="157" t="s">
        <v>5</v>
      </c>
    </row>
    <row r="83" spans="1:4" ht="15" customHeight="1" x14ac:dyDescent="0.2">
      <c r="A83" s="155" t="s">
        <v>777</v>
      </c>
      <c r="B83" s="156">
        <v>25</v>
      </c>
      <c r="C83" s="155" t="s">
        <v>4</v>
      </c>
      <c r="D83" s="157" t="s">
        <v>5</v>
      </c>
    </row>
    <row r="84" spans="1:4" ht="15" customHeight="1" x14ac:dyDescent="0.2">
      <c r="A84" s="155" t="s">
        <v>1816</v>
      </c>
      <c r="B84" s="156">
        <v>25</v>
      </c>
      <c r="C84" s="155" t="s">
        <v>4</v>
      </c>
      <c r="D84" s="157" t="s">
        <v>5</v>
      </c>
    </row>
    <row r="85" spans="1:4" ht="15" customHeight="1" x14ac:dyDescent="0.2">
      <c r="A85" s="155" t="s">
        <v>769</v>
      </c>
      <c r="B85" s="156">
        <v>25</v>
      </c>
      <c r="C85" s="155" t="s">
        <v>4</v>
      </c>
      <c r="D85" s="157" t="s">
        <v>5</v>
      </c>
    </row>
    <row r="86" spans="1:4" ht="15" customHeight="1" x14ac:dyDescent="0.2">
      <c r="A86" s="155" t="s">
        <v>1808</v>
      </c>
      <c r="B86" s="156">
        <v>25</v>
      </c>
      <c r="C86" s="155" t="s">
        <v>4</v>
      </c>
      <c r="D86" s="157" t="s">
        <v>5</v>
      </c>
    </row>
    <row r="87" spans="1:4" ht="15" customHeight="1" x14ac:dyDescent="0.2">
      <c r="A87" s="155" t="s">
        <v>761</v>
      </c>
      <c r="B87" s="156">
        <v>25</v>
      </c>
      <c r="C87" s="155" t="s">
        <v>4</v>
      </c>
      <c r="D87" s="157" t="s">
        <v>5</v>
      </c>
    </row>
    <row r="88" spans="1:4" ht="15" customHeight="1" x14ac:dyDescent="0.2">
      <c r="A88" s="155" t="s">
        <v>1800</v>
      </c>
      <c r="B88" s="156">
        <v>125</v>
      </c>
      <c r="C88" s="155" t="s">
        <v>4</v>
      </c>
      <c r="D88" s="157" t="s">
        <v>5</v>
      </c>
    </row>
    <row r="89" spans="1:4" ht="15" customHeight="1" x14ac:dyDescent="0.2">
      <c r="A89" s="155" t="s">
        <v>818</v>
      </c>
      <c r="B89" s="156">
        <v>125</v>
      </c>
      <c r="C89" s="155" t="s">
        <v>4</v>
      </c>
      <c r="D89" s="157" t="s">
        <v>5</v>
      </c>
    </row>
    <row r="90" spans="1:4" ht="15" customHeight="1" x14ac:dyDescent="0.2">
      <c r="A90" s="155" t="s">
        <v>1857</v>
      </c>
      <c r="B90" s="156">
        <v>25</v>
      </c>
      <c r="C90" s="155" t="s">
        <v>4</v>
      </c>
      <c r="D90" s="157" t="s">
        <v>5</v>
      </c>
    </row>
    <row r="91" spans="1:4" ht="15" customHeight="1" x14ac:dyDescent="0.2">
      <c r="A91" s="155" t="s">
        <v>810</v>
      </c>
      <c r="B91" s="156">
        <v>25</v>
      </c>
      <c r="C91" s="155" t="s">
        <v>4</v>
      </c>
      <c r="D91" s="157" t="s">
        <v>5</v>
      </c>
    </row>
    <row r="92" spans="1:4" ht="15" customHeight="1" x14ac:dyDescent="0.2">
      <c r="A92" s="155" t="s">
        <v>1849</v>
      </c>
      <c r="B92" s="156">
        <v>125</v>
      </c>
      <c r="C92" s="155" t="s">
        <v>4</v>
      </c>
      <c r="D92" s="157" t="s">
        <v>5</v>
      </c>
    </row>
    <row r="93" spans="1:4" ht="15" customHeight="1" x14ac:dyDescent="0.2">
      <c r="A93" s="155" t="s">
        <v>802</v>
      </c>
      <c r="B93" s="156">
        <v>25</v>
      </c>
      <c r="C93" s="155" t="s">
        <v>4</v>
      </c>
      <c r="D93" s="157" t="s">
        <v>5</v>
      </c>
    </row>
    <row r="94" spans="1:4" ht="15" customHeight="1" x14ac:dyDescent="0.2">
      <c r="A94" s="155" t="s">
        <v>1841</v>
      </c>
      <c r="B94" s="156">
        <v>125</v>
      </c>
      <c r="C94" s="155" t="s">
        <v>4</v>
      </c>
      <c r="D94" s="157" t="s">
        <v>5</v>
      </c>
    </row>
    <row r="95" spans="1:4" ht="15" customHeight="1" x14ac:dyDescent="0.2">
      <c r="A95" s="155" t="s">
        <v>794</v>
      </c>
      <c r="B95" s="156">
        <v>125</v>
      </c>
      <c r="C95" s="155" t="s">
        <v>4</v>
      </c>
      <c r="D95" s="157" t="s">
        <v>5</v>
      </c>
    </row>
    <row r="96" spans="1:4" ht="15" customHeight="1" x14ac:dyDescent="0.2">
      <c r="A96" s="155" t="s">
        <v>1833</v>
      </c>
      <c r="B96" s="156">
        <v>125</v>
      </c>
      <c r="C96" s="155" t="s">
        <v>4</v>
      </c>
      <c r="D96" s="157" t="s">
        <v>5</v>
      </c>
    </row>
    <row r="97" spans="1:4" ht="15" customHeight="1" x14ac:dyDescent="0.2">
      <c r="A97" s="155" t="s">
        <v>851</v>
      </c>
      <c r="B97" s="156">
        <v>125</v>
      </c>
      <c r="C97" s="155" t="s">
        <v>4</v>
      </c>
      <c r="D97" s="157" t="s">
        <v>5</v>
      </c>
    </row>
    <row r="98" spans="1:4" ht="15" customHeight="1" x14ac:dyDescent="0.2">
      <c r="A98" s="155" t="s">
        <v>1890</v>
      </c>
      <c r="B98" s="156">
        <v>125</v>
      </c>
      <c r="C98" s="155" t="s">
        <v>4</v>
      </c>
      <c r="D98" s="157" t="s">
        <v>5</v>
      </c>
    </row>
    <row r="99" spans="1:4" ht="15" customHeight="1" x14ac:dyDescent="0.2">
      <c r="A99" s="155" t="s">
        <v>843</v>
      </c>
      <c r="B99" s="156">
        <v>25</v>
      </c>
      <c r="C99" s="155" t="s">
        <v>4</v>
      </c>
      <c r="D99" s="157" t="s">
        <v>5</v>
      </c>
    </row>
    <row r="100" spans="1:4" ht="15" customHeight="1" x14ac:dyDescent="0.2">
      <c r="A100" s="155" t="s">
        <v>1882</v>
      </c>
      <c r="B100" s="156">
        <v>25</v>
      </c>
      <c r="C100" s="155" t="s">
        <v>4</v>
      </c>
      <c r="D100" s="157" t="s">
        <v>5</v>
      </c>
    </row>
    <row r="101" spans="1:4" ht="15" customHeight="1" x14ac:dyDescent="0.2">
      <c r="A101" s="155" t="s">
        <v>835</v>
      </c>
      <c r="B101" s="156">
        <v>25</v>
      </c>
      <c r="C101" s="155" t="s">
        <v>4</v>
      </c>
      <c r="D101" s="157" t="s">
        <v>5</v>
      </c>
    </row>
    <row r="102" spans="1:4" ht="15" customHeight="1" x14ac:dyDescent="0.2">
      <c r="A102" s="155" t="s">
        <v>1874</v>
      </c>
      <c r="B102" s="156">
        <v>25</v>
      </c>
      <c r="C102" s="155" t="s">
        <v>4</v>
      </c>
      <c r="D102" s="157" t="s">
        <v>5</v>
      </c>
    </row>
    <row r="103" spans="1:4" ht="15" customHeight="1" x14ac:dyDescent="0.2">
      <c r="A103" s="155" t="s">
        <v>826</v>
      </c>
      <c r="B103" s="156">
        <v>25</v>
      </c>
      <c r="C103" s="155" t="s">
        <v>4</v>
      </c>
      <c r="D103" s="157" t="s">
        <v>5</v>
      </c>
    </row>
    <row r="104" spans="1:4" ht="15" customHeight="1" x14ac:dyDescent="0.2">
      <c r="A104" s="155" t="s">
        <v>1865</v>
      </c>
      <c r="B104" s="156">
        <v>25</v>
      </c>
      <c r="C104" s="155" t="s">
        <v>4</v>
      </c>
      <c r="D104" s="157" t="s">
        <v>5</v>
      </c>
    </row>
    <row r="105" spans="1:4" ht="15" customHeight="1" x14ac:dyDescent="0.2">
      <c r="A105" s="155" t="s">
        <v>883</v>
      </c>
      <c r="B105" s="156">
        <v>25</v>
      </c>
      <c r="C105" s="155" t="s">
        <v>4</v>
      </c>
      <c r="D105" s="157" t="s">
        <v>5</v>
      </c>
    </row>
    <row r="106" spans="1:4" ht="15" customHeight="1" x14ac:dyDescent="0.2">
      <c r="A106" s="155" t="s">
        <v>1922</v>
      </c>
      <c r="B106" s="156">
        <v>25</v>
      </c>
      <c r="C106" s="155" t="s">
        <v>4</v>
      </c>
      <c r="D106" s="157" t="s">
        <v>5</v>
      </c>
    </row>
    <row r="107" spans="1:4" ht="15" customHeight="1" x14ac:dyDescent="0.2">
      <c r="A107" s="155" t="s">
        <v>875</v>
      </c>
      <c r="B107" s="156">
        <v>25</v>
      </c>
      <c r="C107" s="155" t="s">
        <v>4</v>
      </c>
      <c r="D107" s="157" t="s">
        <v>5</v>
      </c>
    </row>
    <row r="108" spans="1:4" ht="15" customHeight="1" x14ac:dyDescent="0.2">
      <c r="A108" s="155" t="s">
        <v>1914</v>
      </c>
      <c r="B108" s="156">
        <v>25</v>
      </c>
      <c r="C108" s="155" t="s">
        <v>4</v>
      </c>
      <c r="D108" s="157" t="s">
        <v>5</v>
      </c>
    </row>
    <row r="109" spans="1:4" ht="15" customHeight="1" x14ac:dyDescent="0.2">
      <c r="A109" s="155" t="s">
        <v>867</v>
      </c>
      <c r="B109" s="156">
        <v>25</v>
      </c>
      <c r="C109" s="155" t="s">
        <v>4</v>
      </c>
      <c r="D109" s="157" t="s">
        <v>5</v>
      </c>
    </row>
    <row r="110" spans="1:4" ht="15" customHeight="1" x14ac:dyDescent="0.2">
      <c r="A110" s="155" t="s">
        <v>1906</v>
      </c>
      <c r="B110" s="156">
        <v>25</v>
      </c>
      <c r="C110" s="155" t="s">
        <v>4</v>
      </c>
      <c r="D110" s="157" t="s">
        <v>5</v>
      </c>
    </row>
    <row r="111" spans="1:4" ht="15" customHeight="1" x14ac:dyDescent="0.2">
      <c r="A111" s="155" t="s">
        <v>859</v>
      </c>
      <c r="B111" s="156">
        <v>125</v>
      </c>
      <c r="C111" s="155" t="s">
        <v>4</v>
      </c>
      <c r="D111" s="157" t="s">
        <v>5</v>
      </c>
    </row>
    <row r="112" spans="1:4" ht="15" customHeight="1" x14ac:dyDescent="0.2">
      <c r="A112" s="155" t="s">
        <v>1898</v>
      </c>
      <c r="B112" s="156">
        <v>125</v>
      </c>
      <c r="C112" s="155" t="s">
        <v>4</v>
      </c>
      <c r="D112" s="157" t="s">
        <v>5</v>
      </c>
    </row>
    <row r="113" spans="1:4" ht="15" customHeight="1" x14ac:dyDescent="0.2">
      <c r="A113" s="155" t="s">
        <v>915</v>
      </c>
      <c r="B113" s="156">
        <v>125</v>
      </c>
      <c r="C113" s="155" t="s">
        <v>4</v>
      </c>
      <c r="D113" s="157" t="s">
        <v>5</v>
      </c>
    </row>
    <row r="114" spans="1:4" ht="15" customHeight="1" x14ac:dyDescent="0.2">
      <c r="A114" s="155" t="s">
        <v>1954</v>
      </c>
      <c r="B114" s="156">
        <v>125</v>
      </c>
      <c r="C114" s="155" t="s">
        <v>4</v>
      </c>
      <c r="D114" s="157" t="s">
        <v>5</v>
      </c>
    </row>
    <row r="115" spans="1:4" ht="15" customHeight="1" x14ac:dyDescent="0.2">
      <c r="A115" s="155" t="s">
        <v>907</v>
      </c>
      <c r="B115" s="156">
        <v>125</v>
      </c>
      <c r="C115" s="155" t="s">
        <v>4</v>
      </c>
      <c r="D115" s="157" t="s">
        <v>5</v>
      </c>
    </row>
    <row r="116" spans="1:4" ht="15" customHeight="1" x14ac:dyDescent="0.2">
      <c r="A116" s="155" t="s">
        <v>1946</v>
      </c>
      <c r="B116" s="158">
        <v>5.25</v>
      </c>
      <c r="C116" s="155" t="s">
        <v>4</v>
      </c>
      <c r="D116" s="157" t="s">
        <v>5</v>
      </c>
    </row>
    <row r="117" spans="1:4" ht="15" customHeight="1" x14ac:dyDescent="0.2">
      <c r="A117" s="155" t="s">
        <v>899</v>
      </c>
      <c r="B117" s="156">
        <v>125</v>
      </c>
      <c r="C117" s="155" t="s">
        <v>4</v>
      </c>
      <c r="D117" s="157" t="s">
        <v>5</v>
      </c>
    </row>
    <row r="118" spans="1:4" ht="15" customHeight="1" x14ac:dyDescent="0.2">
      <c r="A118" s="155" t="s">
        <v>1938</v>
      </c>
      <c r="B118" s="156">
        <v>125</v>
      </c>
      <c r="C118" s="155" t="s">
        <v>4</v>
      </c>
      <c r="D118" s="157" t="s">
        <v>5</v>
      </c>
    </row>
    <row r="119" spans="1:4" ht="15" customHeight="1" x14ac:dyDescent="0.2">
      <c r="A119" s="155" t="s">
        <v>891</v>
      </c>
      <c r="B119" s="156">
        <v>125</v>
      </c>
      <c r="C119" s="155" t="s">
        <v>4</v>
      </c>
      <c r="D119" s="157" t="s">
        <v>5</v>
      </c>
    </row>
    <row r="120" spans="1:4" ht="15" customHeight="1" x14ac:dyDescent="0.2">
      <c r="A120" s="155" t="s">
        <v>1930</v>
      </c>
      <c r="B120" s="156">
        <v>125</v>
      </c>
      <c r="C120" s="155" t="s">
        <v>4</v>
      </c>
      <c r="D120" s="157" t="s">
        <v>5</v>
      </c>
    </row>
    <row r="121" spans="1:4" ht="15" customHeight="1" x14ac:dyDescent="0.2">
      <c r="A121" s="155" t="s">
        <v>947</v>
      </c>
      <c r="B121" s="156">
        <v>125</v>
      </c>
      <c r="C121" s="155" t="s">
        <v>4</v>
      </c>
      <c r="D121" s="157" t="s">
        <v>5</v>
      </c>
    </row>
    <row r="122" spans="1:4" ht="15" customHeight="1" x14ac:dyDescent="0.2">
      <c r="A122" s="155" t="s">
        <v>1986</v>
      </c>
      <c r="B122" s="156">
        <v>75</v>
      </c>
      <c r="C122" s="155" t="s">
        <v>4</v>
      </c>
      <c r="D122" s="157" t="s">
        <v>5</v>
      </c>
    </row>
    <row r="123" spans="1:4" ht="15" customHeight="1" x14ac:dyDescent="0.2">
      <c r="A123" s="155" t="s">
        <v>939</v>
      </c>
      <c r="B123" s="156">
        <v>125</v>
      </c>
      <c r="C123" s="155" t="s">
        <v>4</v>
      </c>
      <c r="D123" s="157" t="s">
        <v>5</v>
      </c>
    </row>
    <row r="124" spans="1:4" ht="15" customHeight="1" x14ac:dyDescent="0.2">
      <c r="A124" s="155" t="s">
        <v>1978</v>
      </c>
      <c r="B124" s="156">
        <v>25</v>
      </c>
      <c r="C124" s="155" t="s">
        <v>4</v>
      </c>
      <c r="D124" s="157" t="s">
        <v>5</v>
      </c>
    </row>
    <row r="125" spans="1:4" ht="15" customHeight="1" x14ac:dyDescent="0.2">
      <c r="A125" s="155" t="s">
        <v>931</v>
      </c>
      <c r="B125" s="156">
        <v>25</v>
      </c>
      <c r="C125" s="155" t="s">
        <v>4</v>
      </c>
      <c r="D125" s="157" t="s">
        <v>5</v>
      </c>
    </row>
    <row r="126" spans="1:4" ht="15" customHeight="1" x14ac:dyDescent="0.2">
      <c r="A126" s="155" t="s">
        <v>1970</v>
      </c>
      <c r="B126" s="156">
        <v>25</v>
      </c>
      <c r="C126" s="155" t="s">
        <v>4</v>
      </c>
      <c r="D126" s="157" t="s">
        <v>5</v>
      </c>
    </row>
    <row r="127" spans="1:4" ht="15" customHeight="1" x14ac:dyDescent="0.2">
      <c r="A127" s="155" t="s">
        <v>923</v>
      </c>
      <c r="B127" s="156">
        <v>125</v>
      </c>
      <c r="C127" s="155" t="s">
        <v>4</v>
      </c>
      <c r="D127" s="157" t="s">
        <v>5</v>
      </c>
    </row>
    <row r="128" spans="1:4" ht="15" customHeight="1" x14ac:dyDescent="0.2">
      <c r="A128" s="155" t="s">
        <v>1962</v>
      </c>
      <c r="B128" s="156">
        <v>300</v>
      </c>
      <c r="C128" s="155" t="s">
        <v>4</v>
      </c>
      <c r="D128" s="157" t="s">
        <v>5</v>
      </c>
    </row>
    <row r="129" spans="1:4" ht="15" customHeight="1" x14ac:dyDescent="0.2">
      <c r="A129" s="155" t="s">
        <v>1510</v>
      </c>
      <c r="B129" s="156">
        <v>125</v>
      </c>
      <c r="C129" s="155" t="s">
        <v>4</v>
      </c>
      <c r="D129" s="157" t="s">
        <v>5</v>
      </c>
    </row>
    <row r="130" spans="1:4" ht="15" customHeight="1" x14ac:dyDescent="0.2">
      <c r="A130" s="155" t="s">
        <v>463</v>
      </c>
      <c r="B130" s="156">
        <v>125</v>
      </c>
      <c r="C130" s="155" t="s">
        <v>4</v>
      </c>
      <c r="D130" s="157" t="s">
        <v>5</v>
      </c>
    </row>
    <row r="131" spans="1:4" ht="15" customHeight="1" x14ac:dyDescent="0.2">
      <c r="A131" s="155" t="s">
        <v>1502</v>
      </c>
      <c r="B131" s="156">
        <v>125</v>
      </c>
      <c r="C131" s="155" t="s">
        <v>4</v>
      </c>
      <c r="D131" s="157" t="s">
        <v>5</v>
      </c>
    </row>
    <row r="132" spans="1:4" ht="15" customHeight="1" x14ac:dyDescent="0.2">
      <c r="A132" s="155" t="s">
        <v>455</v>
      </c>
      <c r="B132" s="156">
        <v>125</v>
      </c>
      <c r="C132" s="155" t="s">
        <v>4</v>
      </c>
      <c r="D132" s="157" t="s">
        <v>5</v>
      </c>
    </row>
    <row r="133" spans="1:4" ht="15" customHeight="1" x14ac:dyDescent="0.2">
      <c r="A133" s="155" t="s">
        <v>1494</v>
      </c>
      <c r="B133" s="159">
        <v>27.5</v>
      </c>
      <c r="C133" s="155" t="s">
        <v>4</v>
      </c>
      <c r="D133" s="157" t="s">
        <v>5</v>
      </c>
    </row>
    <row r="134" spans="1:4" ht="15" customHeight="1" x14ac:dyDescent="0.2">
      <c r="A134" s="155" t="s">
        <v>447</v>
      </c>
      <c r="B134" s="156">
        <v>125</v>
      </c>
      <c r="C134" s="155" t="s">
        <v>4</v>
      </c>
      <c r="D134" s="157" t="s">
        <v>5</v>
      </c>
    </row>
    <row r="135" spans="1:4" ht="15" customHeight="1" x14ac:dyDescent="0.2">
      <c r="A135" s="155" t="s">
        <v>1486</v>
      </c>
      <c r="B135" s="156">
        <v>125</v>
      </c>
      <c r="C135" s="155" t="s">
        <v>4</v>
      </c>
      <c r="D135" s="157" t="s">
        <v>5</v>
      </c>
    </row>
    <row r="136" spans="1:4" ht="15" customHeight="1" x14ac:dyDescent="0.2">
      <c r="A136" s="155" t="s">
        <v>439</v>
      </c>
      <c r="B136" s="156">
        <v>125</v>
      </c>
      <c r="C136" s="155" t="s">
        <v>4</v>
      </c>
      <c r="D136" s="157" t="s">
        <v>5</v>
      </c>
    </row>
    <row r="137" spans="1:4" ht="15" customHeight="1" x14ac:dyDescent="0.2">
      <c r="A137" s="155" t="s">
        <v>1543</v>
      </c>
      <c r="B137" s="156">
        <v>100</v>
      </c>
      <c r="C137" s="155" t="s">
        <v>4</v>
      </c>
      <c r="D137" s="157" t="s">
        <v>5</v>
      </c>
    </row>
    <row r="138" spans="1:4" ht="15" customHeight="1" x14ac:dyDescent="0.2">
      <c r="A138" s="155" t="s">
        <v>496</v>
      </c>
      <c r="B138" s="156">
        <v>125</v>
      </c>
      <c r="C138" s="155" t="s">
        <v>4</v>
      </c>
      <c r="D138" s="157" t="s">
        <v>5</v>
      </c>
    </row>
    <row r="139" spans="1:4" ht="15" customHeight="1" x14ac:dyDescent="0.2">
      <c r="A139" s="155" t="s">
        <v>1535</v>
      </c>
      <c r="B139" s="156">
        <v>25</v>
      </c>
      <c r="C139" s="155" t="s">
        <v>4</v>
      </c>
      <c r="D139" s="157" t="s">
        <v>5</v>
      </c>
    </row>
    <row r="140" spans="1:4" ht="15" customHeight="1" x14ac:dyDescent="0.2">
      <c r="A140" s="155" t="s">
        <v>488</v>
      </c>
      <c r="B140" s="156">
        <v>25</v>
      </c>
      <c r="C140" s="155" t="s">
        <v>4</v>
      </c>
      <c r="D140" s="157" t="s">
        <v>5</v>
      </c>
    </row>
    <row r="141" spans="1:4" ht="15" customHeight="1" x14ac:dyDescent="0.2">
      <c r="A141" s="155" t="s">
        <v>1526</v>
      </c>
      <c r="B141" s="156">
        <v>25</v>
      </c>
      <c r="C141" s="155" t="s">
        <v>4</v>
      </c>
      <c r="D141" s="157" t="s">
        <v>5</v>
      </c>
    </row>
    <row r="142" spans="1:4" ht="15" customHeight="1" x14ac:dyDescent="0.2">
      <c r="A142" s="155" t="s">
        <v>479</v>
      </c>
      <c r="B142" s="156">
        <v>25</v>
      </c>
      <c r="C142" s="155" t="s">
        <v>4</v>
      </c>
      <c r="D142" s="157" t="s">
        <v>5</v>
      </c>
    </row>
    <row r="143" spans="1:4" ht="15" customHeight="1" x14ac:dyDescent="0.2">
      <c r="A143" s="155" t="s">
        <v>1518</v>
      </c>
      <c r="B143" s="156">
        <v>25</v>
      </c>
      <c r="C143" s="155" t="s">
        <v>4</v>
      </c>
      <c r="D143" s="157" t="s">
        <v>5</v>
      </c>
    </row>
    <row r="144" spans="1:4" ht="15" customHeight="1" x14ac:dyDescent="0.2">
      <c r="A144" s="155" t="s">
        <v>471</v>
      </c>
      <c r="B144" s="156">
        <v>25</v>
      </c>
      <c r="C144" s="155" t="s">
        <v>4</v>
      </c>
      <c r="D144" s="157" t="s">
        <v>5</v>
      </c>
    </row>
    <row r="145" spans="1:4" ht="15" customHeight="1" x14ac:dyDescent="0.2">
      <c r="A145" s="155" t="s">
        <v>1576</v>
      </c>
      <c r="B145" s="156">
        <v>25</v>
      </c>
      <c r="C145" s="155" t="s">
        <v>4</v>
      </c>
      <c r="D145" s="157" t="s">
        <v>5</v>
      </c>
    </row>
    <row r="146" spans="1:4" ht="15" customHeight="1" x14ac:dyDescent="0.2">
      <c r="A146" s="155" t="s">
        <v>529</v>
      </c>
      <c r="B146" s="156">
        <v>125</v>
      </c>
      <c r="C146" s="155" t="s">
        <v>4</v>
      </c>
      <c r="D146" s="157" t="s">
        <v>5</v>
      </c>
    </row>
    <row r="147" spans="1:4" ht="15" customHeight="1" x14ac:dyDescent="0.2">
      <c r="A147" s="155" t="s">
        <v>1568</v>
      </c>
      <c r="B147" s="156">
        <v>25</v>
      </c>
      <c r="C147" s="155" t="s">
        <v>4</v>
      </c>
      <c r="D147" s="157" t="s">
        <v>5</v>
      </c>
    </row>
    <row r="148" spans="1:4" ht="15" customHeight="1" x14ac:dyDescent="0.2">
      <c r="A148" s="155" t="s">
        <v>520</v>
      </c>
      <c r="B148" s="156">
        <v>125</v>
      </c>
      <c r="C148" s="155" t="s">
        <v>4</v>
      </c>
      <c r="D148" s="157" t="s">
        <v>5</v>
      </c>
    </row>
    <row r="149" spans="1:4" ht="15" customHeight="1" x14ac:dyDescent="0.2">
      <c r="A149" s="155" t="s">
        <v>1559</v>
      </c>
      <c r="B149" s="156">
        <v>125</v>
      </c>
      <c r="C149" s="155" t="s">
        <v>4</v>
      </c>
      <c r="D149" s="157" t="s">
        <v>5</v>
      </c>
    </row>
    <row r="150" spans="1:4" ht="15" customHeight="1" x14ac:dyDescent="0.2">
      <c r="A150" s="155" t="s">
        <v>512</v>
      </c>
      <c r="B150" s="156">
        <v>75</v>
      </c>
      <c r="C150" s="155" t="s">
        <v>4</v>
      </c>
      <c r="D150" s="157" t="s">
        <v>5</v>
      </c>
    </row>
    <row r="151" spans="1:4" ht="15" customHeight="1" x14ac:dyDescent="0.2">
      <c r="A151" s="155" t="s">
        <v>1551</v>
      </c>
      <c r="B151" s="156">
        <v>100</v>
      </c>
      <c r="C151" s="155" t="s">
        <v>4</v>
      </c>
      <c r="D151" s="157" t="s">
        <v>5</v>
      </c>
    </row>
    <row r="152" spans="1:4" ht="15" customHeight="1" x14ac:dyDescent="0.2">
      <c r="A152" s="155" t="s">
        <v>504</v>
      </c>
      <c r="B152" s="156">
        <v>125</v>
      </c>
      <c r="C152" s="155" t="s">
        <v>4</v>
      </c>
      <c r="D152" s="157" t="s">
        <v>5</v>
      </c>
    </row>
    <row r="153" spans="1:4" ht="15" customHeight="1" x14ac:dyDescent="0.2">
      <c r="A153" s="155" t="s">
        <v>1603</v>
      </c>
      <c r="B153" s="156">
        <v>1025</v>
      </c>
      <c r="C153" s="155" t="s">
        <v>4</v>
      </c>
      <c r="D153" s="157" t="s">
        <v>5</v>
      </c>
    </row>
    <row r="154" spans="1:4" ht="15" customHeight="1" x14ac:dyDescent="0.2">
      <c r="A154" s="155" t="s">
        <v>561</v>
      </c>
      <c r="B154" s="156">
        <v>50</v>
      </c>
      <c r="C154" s="155" t="s">
        <v>4</v>
      </c>
      <c r="D154" s="157" t="s">
        <v>5</v>
      </c>
    </row>
    <row r="155" spans="1:4" ht="15" customHeight="1" x14ac:dyDescent="0.2">
      <c r="A155" s="155" t="s">
        <v>1600</v>
      </c>
      <c r="B155" s="156">
        <v>89125</v>
      </c>
      <c r="C155" s="155" t="s">
        <v>4</v>
      </c>
      <c r="D155" s="157" t="s">
        <v>5</v>
      </c>
    </row>
    <row r="156" spans="1:4" ht="15" customHeight="1" x14ac:dyDescent="0.2">
      <c r="A156" s="155" t="s">
        <v>553</v>
      </c>
      <c r="B156" s="156">
        <v>850</v>
      </c>
      <c r="C156" s="155" t="s">
        <v>4</v>
      </c>
      <c r="D156" s="157" t="s">
        <v>5</v>
      </c>
    </row>
    <row r="157" spans="1:4" ht="15" customHeight="1" x14ac:dyDescent="0.2">
      <c r="A157" s="155" t="s">
        <v>1592</v>
      </c>
      <c r="B157" s="156">
        <v>951100</v>
      </c>
      <c r="C157" s="155" t="s">
        <v>4</v>
      </c>
      <c r="D157" s="157" t="s">
        <v>5</v>
      </c>
    </row>
    <row r="158" spans="1:4" ht="15" customHeight="1" x14ac:dyDescent="0.2">
      <c r="A158" s="155" t="s">
        <v>545</v>
      </c>
      <c r="B158" s="156">
        <v>50</v>
      </c>
      <c r="C158" s="155" t="s">
        <v>4</v>
      </c>
      <c r="D158" s="157" t="s">
        <v>5</v>
      </c>
    </row>
    <row r="159" spans="1:4" ht="15" customHeight="1" x14ac:dyDescent="0.2">
      <c r="A159" s="155" t="s">
        <v>1584</v>
      </c>
      <c r="B159" s="156">
        <v>5</v>
      </c>
      <c r="C159" s="155" t="s">
        <v>4</v>
      </c>
      <c r="D159" s="157" t="s">
        <v>5</v>
      </c>
    </row>
    <row r="160" spans="1:4" ht="15" customHeight="1" x14ac:dyDescent="0.2">
      <c r="A160" s="155" t="s">
        <v>537</v>
      </c>
      <c r="B160" s="156">
        <v>125</v>
      </c>
      <c r="C160" s="155" t="s">
        <v>4</v>
      </c>
      <c r="D160" s="157" t="s">
        <v>5</v>
      </c>
    </row>
    <row r="161" spans="1:4" ht="15" customHeight="1" x14ac:dyDescent="0.2">
      <c r="A161" s="155" t="s">
        <v>1635</v>
      </c>
      <c r="B161" s="156">
        <v>125</v>
      </c>
      <c r="C161" s="155" t="s">
        <v>4</v>
      </c>
      <c r="D161" s="157" t="s">
        <v>5</v>
      </c>
    </row>
    <row r="162" spans="1:4" ht="15" customHeight="1" x14ac:dyDescent="0.2">
      <c r="A162" s="155" t="s">
        <v>589</v>
      </c>
      <c r="B162" s="156">
        <v>17475</v>
      </c>
      <c r="C162" s="155" t="s">
        <v>4</v>
      </c>
      <c r="D162" s="157" t="s">
        <v>5</v>
      </c>
    </row>
    <row r="163" spans="1:4" ht="15" customHeight="1" x14ac:dyDescent="0.2">
      <c r="A163" s="155" t="s">
        <v>1628</v>
      </c>
      <c r="B163" s="156">
        <v>3300</v>
      </c>
      <c r="C163" s="155" t="s">
        <v>4</v>
      </c>
      <c r="D163" s="157" t="s">
        <v>5</v>
      </c>
    </row>
    <row r="164" spans="1:4" ht="15" customHeight="1" x14ac:dyDescent="0.2">
      <c r="A164" s="155" t="s">
        <v>581</v>
      </c>
      <c r="B164" s="156">
        <v>100</v>
      </c>
      <c r="C164" s="155" t="s">
        <v>4</v>
      </c>
      <c r="D164" s="157" t="s">
        <v>5</v>
      </c>
    </row>
    <row r="165" spans="1:4" ht="15" customHeight="1" x14ac:dyDescent="0.2">
      <c r="A165" s="155" t="s">
        <v>1620</v>
      </c>
      <c r="B165" s="156">
        <v>125</v>
      </c>
      <c r="C165" s="155" t="s">
        <v>4</v>
      </c>
      <c r="D165" s="157" t="s">
        <v>5</v>
      </c>
    </row>
    <row r="166" spans="1:4" ht="15" customHeight="1" x14ac:dyDescent="0.2">
      <c r="A166" s="155" t="s">
        <v>573</v>
      </c>
      <c r="B166" s="156">
        <v>25</v>
      </c>
      <c r="C166" s="155" t="s">
        <v>4</v>
      </c>
      <c r="D166" s="157" t="s">
        <v>5</v>
      </c>
    </row>
    <row r="167" spans="1:4" ht="15" customHeight="1" x14ac:dyDescent="0.2">
      <c r="A167" s="155" t="s">
        <v>1612</v>
      </c>
      <c r="B167" s="156">
        <v>25</v>
      </c>
      <c r="C167" s="155" t="s">
        <v>4</v>
      </c>
      <c r="D167" s="157" t="s">
        <v>5</v>
      </c>
    </row>
    <row r="168" spans="1:4" ht="15" customHeight="1" x14ac:dyDescent="0.2">
      <c r="A168" s="155" t="s">
        <v>565</v>
      </c>
      <c r="B168" s="156">
        <v>25</v>
      </c>
      <c r="C168" s="155" t="s">
        <v>4</v>
      </c>
      <c r="D168" s="157" t="s">
        <v>5</v>
      </c>
    </row>
    <row r="169" spans="1:4" ht="15" customHeight="1" x14ac:dyDescent="0.2">
      <c r="A169" s="155" t="s">
        <v>1664</v>
      </c>
      <c r="B169" s="156">
        <v>125</v>
      </c>
      <c r="C169" s="155" t="s">
        <v>4</v>
      </c>
      <c r="D169" s="157" t="s">
        <v>5</v>
      </c>
    </row>
    <row r="170" spans="1:4" ht="15" customHeight="1" x14ac:dyDescent="0.2">
      <c r="A170" s="155" t="s">
        <v>618</v>
      </c>
      <c r="B170" s="156">
        <v>480</v>
      </c>
      <c r="C170" s="155" t="s">
        <v>4</v>
      </c>
      <c r="D170" s="157" t="s">
        <v>5</v>
      </c>
    </row>
    <row r="171" spans="1:4" ht="15" customHeight="1" x14ac:dyDescent="0.2">
      <c r="A171" s="155" t="s">
        <v>1657</v>
      </c>
      <c r="B171" s="158">
        <v>45.36</v>
      </c>
      <c r="C171" s="155" t="s">
        <v>4</v>
      </c>
      <c r="D171" s="157" t="s">
        <v>5</v>
      </c>
    </row>
    <row r="172" spans="1:4" ht="15" customHeight="1" x14ac:dyDescent="0.2">
      <c r="A172" s="155" t="s">
        <v>611</v>
      </c>
      <c r="B172" s="156">
        <v>125</v>
      </c>
      <c r="C172" s="155" t="s">
        <v>4</v>
      </c>
      <c r="D172" s="157" t="s">
        <v>5</v>
      </c>
    </row>
    <row r="173" spans="1:4" ht="15" customHeight="1" x14ac:dyDescent="0.2">
      <c r="A173" s="155" t="s">
        <v>1650</v>
      </c>
      <c r="B173" s="156">
        <v>125</v>
      </c>
      <c r="C173" s="155" t="s">
        <v>4</v>
      </c>
      <c r="D173" s="157" t="s">
        <v>5</v>
      </c>
    </row>
    <row r="174" spans="1:4" ht="15" customHeight="1" x14ac:dyDescent="0.2">
      <c r="A174" s="155" t="s">
        <v>604</v>
      </c>
      <c r="B174" s="156">
        <v>150</v>
      </c>
      <c r="C174" s="155" t="s">
        <v>4</v>
      </c>
      <c r="D174" s="157" t="s">
        <v>5</v>
      </c>
    </row>
    <row r="175" spans="1:4" ht="15" customHeight="1" x14ac:dyDescent="0.2">
      <c r="A175" s="155" t="s">
        <v>1642</v>
      </c>
      <c r="B175" s="156">
        <v>25</v>
      </c>
      <c r="C175" s="155" t="s">
        <v>4</v>
      </c>
      <c r="D175" s="157" t="s">
        <v>5</v>
      </c>
    </row>
    <row r="176" spans="1:4" ht="15" customHeight="1" x14ac:dyDescent="0.2">
      <c r="A176" s="155" t="s">
        <v>596</v>
      </c>
      <c r="B176" s="156">
        <v>25</v>
      </c>
      <c r="C176" s="155" t="s">
        <v>4</v>
      </c>
      <c r="D176" s="157" t="s">
        <v>5</v>
      </c>
    </row>
    <row r="177" spans="1:4" ht="15" customHeight="1" x14ac:dyDescent="0.2">
      <c r="A177" s="155" t="s">
        <v>1693</v>
      </c>
      <c r="B177" s="156">
        <v>25</v>
      </c>
      <c r="C177" s="155" t="s">
        <v>4</v>
      </c>
      <c r="D177" s="157" t="s">
        <v>5</v>
      </c>
    </row>
    <row r="178" spans="1:4" ht="15" customHeight="1" x14ac:dyDescent="0.2">
      <c r="A178" s="155" t="s">
        <v>647</v>
      </c>
      <c r="B178" s="156">
        <v>25</v>
      </c>
      <c r="C178" s="155" t="s">
        <v>4</v>
      </c>
      <c r="D178" s="157" t="s">
        <v>5</v>
      </c>
    </row>
    <row r="179" spans="1:4" ht="15" customHeight="1" x14ac:dyDescent="0.2">
      <c r="A179" s="155" t="s">
        <v>1686</v>
      </c>
      <c r="B179" s="156">
        <v>25</v>
      </c>
      <c r="C179" s="155" t="s">
        <v>4</v>
      </c>
      <c r="D179" s="157" t="s">
        <v>5</v>
      </c>
    </row>
    <row r="180" spans="1:4" ht="15" customHeight="1" x14ac:dyDescent="0.2">
      <c r="A180" s="155" t="s">
        <v>640</v>
      </c>
      <c r="B180" s="156">
        <v>25</v>
      </c>
      <c r="C180" s="155" t="s">
        <v>4</v>
      </c>
      <c r="D180" s="157" t="s">
        <v>5</v>
      </c>
    </row>
    <row r="181" spans="1:4" ht="15" customHeight="1" x14ac:dyDescent="0.2">
      <c r="A181" s="155" t="s">
        <v>1678</v>
      </c>
      <c r="B181" s="156">
        <v>125</v>
      </c>
      <c r="C181" s="155" t="s">
        <v>4</v>
      </c>
      <c r="D181" s="157" t="s">
        <v>5</v>
      </c>
    </row>
    <row r="182" spans="1:4" ht="15" customHeight="1" x14ac:dyDescent="0.2">
      <c r="A182" s="155" t="s">
        <v>632</v>
      </c>
      <c r="B182" s="156">
        <v>150</v>
      </c>
      <c r="C182" s="155" t="s">
        <v>4</v>
      </c>
      <c r="D182" s="157" t="s">
        <v>5</v>
      </c>
    </row>
    <row r="183" spans="1:4" ht="15" customHeight="1" x14ac:dyDescent="0.2">
      <c r="A183" s="155" t="s">
        <v>1671</v>
      </c>
      <c r="B183" s="156">
        <v>25</v>
      </c>
      <c r="C183" s="155" t="s">
        <v>4</v>
      </c>
      <c r="D183" s="157" t="s">
        <v>5</v>
      </c>
    </row>
    <row r="184" spans="1:4" ht="15" customHeight="1" x14ac:dyDescent="0.2">
      <c r="A184" s="155" t="s">
        <v>625</v>
      </c>
      <c r="B184" s="156">
        <v>25</v>
      </c>
      <c r="C184" s="155" t="s">
        <v>4</v>
      </c>
      <c r="D184" s="157" t="s">
        <v>5</v>
      </c>
    </row>
    <row r="185" spans="1:4" ht="15" customHeight="1" x14ac:dyDescent="0.2">
      <c r="A185" s="155" t="s">
        <v>1721</v>
      </c>
      <c r="B185" s="156">
        <v>25</v>
      </c>
      <c r="C185" s="155" t="s">
        <v>4</v>
      </c>
      <c r="D185" s="157" t="s">
        <v>5</v>
      </c>
    </row>
    <row r="186" spans="1:4" ht="15" customHeight="1" x14ac:dyDescent="0.2">
      <c r="A186" s="155" t="s">
        <v>675</v>
      </c>
      <c r="B186" s="156">
        <v>25</v>
      </c>
      <c r="C186" s="155" t="s">
        <v>4</v>
      </c>
      <c r="D186" s="157" t="s">
        <v>5</v>
      </c>
    </row>
    <row r="187" spans="1:4" ht="15" customHeight="1" x14ac:dyDescent="0.2">
      <c r="A187" s="155" t="s">
        <v>1714</v>
      </c>
      <c r="B187" s="156">
        <v>25</v>
      </c>
      <c r="C187" s="155" t="s">
        <v>4</v>
      </c>
      <c r="D187" s="157" t="s">
        <v>5</v>
      </c>
    </row>
    <row r="188" spans="1:4" ht="15" customHeight="1" x14ac:dyDescent="0.2">
      <c r="A188" s="155" t="s">
        <v>668</v>
      </c>
      <c r="B188" s="156">
        <v>25</v>
      </c>
      <c r="C188" s="155" t="s">
        <v>4</v>
      </c>
      <c r="D188" s="157" t="s">
        <v>5</v>
      </c>
    </row>
    <row r="189" spans="1:4" ht="15" customHeight="1" x14ac:dyDescent="0.2">
      <c r="A189" s="155" t="s">
        <v>1707</v>
      </c>
      <c r="B189" s="156">
        <v>25</v>
      </c>
      <c r="C189" s="155" t="s">
        <v>4</v>
      </c>
      <c r="D189" s="157" t="s">
        <v>5</v>
      </c>
    </row>
    <row r="190" spans="1:4" ht="15" customHeight="1" x14ac:dyDescent="0.2">
      <c r="A190" s="155" t="s">
        <v>661</v>
      </c>
      <c r="B190" s="156">
        <v>25</v>
      </c>
      <c r="C190" s="155" t="s">
        <v>4</v>
      </c>
      <c r="D190" s="157" t="s">
        <v>5</v>
      </c>
    </row>
    <row r="191" spans="1:4" ht="15" customHeight="1" x14ac:dyDescent="0.2">
      <c r="A191" s="155" t="s">
        <v>1700</v>
      </c>
      <c r="B191" s="156">
        <v>25</v>
      </c>
      <c r="C191" s="155" t="s">
        <v>4</v>
      </c>
      <c r="D191" s="157" t="s">
        <v>5</v>
      </c>
    </row>
    <row r="192" spans="1:4" ht="15" customHeight="1" x14ac:dyDescent="0.2">
      <c r="A192" s="155" t="s">
        <v>654</v>
      </c>
      <c r="B192" s="156">
        <v>25</v>
      </c>
      <c r="C192" s="155" t="s">
        <v>4</v>
      </c>
      <c r="D192" s="157" t="s">
        <v>5</v>
      </c>
    </row>
    <row r="193" spans="1:4" ht="15" customHeight="1" x14ac:dyDescent="0.2">
      <c r="A193" s="155" t="s">
        <v>1255</v>
      </c>
      <c r="B193" s="156">
        <v>25</v>
      </c>
      <c r="C193" s="155" t="s">
        <v>4</v>
      </c>
      <c r="D193" s="157" t="s">
        <v>5</v>
      </c>
    </row>
    <row r="194" spans="1:4" ht="15" customHeight="1" x14ac:dyDescent="0.2">
      <c r="A194" s="155" t="s">
        <v>208</v>
      </c>
      <c r="B194" s="156">
        <v>125</v>
      </c>
      <c r="C194" s="155" t="s">
        <v>4</v>
      </c>
      <c r="D194" s="157" t="s">
        <v>5</v>
      </c>
    </row>
    <row r="195" spans="1:4" ht="15" customHeight="1" x14ac:dyDescent="0.2">
      <c r="A195" s="155" t="s">
        <v>1245</v>
      </c>
      <c r="B195" s="156">
        <v>125</v>
      </c>
      <c r="C195" s="155" t="s">
        <v>4</v>
      </c>
      <c r="D195" s="157" t="s">
        <v>5</v>
      </c>
    </row>
    <row r="196" spans="1:4" ht="15" customHeight="1" x14ac:dyDescent="0.2">
      <c r="A196" s="155" t="s">
        <v>198</v>
      </c>
      <c r="B196" s="156">
        <v>125</v>
      </c>
      <c r="C196" s="155" t="s">
        <v>4</v>
      </c>
      <c r="D196" s="157" t="s">
        <v>5</v>
      </c>
    </row>
    <row r="197" spans="1:4" ht="15" customHeight="1" x14ac:dyDescent="0.2">
      <c r="A197" s="155" t="s">
        <v>1236</v>
      </c>
      <c r="B197" s="156">
        <v>72</v>
      </c>
      <c r="C197" s="155" t="s">
        <v>4</v>
      </c>
      <c r="D197" s="157" t="s">
        <v>5</v>
      </c>
    </row>
    <row r="198" spans="1:4" ht="15" customHeight="1" x14ac:dyDescent="0.2">
      <c r="A198" s="155" t="s">
        <v>190</v>
      </c>
      <c r="B198" s="156">
        <v>125</v>
      </c>
      <c r="C198" s="155" t="s">
        <v>4</v>
      </c>
      <c r="D198" s="157" t="s">
        <v>5</v>
      </c>
    </row>
    <row r="199" spans="1:4" ht="15" customHeight="1" x14ac:dyDescent="0.2">
      <c r="A199" s="155" t="s">
        <v>1228</v>
      </c>
      <c r="B199" s="156">
        <v>125</v>
      </c>
      <c r="C199" s="155" t="s">
        <v>4</v>
      </c>
      <c r="D199" s="157" t="s">
        <v>5</v>
      </c>
    </row>
    <row r="200" spans="1:4" ht="15" customHeight="1" x14ac:dyDescent="0.2">
      <c r="A200" s="155" t="s">
        <v>182</v>
      </c>
      <c r="B200" s="156">
        <v>125</v>
      </c>
      <c r="C200" s="155" t="s">
        <v>4</v>
      </c>
      <c r="D200" s="157" t="s">
        <v>5</v>
      </c>
    </row>
    <row r="201" spans="1:4" ht="15" customHeight="1" x14ac:dyDescent="0.2">
      <c r="A201" s="155" t="s">
        <v>1288</v>
      </c>
      <c r="B201" s="156">
        <v>125</v>
      </c>
      <c r="C201" s="155" t="s">
        <v>4</v>
      </c>
      <c r="D201" s="157" t="s">
        <v>5</v>
      </c>
    </row>
    <row r="202" spans="1:4" ht="15" customHeight="1" x14ac:dyDescent="0.2">
      <c r="A202" s="155" t="s">
        <v>240</v>
      </c>
      <c r="B202" s="156">
        <v>125</v>
      </c>
      <c r="C202" s="155" t="s">
        <v>4</v>
      </c>
      <c r="D202" s="157" t="s">
        <v>5</v>
      </c>
    </row>
    <row r="203" spans="1:4" ht="15" customHeight="1" x14ac:dyDescent="0.2">
      <c r="A203" s="155" t="s">
        <v>1279</v>
      </c>
      <c r="B203" s="156">
        <v>100</v>
      </c>
      <c r="C203" s="155" t="s">
        <v>4</v>
      </c>
      <c r="D203" s="157" t="s">
        <v>5</v>
      </c>
    </row>
    <row r="204" spans="1:4" ht="15" customHeight="1" x14ac:dyDescent="0.2">
      <c r="A204" s="155" t="s">
        <v>232</v>
      </c>
      <c r="B204" s="156">
        <v>125</v>
      </c>
      <c r="C204" s="155" t="s">
        <v>4</v>
      </c>
      <c r="D204" s="157" t="s">
        <v>5</v>
      </c>
    </row>
    <row r="205" spans="1:4" ht="15" customHeight="1" x14ac:dyDescent="0.2">
      <c r="A205" s="155" t="s">
        <v>1271</v>
      </c>
      <c r="B205" s="156">
        <v>25</v>
      </c>
      <c r="C205" s="155" t="s">
        <v>4</v>
      </c>
      <c r="D205" s="157" t="s">
        <v>5</v>
      </c>
    </row>
    <row r="206" spans="1:4" ht="15" customHeight="1" x14ac:dyDescent="0.2">
      <c r="A206" s="155" t="s">
        <v>224</v>
      </c>
      <c r="B206" s="156">
        <v>25</v>
      </c>
      <c r="C206" s="155" t="s">
        <v>4</v>
      </c>
      <c r="D206" s="157" t="s">
        <v>5</v>
      </c>
    </row>
    <row r="207" spans="1:4" ht="15" customHeight="1" x14ac:dyDescent="0.2">
      <c r="A207" s="155" t="s">
        <v>1263</v>
      </c>
      <c r="B207" s="156">
        <v>25</v>
      </c>
      <c r="C207" s="155" t="s">
        <v>4</v>
      </c>
      <c r="D207" s="157" t="s">
        <v>5</v>
      </c>
    </row>
    <row r="208" spans="1:4" ht="15" customHeight="1" x14ac:dyDescent="0.2">
      <c r="A208" s="155" t="s">
        <v>216</v>
      </c>
      <c r="B208" s="156">
        <v>25</v>
      </c>
      <c r="C208" s="155" t="s">
        <v>4</v>
      </c>
      <c r="D208" s="157" t="s">
        <v>5</v>
      </c>
    </row>
    <row r="209" spans="1:4" ht="15" customHeight="1" x14ac:dyDescent="0.2">
      <c r="A209" s="155" t="s">
        <v>1320</v>
      </c>
      <c r="B209" s="156">
        <v>25</v>
      </c>
      <c r="C209" s="155" t="s">
        <v>4</v>
      </c>
      <c r="D209" s="157" t="s">
        <v>5</v>
      </c>
    </row>
    <row r="210" spans="1:4" ht="15" customHeight="1" x14ac:dyDescent="0.2">
      <c r="A210" s="155" t="s">
        <v>273</v>
      </c>
      <c r="B210" s="156">
        <v>125</v>
      </c>
      <c r="C210" s="155" t="s">
        <v>4</v>
      </c>
      <c r="D210" s="157" t="s">
        <v>5</v>
      </c>
    </row>
    <row r="211" spans="1:4" ht="15" customHeight="1" x14ac:dyDescent="0.2">
      <c r="A211" s="155" t="s">
        <v>1312</v>
      </c>
      <c r="B211" s="156">
        <v>325</v>
      </c>
      <c r="C211" s="155" t="s">
        <v>4</v>
      </c>
      <c r="D211" s="157" t="s">
        <v>5</v>
      </c>
    </row>
    <row r="212" spans="1:4" ht="15" customHeight="1" x14ac:dyDescent="0.2">
      <c r="A212" s="155" t="s">
        <v>265</v>
      </c>
      <c r="B212" s="156">
        <v>25</v>
      </c>
      <c r="C212" s="155" t="s">
        <v>4</v>
      </c>
      <c r="D212" s="157" t="s">
        <v>5</v>
      </c>
    </row>
    <row r="213" spans="1:4" ht="15" customHeight="1" x14ac:dyDescent="0.2">
      <c r="A213" s="155" t="s">
        <v>1304</v>
      </c>
      <c r="B213" s="156">
        <v>25</v>
      </c>
      <c r="C213" s="155" t="s">
        <v>4</v>
      </c>
      <c r="D213" s="157" t="s">
        <v>5</v>
      </c>
    </row>
    <row r="214" spans="1:4" ht="15" customHeight="1" x14ac:dyDescent="0.2">
      <c r="A214" s="155" t="s">
        <v>257</v>
      </c>
      <c r="B214" s="156">
        <v>125</v>
      </c>
      <c r="C214" s="155" t="s">
        <v>4</v>
      </c>
      <c r="D214" s="157" t="s">
        <v>5</v>
      </c>
    </row>
    <row r="215" spans="1:4" ht="15" customHeight="1" x14ac:dyDescent="0.2">
      <c r="A215" s="155" t="s">
        <v>1296</v>
      </c>
      <c r="B215" s="156">
        <v>125</v>
      </c>
      <c r="C215" s="155" t="s">
        <v>4</v>
      </c>
      <c r="D215" s="157" t="s">
        <v>5</v>
      </c>
    </row>
    <row r="216" spans="1:4" ht="15" customHeight="1" x14ac:dyDescent="0.2">
      <c r="A216" s="155" t="s">
        <v>249</v>
      </c>
      <c r="B216" s="156">
        <v>125</v>
      </c>
      <c r="C216" s="155" t="s">
        <v>4</v>
      </c>
      <c r="D216" s="157" t="s">
        <v>5</v>
      </c>
    </row>
    <row r="217" spans="1:4" ht="15" customHeight="1" x14ac:dyDescent="0.2">
      <c r="A217" s="155" t="s">
        <v>1348</v>
      </c>
      <c r="B217" s="156">
        <v>125</v>
      </c>
      <c r="C217" s="155" t="s">
        <v>4</v>
      </c>
      <c r="D217" s="157" t="s">
        <v>5</v>
      </c>
    </row>
    <row r="218" spans="1:4" ht="15" customHeight="1" x14ac:dyDescent="0.2">
      <c r="A218" s="155" t="s">
        <v>301</v>
      </c>
      <c r="B218" s="156">
        <v>125</v>
      </c>
      <c r="C218" s="155" t="s">
        <v>4</v>
      </c>
      <c r="D218" s="157" t="s">
        <v>5</v>
      </c>
    </row>
    <row r="219" spans="1:4" ht="15" customHeight="1" x14ac:dyDescent="0.2">
      <c r="A219" s="155" t="s">
        <v>1340</v>
      </c>
      <c r="B219" s="156">
        <v>125</v>
      </c>
      <c r="C219" s="155" t="s">
        <v>4</v>
      </c>
      <c r="D219" s="157" t="s">
        <v>5</v>
      </c>
    </row>
    <row r="220" spans="1:4" ht="15" customHeight="1" x14ac:dyDescent="0.2">
      <c r="A220" s="155" t="s">
        <v>293</v>
      </c>
      <c r="B220" s="156">
        <v>125</v>
      </c>
      <c r="C220" s="155" t="s">
        <v>4</v>
      </c>
      <c r="D220" s="157" t="s">
        <v>5</v>
      </c>
    </row>
    <row r="221" spans="1:4" ht="15" customHeight="1" x14ac:dyDescent="0.2">
      <c r="A221" s="155" t="s">
        <v>1332</v>
      </c>
      <c r="B221" s="156">
        <v>50</v>
      </c>
      <c r="C221" s="155" t="s">
        <v>4</v>
      </c>
      <c r="D221" s="157" t="s">
        <v>5</v>
      </c>
    </row>
    <row r="222" spans="1:4" ht="15" customHeight="1" x14ac:dyDescent="0.2">
      <c r="A222" s="155" t="s">
        <v>285</v>
      </c>
      <c r="B222" s="156">
        <v>125</v>
      </c>
      <c r="C222" s="155" t="s">
        <v>4</v>
      </c>
      <c r="D222" s="157" t="s">
        <v>5</v>
      </c>
    </row>
    <row r="223" spans="1:4" ht="15" customHeight="1" x14ac:dyDescent="0.2">
      <c r="A223" s="155" t="s">
        <v>1323</v>
      </c>
      <c r="B223" s="156">
        <v>25</v>
      </c>
      <c r="C223" s="155" t="s">
        <v>4</v>
      </c>
      <c r="D223" s="157" t="s">
        <v>5</v>
      </c>
    </row>
    <row r="224" spans="1:4" ht="15" customHeight="1" x14ac:dyDescent="0.2">
      <c r="A224" s="155" t="s">
        <v>281</v>
      </c>
      <c r="B224" s="156">
        <v>25</v>
      </c>
      <c r="C224" s="155" t="s">
        <v>4</v>
      </c>
      <c r="D224" s="157" t="s">
        <v>5</v>
      </c>
    </row>
    <row r="225" spans="1:4" ht="15" customHeight="1" x14ac:dyDescent="0.2">
      <c r="A225" s="155" t="s">
        <v>1381</v>
      </c>
      <c r="B225" s="156">
        <v>25</v>
      </c>
      <c r="C225" s="155" t="s">
        <v>4</v>
      </c>
      <c r="D225" s="157" t="s">
        <v>5</v>
      </c>
    </row>
    <row r="226" spans="1:4" ht="15" customHeight="1" x14ac:dyDescent="0.2">
      <c r="A226" s="155" t="s">
        <v>334</v>
      </c>
      <c r="B226" s="156">
        <v>25</v>
      </c>
      <c r="C226" s="155" t="s">
        <v>4</v>
      </c>
      <c r="D226" s="157" t="s">
        <v>5</v>
      </c>
    </row>
    <row r="227" spans="1:4" ht="15" customHeight="1" x14ac:dyDescent="0.2">
      <c r="A227" s="155" t="s">
        <v>1373</v>
      </c>
      <c r="B227" s="156">
        <v>200</v>
      </c>
      <c r="C227" s="155" t="s">
        <v>4</v>
      </c>
      <c r="D227" s="157" t="s">
        <v>5</v>
      </c>
    </row>
    <row r="228" spans="1:4" ht="15" customHeight="1" x14ac:dyDescent="0.2">
      <c r="A228" s="155" t="s">
        <v>326</v>
      </c>
      <c r="B228" s="156">
        <v>125</v>
      </c>
      <c r="C228" s="155" t="s">
        <v>4</v>
      </c>
      <c r="D228" s="157" t="s">
        <v>5</v>
      </c>
    </row>
    <row r="229" spans="1:4" ht="15" customHeight="1" x14ac:dyDescent="0.2">
      <c r="A229" s="155" t="s">
        <v>1364</v>
      </c>
      <c r="B229" s="156">
        <v>125</v>
      </c>
      <c r="C229" s="155" t="s">
        <v>4</v>
      </c>
      <c r="D229" s="157" t="s">
        <v>5</v>
      </c>
    </row>
    <row r="230" spans="1:4" ht="15" customHeight="1" x14ac:dyDescent="0.2">
      <c r="A230" s="155" t="s">
        <v>317</v>
      </c>
      <c r="B230" s="156">
        <v>25</v>
      </c>
      <c r="C230" s="155" t="s">
        <v>4</v>
      </c>
      <c r="D230" s="157" t="s">
        <v>5</v>
      </c>
    </row>
    <row r="231" spans="1:4" ht="15" customHeight="1" x14ac:dyDescent="0.2">
      <c r="A231" s="155" t="s">
        <v>1356</v>
      </c>
      <c r="B231" s="156">
        <v>25</v>
      </c>
      <c r="C231" s="155" t="s">
        <v>4</v>
      </c>
      <c r="D231" s="157" t="s">
        <v>5</v>
      </c>
    </row>
    <row r="232" spans="1:4" ht="15" customHeight="1" x14ac:dyDescent="0.2">
      <c r="A232" s="155" t="s">
        <v>309</v>
      </c>
      <c r="B232" s="156">
        <v>25</v>
      </c>
      <c r="C232" s="155" t="s">
        <v>4</v>
      </c>
      <c r="D232" s="157" t="s">
        <v>5</v>
      </c>
    </row>
    <row r="233" spans="1:4" ht="15" customHeight="1" x14ac:dyDescent="0.2">
      <c r="A233" s="155" t="s">
        <v>1414</v>
      </c>
      <c r="B233" s="156">
        <v>25</v>
      </c>
      <c r="C233" s="155" t="s">
        <v>4</v>
      </c>
      <c r="D233" s="157" t="s">
        <v>5</v>
      </c>
    </row>
    <row r="234" spans="1:4" ht="15" customHeight="1" x14ac:dyDescent="0.2">
      <c r="A234" s="155" t="s">
        <v>367</v>
      </c>
      <c r="B234" s="156">
        <v>25</v>
      </c>
      <c r="C234" s="155" t="s">
        <v>4</v>
      </c>
      <c r="D234" s="157" t="s">
        <v>5</v>
      </c>
    </row>
    <row r="235" spans="1:4" ht="15" customHeight="1" x14ac:dyDescent="0.2">
      <c r="A235" s="155" t="s">
        <v>1405</v>
      </c>
      <c r="B235" s="156">
        <v>25</v>
      </c>
      <c r="C235" s="155" t="s">
        <v>4</v>
      </c>
      <c r="D235" s="157" t="s">
        <v>5</v>
      </c>
    </row>
    <row r="236" spans="1:4" ht="15" customHeight="1" x14ac:dyDescent="0.2">
      <c r="A236" s="155" t="s">
        <v>358</v>
      </c>
      <c r="B236" s="156">
        <v>25</v>
      </c>
      <c r="C236" s="155" t="s">
        <v>4</v>
      </c>
      <c r="D236" s="157" t="s">
        <v>5</v>
      </c>
    </row>
    <row r="237" spans="1:4" ht="15" customHeight="1" x14ac:dyDescent="0.2">
      <c r="A237" s="155" t="s">
        <v>1397</v>
      </c>
      <c r="B237" s="156">
        <v>25</v>
      </c>
      <c r="C237" s="155" t="s">
        <v>4</v>
      </c>
      <c r="D237" s="157" t="s">
        <v>5</v>
      </c>
    </row>
    <row r="238" spans="1:4" ht="15" customHeight="1" x14ac:dyDescent="0.2">
      <c r="A238" s="155" t="s">
        <v>350</v>
      </c>
      <c r="B238" s="156">
        <v>25</v>
      </c>
      <c r="C238" s="155" t="s">
        <v>4</v>
      </c>
      <c r="D238" s="157" t="s">
        <v>5</v>
      </c>
    </row>
    <row r="239" spans="1:4" ht="15" customHeight="1" x14ac:dyDescent="0.2">
      <c r="A239" s="155" t="s">
        <v>1389</v>
      </c>
      <c r="B239" s="156">
        <v>100</v>
      </c>
      <c r="C239" s="155" t="s">
        <v>4</v>
      </c>
      <c r="D239" s="157" t="s">
        <v>5</v>
      </c>
    </row>
    <row r="240" spans="1:4" ht="15" customHeight="1" x14ac:dyDescent="0.2">
      <c r="A240" s="155" t="s">
        <v>342</v>
      </c>
      <c r="B240" s="162">
        <v>35.365000000000002</v>
      </c>
      <c r="C240" s="155" t="s">
        <v>4</v>
      </c>
      <c r="D240" s="157" t="s">
        <v>5</v>
      </c>
    </row>
    <row r="241" spans="1:4" ht="15" customHeight="1" x14ac:dyDescent="0.2">
      <c r="A241" s="155" t="s">
        <v>1446</v>
      </c>
      <c r="B241" s="156">
        <v>125</v>
      </c>
      <c r="C241" s="155" t="s">
        <v>4</v>
      </c>
      <c r="D241" s="157" t="s">
        <v>5</v>
      </c>
    </row>
    <row r="242" spans="1:4" ht="15" customHeight="1" x14ac:dyDescent="0.2">
      <c r="A242" s="155" t="s">
        <v>399</v>
      </c>
      <c r="B242" s="156">
        <v>125</v>
      </c>
      <c r="C242" s="155" t="s">
        <v>4</v>
      </c>
      <c r="D242" s="157" t="s">
        <v>5</v>
      </c>
    </row>
    <row r="243" spans="1:4" ht="15" customHeight="1" x14ac:dyDescent="0.2">
      <c r="A243" s="155" t="s">
        <v>1438</v>
      </c>
      <c r="B243" s="156">
        <v>125</v>
      </c>
      <c r="C243" s="155" t="s">
        <v>4</v>
      </c>
      <c r="D243" s="157" t="s">
        <v>5</v>
      </c>
    </row>
    <row r="244" spans="1:4" ht="15" customHeight="1" x14ac:dyDescent="0.2">
      <c r="A244" s="155" t="s">
        <v>391</v>
      </c>
      <c r="B244" s="156">
        <v>125</v>
      </c>
      <c r="C244" s="155" t="s">
        <v>4</v>
      </c>
      <c r="D244" s="157" t="s">
        <v>5</v>
      </c>
    </row>
    <row r="245" spans="1:4" ht="15" customHeight="1" x14ac:dyDescent="0.2">
      <c r="A245" s="155" t="s">
        <v>1430</v>
      </c>
      <c r="B245" s="156">
        <v>125</v>
      </c>
      <c r="C245" s="155" t="s">
        <v>4</v>
      </c>
      <c r="D245" s="157" t="s">
        <v>5</v>
      </c>
    </row>
    <row r="246" spans="1:4" ht="15" customHeight="1" x14ac:dyDescent="0.2">
      <c r="A246" s="155" t="s">
        <v>383</v>
      </c>
      <c r="B246" s="156">
        <v>125</v>
      </c>
      <c r="C246" s="155" t="s">
        <v>4</v>
      </c>
      <c r="D246" s="157" t="s">
        <v>5</v>
      </c>
    </row>
    <row r="247" spans="1:4" ht="15" customHeight="1" x14ac:dyDescent="0.2">
      <c r="A247" s="155" t="s">
        <v>1422</v>
      </c>
      <c r="B247" s="156">
        <v>125</v>
      </c>
      <c r="C247" s="155" t="s">
        <v>4</v>
      </c>
      <c r="D247" s="157" t="s">
        <v>5</v>
      </c>
    </row>
    <row r="248" spans="1:4" ht="15" customHeight="1" x14ac:dyDescent="0.2">
      <c r="A248" s="155" t="s">
        <v>375</v>
      </c>
      <c r="B248" s="156">
        <v>100</v>
      </c>
      <c r="C248" s="155" t="s">
        <v>4</v>
      </c>
      <c r="D248" s="157" t="s">
        <v>5</v>
      </c>
    </row>
    <row r="249" spans="1:4" ht="15" customHeight="1" x14ac:dyDescent="0.2">
      <c r="A249" s="155" t="s">
        <v>1478</v>
      </c>
      <c r="B249" s="156">
        <v>125</v>
      </c>
      <c r="C249" s="155" t="s">
        <v>4</v>
      </c>
      <c r="D249" s="157" t="s">
        <v>5</v>
      </c>
    </row>
    <row r="250" spans="1:4" ht="15" customHeight="1" x14ac:dyDescent="0.2">
      <c r="A250" s="155" t="s">
        <v>431</v>
      </c>
      <c r="B250" s="156">
        <v>125</v>
      </c>
      <c r="C250" s="155" t="s">
        <v>4</v>
      </c>
      <c r="D250" s="157" t="s">
        <v>5</v>
      </c>
    </row>
    <row r="251" spans="1:4" ht="15" customHeight="1" x14ac:dyDescent="0.2">
      <c r="A251" s="155" t="s">
        <v>1470</v>
      </c>
      <c r="B251" s="156">
        <v>125</v>
      </c>
      <c r="C251" s="155" t="s">
        <v>4</v>
      </c>
      <c r="D251" s="157" t="s">
        <v>5</v>
      </c>
    </row>
    <row r="252" spans="1:4" ht="15" customHeight="1" x14ac:dyDescent="0.2">
      <c r="A252" s="155" t="s">
        <v>423</v>
      </c>
      <c r="B252" s="156">
        <v>125</v>
      </c>
      <c r="C252" s="155" t="s">
        <v>4</v>
      </c>
      <c r="D252" s="157" t="s">
        <v>5</v>
      </c>
    </row>
    <row r="253" spans="1:4" ht="15" customHeight="1" x14ac:dyDescent="0.2">
      <c r="A253" s="155" t="s">
        <v>1462</v>
      </c>
      <c r="B253" s="156">
        <v>125</v>
      </c>
      <c r="C253" s="155" t="s">
        <v>4</v>
      </c>
      <c r="D253" s="157" t="s">
        <v>5</v>
      </c>
    </row>
    <row r="254" spans="1:4" ht="15" customHeight="1" x14ac:dyDescent="0.2">
      <c r="A254" s="155" t="s">
        <v>415</v>
      </c>
      <c r="B254" s="156">
        <v>125</v>
      </c>
      <c r="C254" s="155" t="s">
        <v>4</v>
      </c>
      <c r="D254" s="157" t="s">
        <v>5</v>
      </c>
    </row>
    <row r="255" spans="1:4" ht="15" customHeight="1" x14ac:dyDescent="0.2">
      <c r="A255" s="155" t="s">
        <v>1454</v>
      </c>
      <c r="B255" s="156">
        <v>75</v>
      </c>
      <c r="C255" s="155" t="s">
        <v>4</v>
      </c>
      <c r="D255" s="157" t="s">
        <v>5</v>
      </c>
    </row>
    <row r="256" spans="1:4" ht="15" customHeight="1" x14ac:dyDescent="0.2">
      <c r="A256" s="155" t="s">
        <v>407</v>
      </c>
      <c r="B256" s="156">
        <v>125</v>
      </c>
      <c r="C256" s="155" t="s">
        <v>4</v>
      </c>
      <c r="D256" s="157" t="s">
        <v>5</v>
      </c>
    </row>
    <row r="257" spans="1:4" ht="15" customHeight="1" x14ac:dyDescent="0.2">
      <c r="A257" s="155" t="s">
        <v>2005</v>
      </c>
      <c r="B257" s="156">
        <v>125</v>
      </c>
      <c r="C257" s="155" t="s">
        <v>4</v>
      </c>
      <c r="D257" s="157" t="s">
        <v>5</v>
      </c>
    </row>
    <row r="258" spans="1:4" ht="15" customHeight="1" x14ac:dyDescent="0.2">
      <c r="A258" s="155" t="s">
        <v>959</v>
      </c>
      <c r="B258" s="156">
        <v>125</v>
      </c>
      <c r="C258" s="155" t="s">
        <v>4</v>
      </c>
      <c r="D258" s="157" t="s">
        <v>5</v>
      </c>
    </row>
    <row r="259" spans="1:4" ht="15" customHeight="1" x14ac:dyDescent="0.2">
      <c r="A259" s="155" t="s">
        <v>1998</v>
      </c>
      <c r="B259" s="156">
        <v>25</v>
      </c>
      <c r="C259" s="155" t="s">
        <v>4</v>
      </c>
      <c r="D259" s="157" t="s">
        <v>5</v>
      </c>
    </row>
    <row r="260" spans="1:4" ht="15" customHeight="1" x14ac:dyDescent="0.2">
      <c r="A260" s="155" t="s">
        <v>952</v>
      </c>
      <c r="B260" s="156">
        <v>25</v>
      </c>
      <c r="C260" s="155" t="s">
        <v>4</v>
      </c>
      <c r="D260" s="157" t="s">
        <v>5</v>
      </c>
    </row>
    <row r="261" spans="1:4" ht="15" customHeight="1" x14ac:dyDescent="0.2">
      <c r="A261" s="155" t="s">
        <v>1991</v>
      </c>
      <c r="B261" s="156">
        <v>25</v>
      </c>
      <c r="C261" s="155" t="s">
        <v>4</v>
      </c>
      <c r="D261" s="157" t="s">
        <v>5</v>
      </c>
    </row>
    <row r="262" spans="1:4" ht="15" customHeight="1" x14ac:dyDescent="0.2">
      <c r="A262" s="155" t="s">
        <v>944</v>
      </c>
      <c r="B262" s="156">
        <v>25</v>
      </c>
      <c r="C262" s="155" t="s">
        <v>4</v>
      </c>
      <c r="D262" s="157" t="s">
        <v>5</v>
      </c>
    </row>
    <row r="263" spans="1:4" ht="15" customHeight="1" x14ac:dyDescent="0.2">
      <c r="A263" s="155" t="s">
        <v>1983</v>
      </c>
      <c r="B263" s="156">
        <v>25</v>
      </c>
      <c r="C263" s="155" t="s">
        <v>4</v>
      </c>
      <c r="D263" s="157" t="s">
        <v>5</v>
      </c>
    </row>
    <row r="264" spans="1:4" ht="15" customHeight="1" x14ac:dyDescent="0.2">
      <c r="A264" s="155" t="s">
        <v>936</v>
      </c>
      <c r="B264" s="156">
        <v>25</v>
      </c>
      <c r="C264" s="155" t="s">
        <v>4</v>
      </c>
      <c r="D264" s="157" t="s">
        <v>5</v>
      </c>
    </row>
    <row r="265" spans="1:4" ht="15" customHeight="1" x14ac:dyDescent="0.2">
      <c r="A265" s="155" t="s">
        <v>2037</v>
      </c>
      <c r="B265" s="156">
        <v>25</v>
      </c>
      <c r="C265" s="155" t="s">
        <v>4</v>
      </c>
      <c r="D265" s="157" t="s">
        <v>5</v>
      </c>
    </row>
    <row r="266" spans="1:4" ht="15" customHeight="1" x14ac:dyDescent="0.2">
      <c r="A266" s="155" t="s">
        <v>990</v>
      </c>
      <c r="B266" s="156">
        <v>25</v>
      </c>
      <c r="C266" s="155" t="s">
        <v>4</v>
      </c>
      <c r="D266" s="157" t="s">
        <v>5</v>
      </c>
    </row>
    <row r="267" spans="1:4" ht="15" customHeight="1" x14ac:dyDescent="0.2">
      <c r="A267" s="155" t="s">
        <v>2029</v>
      </c>
      <c r="B267" s="156">
        <v>25</v>
      </c>
      <c r="C267" s="155" t="s">
        <v>4</v>
      </c>
      <c r="D267" s="157" t="s">
        <v>5</v>
      </c>
    </row>
    <row r="268" spans="1:4" ht="15" customHeight="1" x14ac:dyDescent="0.2">
      <c r="A268" s="155" t="s">
        <v>982</v>
      </c>
      <c r="B268" s="156">
        <v>125</v>
      </c>
      <c r="C268" s="155" t="s">
        <v>4</v>
      </c>
      <c r="D268" s="157" t="s">
        <v>5</v>
      </c>
    </row>
    <row r="269" spans="1:4" ht="15" customHeight="1" x14ac:dyDescent="0.2">
      <c r="A269" s="155" t="s">
        <v>2021</v>
      </c>
      <c r="B269" s="156">
        <v>125</v>
      </c>
      <c r="C269" s="155" t="s">
        <v>4</v>
      </c>
      <c r="D269" s="157" t="s">
        <v>5</v>
      </c>
    </row>
    <row r="270" spans="1:4" ht="15" customHeight="1" x14ac:dyDescent="0.2">
      <c r="A270" s="155" t="s">
        <v>974</v>
      </c>
      <c r="B270" s="156">
        <v>125</v>
      </c>
      <c r="C270" s="155" t="s">
        <v>4</v>
      </c>
      <c r="D270" s="157" t="s">
        <v>5</v>
      </c>
    </row>
    <row r="271" spans="1:4" ht="15" customHeight="1" x14ac:dyDescent="0.2">
      <c r="A271" s="155" t="s">
        <v>2013</v>
      </c>
      <c r="B271" s="156">
        <v>125</v>
      </c>
      <c r="C271" s="155" t="s">
        <v>4</v>
      </c>
      <c r="D271" s="157" t="s">
        <v>5</v>
      </c>
    </row>
    <row r="272" spans="1:4" ht="15" customHeight="1" x14ac:dyDescent="0.2">
      <c r="A272" s="155" t="s">
        <v>966</v>
      </c>
      <c r="B272" s="156">
        <v>6635</v>
      </c>
      <c r="C272" s="155" t="s">
        <v>4</v>
      </c>
      <c r="D272" s="157" t="s">
        <v>5</v>
      </c>
    </row>
    <row r="273" spans="1:4" ht="15" customHeight="1" x14ac:dyDescent="0.2">
      <c r="A273" s="155" t="s">
        <v>2071</v>
      </c>
      <c r="B273" s="156">
        <v>125</v>
      </c>
      <c r="C273" s="155" t="s">
        <v>4</v>
      </c>
      <c r="D273" s="157" t="s">
        <v>5</v>
      </c>
    </row>
    <row r="274" spans="1:4" ht="15" customHeight="1" x14ac:dyDescent="0.2">
      <c r="A274" s="155" t="s">
        <v>1026</v>
      </c>
      <c r="B274" s="156">
        <v>125</v>
      </c>
      <c r="C274" s="155" t="s">
        <v>4</v>
      </c>
      <c r="D274" s="157" t="s">
        <v>5</v>
      </c>
    </row>
    <row r="275" spans="1:4" ht="15" customHeight="1" x14ac:dyDescent="0.2">
      <c r="A275" s="155" t="s">
        <v>2061</v>
      </c>
      <c r="B275" s="156">
        <v>200</v>
      </c>
      <c r="C275" s="155" t="s">
        <v>4</v>
      </c>
      <c r="D275" s="157" t="s">
        <v>5</v>
      </c>
    </row>
    <row r="276" spans="1:4" ht="15" customHeight="1" x14ac:dyDescent="0.2">
      <c r="A276" s="155" t="s">
        <v>1017</v>
      </c>
      <c r="B276" s="156">
        <v>300</v>
      </c>
      <c r="C276" s="155" t="s">
        <v>4</v>
      </c>
      <c r="D276" s="157" t="s">
        <v>5</v>
      </c>
    </row>
    <row r="277" spans="1:4" ht="15" customHeight="1" x14ac:dyDescent="0.2">
      <c r="A277" s="155" t="s">
        <v>2053</v>
      </c>
      <c r="B277" s="156">
        <v>20</v>
      </c>
      <c r="C277" s="155" t="s">
        <v>4</v>
      </c>
      <c r="D277" s="157" t="s">
        <v>5</v>
      </c>
    </row>
    <row r="278" spans="1:4" ht="15" customHeight="1" x14ac:dyDescent="0.2">
      <c r="A278" s="155" t="s">
        <v>1006</v>
      </c>
      <c r="B278" s="156">
        <v>125</v>
      </c>
      <c r="C278" s="155" t="s">
        <v>4</v>
      </c>
      <c r="D278" s="157" t="s">
        <v>5</v>
      </c>
    </row>
    <row r="279" spans="1:4" ht="15" customHeight="1" x14ac:dyDescent="0.2">
      <c r="A279" s="155" t="s">
        <v>2045</v>
      </c>
      <c r="B279" s="156">
        <v>125</v>
      </c>
      <c r="C279" s="155" t="s">
        <v>4</v>
      </c>
      <c r="D279" s="157" t="s">
        <v>5</v>
      </c>
    </row>
    <row r="280" spans="1:4" ht="15" customHeight="1" x14ac:dyDescent="0.2">
      <c r="A280" s="155" t="s">
        <v>998</v>
      </c>
      <c r="B280" s="159">
        <v>159.19999999999999</v>
      </c>
      <c r="C280" s="155" t="s">
        <v>4</v>
      </c>
      <c r="D280" s="157" t="s">
        <v>5</v>
      </c>
    </row>
    <row r="281" spans="1:4" ht="15" customHeight="1" x14ac:dyDescent="0.2">
      <c r="A281" s="155" t="s">
        <v>22</v>
      </c>
      <c r="B281" s="156">
        <v>125</v>
      </c>
      <c r="C281" s="155" t="s">
        <v>4</v>
      </c>
      <c r="D281" s="157" t="s">
        <v>5</v>
      </c>
    </row>
    <row r="282" spans="1:4" ht="15" customHeight="1" x14ac:dyDescent="0.2">
      <c r="A282" s="155" t="s">
        <v>1059</v>
      </c>
      <c r="B282" s="156">
        <v>125</v>
      </c>
      <c r="C282" s="155" t="s">
        <v>4</v>
      </c>
      <c r="D282" s="157" t="s">
        <v>5</v>
      </c>
    </row>
    <row r="283" spans="1:4" ht="15" customHeight="1" x14ac:dyDescent="0.2">
      <c r="A283" s="155" t="s">
        <v>14</v>
      </c>
      <c r="B283" s="156">
        <v>125</v>
      </c>
      <c r="C283" s="155" t="s">
        <v>4</v>
      </c>
      <c r="D283" s="157" t="s">
        <v>5</v>
      </c>
    </row>
    <row r="284" spans="1:4" ht="15" customHeight="1" x14ac:dyDescent="0.2">
      <c r="A284" s="155" t="s">
        <v>1051</v>
      </c>
      <c r="B284" s="156">
        <v>125</v>
      </c>
      <c r="C284" s="155" t="s">
        <v>4</v>
      </c>
      <c r="D284" s="157" t="s">
        <v>5</v>
      </c>
    </row>
    <row r="285" spans="1:4" ht="15" customHeight="1" x14ac:dyDescent="0.2">
      <c r="A285" s="155" t="s">
        <v>6</v>
      </c>
      <c r="B285" s="156">
        <v>125</v>
      </c>
      <c r="C285" s="155" t="s">
        <v>4</v>
      </c>
      <c r="D285" s="157" t="s">
        <v>5</v>
      </c>
    </row>
    <row r="286" spans="1:4" ht="15" customHeight="1" x14ac:dyDescent="0.2">
      <c r="A286" s="155" t="s">
        <v>1043</v>
      </c>
      <c r="B286" s="156">
        <v>2520</v>
      </c>
      <c r="C286" s="155" t="s">
        <v>4</v>
      </c>
      <c r="D286" s="157" t="s">
        <v>5</v>
      </c>
    </row>
    <row r="287" spans="1:4" ht="15" customHeight="1" x14ac:dyDescent="0.2">
      <c r="A287" s="155" t="s">
        <v>2079</v>
      </c>
      <c r="B287" s="156">
        <v>125</v>
      </c>
      <c r="C287" s="155" t="s">
        <v>4</v>
      </c>
      <c r="D287" s="157" t="s">
        <v>5</v>
      </c>
    </row>
    <row r="288" spans="1:4" ht="15" customHeight="1" x14ac:dyDescent="0.2">
      <c r="A288" s="155" t="s">
        <v>1035</v>
      </c>
      <c r="B288" s="156">
        <v>125</v>
      </c>
      <c r="C288" s="155" t="s">
        <v>4</v>
      </c>
      <c r="D288" s="157" t="s">
        <v>5</v>
      </c>
    </row>
    <row r="289" spans="1:4" ht="15" customHeight="1" x14ac:dyDescent="0.2">
      <c r="A289" s="155" t="s">
        <v>58</v>
      </c>
      <c r="B289" s="156">
        <v>500</v>
      </c>
      <c r="C289" s="155" t="s">
        <v>4</v>
      </c>
      <c r="D289" s="157" t="s">
        <v>5</v>
      </c>
    </row>
    <row r="290" spans="1:4" ht="15" customHeight="1" x14ac:dyDescent="0.2">
      <c r="A290" s="155" t="s">
        <v>1094</v>
      </c>
      <c r="B290" s="156">
        <v>1300</v>
      </c>
      <c r="C290" s="155" t="s">
        <v>4</v>
      </c>
      <c r="D290" s="157" t="s">
        <v>5</v>
      </c>
    </row>
    <row r="291" spans="1:4" ht="15" customHeight="1" x14ac:dyDescent="0.2">
      <c r="A291" s="155" t="s">
        <v>49</v>
      </c>
      <c r="B291" s="156">
        <v>125</v>
      </c>
      <c r="C291" s="155" t="s">
        <v>4</v>
      </c>
      <c r="D291" s="157" t="s">
        <v>5</v>
      </c>
    </row>
    <row r="292" spans="1:4" ht="15" customHeight="1" x14ac:dyDescent="0.2">
      <c r="A292" s="155" t="s">
        <v>1085</v>
      </c>
      <c r="B292" s="156">
        <v>125</v>
      </c>
      <c r="C292" s="155" t="s">
        <v>4</v>
      </c>
      <c r="D292" s="157" t="s">
        <v>5</v>
      </c>
    </row>
    <row r="293" spans="1:4" ht="15" customHeight="1" x14ac:dyDescent="0.2">
      <c r="A293" s="155" t="s">
        <v>40</v>
      </c>
      <c r="B293" s="158">
        <v>9206.14</v>
      </c>
      <c r="C293" s="155" t="s">
        <v>4</v>
      </c>
      <c r="D293" s="157" t="s">
        <v>5</v>
      </c>
    </row>
    <row r="294" spans="1:4" ht="15" customHeight="1" x14ac:dyDescent="0.2">
      <c r="A294" s="155" t="s">
        <v>1076</v>
      </c>
      <c r="B294" s="156">
        <v>125</v>
      </c>
      <c r="C294" s="155" t="s">
        <v>4</v>
      </c>
      <c r="D294" s="157" t="s">
        <v>5</v>
      </c>
    </row>
    <row r="295" spans="1:4" ht="15" customHeight="1" x14ac:dyDescent="0.2">
      <c r="A295" s="155" t="s">
        <v>31</v>
      </c>
      <c r="B295" s="156">
        <v>125</v>
      </c>
      <c r="C295" s="155" t="s">
        <v>4</v>
      </c>
      <c r="D295" s="157" t="s">
        <v>5</v>
      </c>
    </row>
    <row r="296" spans="1:4" ht="15" customHeight="1" x14ac:dyDescent="0.2">
      <c r="A296" s="155" t="s">
        <v>1067</v>
      </c>
      <c r="B296" s="156">
        <v>25</v>
      </c>
      <c r="C296" s="155" t="s">
        <v>4</v>
      </c>
      <c r="D296" s="157" t="s">
        <v>5</v>
      </c>
    </row>
    <row r="297" spans="1:4" ht="15" customHeight="1" x14ac:dyDescent="0.2">
      <c r="A297" s="155" t="s">
        <v>89</v>
      </c>
      <c r="B297" s="156">
        <v>125</v>
      </c>
      <c r="C297" s="155" t="s">
        <v>4</v>
      </c>
      <c r="D297" s="157" t="s">
        <v>5</v>
      </c>
    </row>
    <row r="298" spans="1:4" ht="15" customHeight="1" x14ac:dyDescent="0.2">
      <c r="A298" s="155" t="s">
        <v>1125</v>
      </c>
      <c r="B298" s="156">
        <v>125</v>
      </c>
      <c r="C298" s="155" t="s">
        <v>4</v>
      </c>
      <c r="D298" s="157" t="s">
        <v>5</v>
      </c>
    </row>
    <row r="299" spans="1:4" ht="15" customHeight="1" x14ac:dyDescent="0.2">
      <c r="A299" s="155" t="s">
        <v>80</v>
      </c>
      <c r="B299" s="156">
        <v>125</v>
      </c>
      <c r="C299" s="155" t="s">
        <v>4</v>
      </c>
      <c r="D299" s="157" t="s">
        <v>5</v>
      </c>
    </row>
    <row r="300" spans="1:4" ht="15" customHeight="1" x14ac:dyDescent="0.2">
      <c r="A300" s="155" t="s">
        <v>1116</v>
      </c>
      <c r="B300" s="156">
        <v>125</v>
      </c>
      <c r="C300" s="155" t="s">
        <v>4</v>
      </c>
      <c r="D300" s="157" t="s">
        <v>5</v>
      </c>
    </row>
    <row r="301" spans="1:4" ht="15" customHeight="1" x14ac:dyDescent="0.2">
      <c r="A301" s="155" t="s">
        <v>71</v>
      </c>
      <c r="B301" s="156">
        <v>25</v>
      </c>
      <c r="C301" s="155" t="s">
        <v>4</v>
      </c>
      <c r="D301" s="157" t="s">
        <v>5</v>
      </c>
    </row>
    <row r="302" spans="1:4" ht="15" customHeight="1" x14ac:dyDescent="0.2">
      <c r="A302" s="155" t="s">
        <v>1112</v>
      </c>
      <c r="B302" s="156">
        <v>125</v>
      </c>
      <c r="C302" s="155" t="s">
        <v>4</v>
      </c>
      <c r="D302" s="157" t="s">
        <v>5</v>
      </c>
    </row>
    <row r="303" spans="1:4" ht="15" customHeight="1" x14ac:dyDescent="0.2">
      <c r="A303" s="155" t="s">
        <v>67</v>
      </c>
      <c r="B303" s="156">
        <v>125</v>
      </c>
      <c r="C303" s="155" t="s">
        <v>4</v>
      </c>
      <c r="D303" s="157" t="s">
        <v>5</v>
      </c>
    </row>
    <row r="304" spans="1:4" ht="15" customHeight="1" x14ac:dyDescent="0.2">
      <c r="A304" s="155" t="s">
        <v>1103</v>
      </c>
      <c r="B304" s="156">
        <v>125</v>
      </c>
      <c r="C304" s="155" t="s">
        <v>4</v>
      </c>
      <c r="D304" s="157" t="s">
        <v>5</v>
      </c>
    </row>
    <row r="305" spans="1:4" ht="15" customHeight="1" x14ac:dyDescent="0.2">
      <c r="A305" s="155" t="s">
        <v>126</v>
      </c>
      <c r="B305" s="156">
        <v>125</v>
      </c>
      <c r="C305" s="155" t="s">
        <v>4</v>
      </c>
      <c r="D305" s="157" t="s">
        <v>5</v>
      </c>
    </row>
    <row r="306" spans="1:4" ht="15" customHeight="1" x14ac:dyDescent="0.2">
      <c r="A306" s="155" t="s">
        <v>1162</v>
      </c>
      <c r="B306" s="156">
        <v>125</v>
      </c>
      <c r="C306" s="155" t="s">
        <v>4</v>
      </c>
      <c r="D306" s="157" t="s">
        <v>5</v>
      </c>
    </row>
    <row r="307" spans="1:4" ht="15" customHeight="1" x14ac:dyDescent="0.2">
      <c r="A307" s="155" t="s">
        <v>116</v>
      </c>
      <c r="B307" s="156">
        <v>125</v>
      </c>
      <c r="C307" s="155" t="s">
        <v>4</v>
      </c>
      <c r="D307" s="157" t="s">
        <v>5</v>
      </c>
    </row>
    <row r="308" spans="1:4" ht="15" customHeight="1" x14ac:dyDescent="0.2">
      <c r="A308" s="155" t="s">
        <v>1152</v>
      </c>
      <c r="B308" s="156">
        <v>125</v>
      </c>
      <c r="C308" s="155" t="s">
        <v>4</v>
      </c>
      <c r="D308" s="157" t="s">
        <v>5</v>
      </c>
    </row>
    <row r="309" spans="1:4" ht="15" customHeight="1" x14ac:dyDescent="0.2">
      <c r="A309" s="155" t="s">
        <v>107</v>
      </c>
      <c r="B309" s="156">
        <v>125</v>
      </c>
      <c r="C309" s="155" t="s">
        <v>4</v>
      </c>
      <c r="D309" s="157" t="s">
        <v>5</v>
      </c>
    </row>
    <row r="310" spans="1:4" ht="15" customHeight="1" x14ac:dyDescent="0.2">
      <c r="A310" s="155" t="s">
        <v>1143</v>
      </c>
      <c r="B310" s="156">
        <v>25</v>
      </c>
      <c r="C310" s="155" t="s">
        <v>4</v>
      </c>
      <c r="D310" s="157" t="s">
        <v>5</v>
      </c>
    </row>
    <row r="311" spans="1:4" ht="15" customHeight="1" x14ac:dyDescent="0.2">
      <c r="A311" s="155" t="s">
        <v>98</v>
      </c>
      <c r="B311" s="156">
        <v>25</v>
      </c>
      <c r="C311" s="155" t="s">
        <v>4</v>
      </c>
      <c r="D311" s="157" t="s">
        <v>5</v>
      </c>
    </row>
    <row r="312" spans="1:4" ht="15" customHeight="1" x14ac:dyDescent="0.2">
      <c r="A312" s="155" t="s">
        <v>1134</v>
      </c>
      <c r="B312" s="156">
        <v>25</v>
      </c>
      <c r="C312" s="155" t="s">
        <v>4</v>
      </c>
      <c r="D312" s="157" t="s">
        <v>5</v>
      </c>
    </row>
    <row r="313" spans="1:4" ht="15" customHeight="1" x14ac:dyDescent="0.2">
      <c r="A313" s="155" t="s">
        <v>162</v>
      </c>
      <c r="B313" s="156">
        <v>25</v>
      </c>
      <c r="C313" s="155" t="s">
        <v>4</v>
      </c>
      <c r="D313" s="157" t="s">
        <v>5</v>
      </c>
    </row>
    <row r="314" spans="1:4" ht="15" customHeight="1" x14ac:dyDescent="0.2">
      <c r="A314" s="155" t="s">
        <v>1198</v>
      </c>
      <c r="B314" s="156">
        <v>25</v>
      </c>
      <c r="C314" s="155" t="s">
        <v>4</v>
      </c>
      <c r="D314" s="157" t="s">
        <v>5</v>
      </c>
    </row>
    <row r="315" spans="1:4" ht="15" customHeight="1" x14ac:dyDescent="0.2">
      <c r="A315" s="155" t="s">
        <v>153</v>
      </c>
      <c r="B315" s="156">
        <v>25</v>
      </c>
      <c r="C315" s="155" t="s">
        <v>4</v>
      </c>
      <c r="D315" s="157" t="s">
        <v>5</v>
      </c>
    </row>
    <row r="316" spans="1:4" ht="15" customHeight="1" x14ac:dyDescent="0.2">
      <c r="A316" s="155" t="s">
        <v>1189</v>
      </c>
      <c r="B316" s="156">
        <v>25</v>
      </c>
      <c r="C316" s="155" t="s">
        <v>4</v>
      </c>
      <c r="D316" s="157" t="s">
        <v>5</v>
      </c>
    </row>
    <row r="317" spans="1:4" ht="15" customHeight="1" x14ac:dyDescent="0.2">
      <c r="A317" s="155" t="s">
        <v>144</v>
      </c>
      <c r="B317" s="156">
        <v>25</v>
      </c>
      <c r="C317" s="155" t="s">
        <v>4</v>
      </c>
      <c r="D317" s="157" t="s">
        <v>5</v>
      </c>
    </row>
    <row r="318" spans="1:4" ht="15" customHeight="1" x14ac:dyDescent="0.2">
      <c r="A318" s="155" t="s">
        <v>1180</v>
      </c>
      <c r="B318" s="156">
        <v>25</v>
      </c>
      <c r="C318" s="155" t="s">
        <v>4</v>
      </c>
      <c r="D318" s="157" t="s">
        <v>5</v>
      </c>
    </row>
    <row r="319" spans="1:4" ht="15" customHeight="1" x14ac:dyDescent="0.2">
      <c r="A319" s="155" t="s">
        <v>135</v>
      </c>
      <c r="B319" s="156">
        <v>25</v>
      </c>
      <c r="C319" s="155" t="s">
        <v>4</v>
      </c>
      <c r="D319" s="157" t="s">
        <v>5</v>
      </c>
    </row>
    <row r="320" spans="1:4" ht="15" customHeight="1" x14ac:dyDescent="0.2">
      <c r="A320" s="155" t="s">
        <v>1171</v>
      </c>
      <c r="B320" s="156">
        <v>25</v>
      </c>
      <c r="C320" s="155" t="s">
        <v>4</v>
      </c>
      <c r="D320" s="157" t="s">
        <v>5</v>
      </c>
    </row>
    <row r="321" spans="1:4" ht="15" customHeight="1" x14ac:dyDescent="0.2">
      <c r="A321" s="155" t="s">
        <v>1751</v>
      </c>
      <c r="B321" s="156">
        <v>25</v>
      </c>
      <c r="C321" s="155" t="s">
        <v>4</v>
      </c>
      <c r="D321" s="157" t="s">
        <v>5</v>
      </c>
    </row>
    <row r="322" spans="1:4" ht="15" customHeight="1" x14ac:dyDescent="0.2">
      <c r="A322" s="155" t="s">
        <v>704</v>
      </c>
      <c r="B322" s="156">
        <v>25</v>
      </c>
      <c r="C322" s="155" t="s">
        <v>4</v>
      </c>
      <c r="D322" s="157" t="s">
        <v>5</v>
      </c>
    </row>
    <row r="323" spans="1:4" ht="15" customHeight="1" x14ac:dyDescent="0.2">
      <c r="A323" s="155" t="s">
        <v>1743</v>
      </c>
      <c r="B323" s="156">
        <v>25</v>
      </c>
      <c r="C323" s="155" t="s">
        <v>4</v>
      </c>
      <c r="D323" s="157" t="s">
        <v>5</v>
      </c>
    </row>
    <row r="324" spans="1:4" ht="15" customHeight="1" x14ac:dyDescent="0.2">
      <c r="A324" s="155" t="s">
        <v>696</v>
      </c>
      <c r="B324" s="156">
        <v>25</v>
      </c>
      <c r="C324" s="155" t="s">
        <v>4</v>
      </c>
      <c r="D324" s="157" t="s">
        <v>5</v>
      </c>
    </row>
    <row r="325" spans="1:4" ht="15" customHeight="1" x14ac:dyDescent="0.2">
      <c r="A325" s="155" t="s">
        <v>1735</v>
      </c>
      <c r="B325" s="156">
        <v>25</v>
      </c>
      <c r="C325" s="155" t="s">
        <v>4</v>
      </c>
      <c r="D325" s="157" t="s">
        <v>5</v>
      </c>
    </row>
    <row r="326" spans="1:4" ht="15" customHeight="1" x14ac:dyDescent="0.2">
      <c r="A326" s="155" t="s">
        <v>689</v>
      </c>
      <c r="B326" s="156">
        <v>25</v>
      </c>
      <c r="C326" s="155" t="s">
        <v>4</v>
      </c>
      <c r="D326" s="157" t="s">
        <v>5</v>
      </c>
    </row>
    <row r="327" spans="1:4" ht="15" customHeight="1" x14ac:dyDescent="0.2">
      <c r="A327" s="155" t="s">
        <v>1728</v>
      </c>
      <c r="B327" s="156">
        <v>25</v>
      </c>
      <c r="C327" s="155" t="s">
        <v>4</v>
      </c>
      <c r="D327" s="157" t="s">
        <v>5</v>
      </c>
    </row>
    <row r="328" spans="1:4" ht="15" customHeight="1" x14ac:dyDescent="0.2">
      <c r="A328" s="155" t="s">
        <v>682</v>
      </c>
      <c r="B328" s="156">
        <v>125</v>
      </c>
      <c r="C328" s="155" t="s">
        <v>4</v>
      </c>
      <c r="D328" s="157" t="s">
        <v>5</v>
      </c>
    </row>
    <row r="329" spans="1:4" ht="15" customHeight="1" x14ac:dyDescent="0.2">
      <c r="A329" s="155" t="s">
        <v>1783</v>
      </c>
      <c r="B329" s="156">
        <v>125</v>
      </c>
      <c r="C329" s="155" t="s">
        <v>4</v>
      </c>
      <c r="D329" s="157" t="s">
        <v>5</v>
      </c>
    </row>
    <row r="330" spans="1:4" ht="15" customHeight="1" x14ac:dyDescent="0.2">
      <c r="A330" s="155" t="s">
        <v>736</v>
      </c>
      <c r="B330" s="156">
        <v>75</v>
      </c>
      <c r="C330" s="155" t="s">
        <v>4</v>
      </c>
      <c r="D330" s="157" t="s">
        <v>5</v>
      </c>
    </row>
    <row r="331" spans="1:4" ht="15" customHeight="1" x14ac:dyDescent="0.2">
      <c r="A331" s="155" t="s">
        <v>1775</v>
      </c>
      <c r="B331" s="156">
        <v>125</v>
      </c>
      <c r="C331" s="155" t="s">
        <v>4</v>
      </c>
      <c r="D331" s="157" t="s">
        <v>5</v>
      </c>
    </row>
    <row r="332" spans="1:4" ht="15" customHeight="1" x14ac:dyDescent="0.2">
      <c r="A332" s="155" t="s">
        <v>728</v>
      </c>
      <c r="B332" s="156">
        <v>175</v>
      </c>
      <c r="C332" s="155" t="s">
        <v>4</v>
      </c>
      <c r="D332" s="157" t="s">
        <v>5</v>
      </c>
    </row>
    <row r="333" spans="1:4" ht="15" customHeight="1" x14ac:dyDescent="0.2">
      <c r="A333" s="155" t="s">
        <v>1767</v>
      </c>
      <c r="B333" s="156">
        <v>25</v>
      </c>
      <c r="C333" s="155" t="s">
        <v>4</v>
      </c>
      <c r="D333" s="157" t="s">
        <v>5</v>
      </c>
    </row>
    <row r="334" spans="1:4" ht="15" customHeight="1" x14ac:dyDescent="0.2">
      <c r="A334" s="155" t="s">
        <v>720</v>
      </c>
      <c r="B334" s="156">
        <v>125</v>
      </c>
      <c r="C334" s="155" t="s">
        <v>4</v>
      </c>
      <c r="D334" s="157" t="s">
        <v>5</v>
      </c>
    </row>
    <row r="335" spans="1:4" ht="15" customHeight="1" x14ac:dyDescent="0.2">
      <c r="A335" s="155" t="s">
        <v>1759</v>
      </c>
      <c r="B335" s="156">
        <v>15</v>
      </c>
      <c r="C335" s="155" t="s">
        <v>4</v>
      </c>
      <c r="D335" s="157" t="s">
        <v>5</v>
      </c>
    </row>
    <row r="336" spans="1:4" ht="15" customHeight="1" x14ac:dyDescent="0.2">
      <c r="A336" s="155" t="s">
        <v>712</v>
      </c>
      <c r="B336" s="156">
        <v>125</v>
      </c>
      <c r="C336" s="155" t="s">
        <v>4</v>
      </c>
      <c r="D336" s="157" t="s">
        <v>5</v>
      </c>
    </row>
    <row r="337" spans="1:4" ht="15" customHeight="1" x14ac:dyDescent="0.2">
      <c r="A337" s="155" t="s">
        <v>1817</v>
      </c>
      <c r="B337" s="156">
        <v>825</v>
      </c>
      <c r="C337" s="155" t="s">
        <v>4</v>
      </c>
      <c r="D337" s="157" t="s">
        <v>5</v>
      </c>
    </row>
    <row r="338" spans="1:4" ht="15" customHeight="1" x14ac:dyDescent="0.2">
      <c r="A338" s="155" t="s">
        <v>770</v>
      </c>
      <c r="B338" s="156">
        <v>125</v>
      </c>
      <c r="C338" s="155" t="s">
        <v>4</v>
      </c>
      <c r="D338" s="157" t="s">
        <v>5</v>
      </c>
    </row>
    <row r="339" spans="1:4" ht="15" customHeight="1" x14ac:dyDescent="0.2">
      <c r="A339" s="155" t="s">
        <v>1809</v>
      </c>
      <c r="B339" s="156">
        <v>125</v>
      </c>
      <c r="C339" s="155" t="s">
        <v>4</v>
      </c>
      <c r="D339" s="157" t="s">
        <v>5</v>
      </c>
    </row>
    <row r="340" spans="1:4" ht="15" customHeight="1" x14ac:dyDescent="0.2">
      <c r="A340" s="155" t="s">
        <v>762</v>
      </c>
      <c r="B340" s="156">
        <v>50</v>
      </c>
      <c r="C340" s="155" t="s">
        <v>4</v>
      </c>
      <c r="D340" s="157" t="s">
        <v>5</v>
      </c>
    </row>
    <row r="341" spans="1:4" ht="15" customHeight="1" x14ac:dyDescent="0.2">
      <c r="A341" s="155" t="s">
        <v>1801</v>
      </c>
      <c r="B341" s="156">
        <v>35</v>
      </c>
      <c r="C341" s="155" t="s">
        <v>4</v>
      </c>
      <c r="D341" s="157" t="s">
        <v>5</v>
      </c>
    </row>
    <row r="342" spans="1:4" ht="15" customHeight="1" x14ac:dyDescent="0.2">
      <c r="A342" s="155" t="s">
        <v>754</v>
      </c>
      <c r="B342" s="156">
        <v>125</v>
      </c>
      <c r="C342" s="155" t="s">
        <v>4</v>
      </c>
      <c r="D342" s="157" t="s">
        <v>5</v>
      </c>
    </row>
    <row r="343" spans="1:4" ht="15" customHeight="1" x14ac:dyDescent="0.2">
      <c r="A343" s="155" t="s">
        <v>1793</v>
      </c>
      <c r="B343" s="156">
        <v>125</v>
      </c>
      <c r="C343" s="155" t="s">
        <v>4</v>
      </c>
      <c r="D343" s="157" t="s">
        <v>5</v>
      </c>
    </row>
    <row r="344" spans="1:4" ht="15" customHeight="1" x14ac:dyDescent="0.2">
      <c r="A344" s="155" t="s">
        <v>745</v>
      </c>
      <c r="B344" s="156">
        <v>125</v>
      </c>
      <c r="C344" s="155" t="s">
        <v>4</v>
      </c>
      <c r="D344" s="157" t="s">
        <v>5</v>
      </c>
    </row>
    <row r="345" spans="1:4" ht="15" customHeight="1" x14ac:dyDescent="0.2">
      <c r="A345" s="155" t="s">
        <v>1850</v>
      </c>
      <c r="B345" s="156">
        <v>450</v>
      </c>
      <c r="C345" s="155" t="s">
        <v>4</v>
      </c>
      <c r="D345" s="157" t="s">
        <v>5</v>
      </c>
    </row>
    <row r="346" spans="1:4" ht="15" customHeight="1" x14ac:dyDescent="0.2">
      <c r="A346" s="155" t="s">
        <v>803</v>
      </c>
      <c r="B346" s="156">
        <v>25</v>
      </c>
      <c r="C346" s="155" t="s">
        <v>4</v>
      </c>
      <c r="D346" s="157" t="s">
        <v>5</v>
      </c>
    </row>
    <row r="347" spans="1:4" ht="15" customHeight="1" x14ac:dyDescent="0.2">
      <c r="A347" s="155" t="s">
        <v>1842</v>
      </c>
      <c r="B347" s="156">
        <v>25</v>
      </c>
      <c r="C347" s="155" t="s">
        <v>4</v>
      </c>
      <c r="D347" s="157" t="s">
        <v>5</v>
      </c>
    </row>
    <row r="348" spans="1:4" ht="15" customHeight="1" x14ac:dyDescent="0.2">
      <c r="A348" s="155" t="s">
        <v>795</v>
      </c>
      <c r="B348" s="156">
        <v>25</v>
      </c>
      <c r="C348" s="155" t="s">
        <v>4</v>
      </c>
      <c r="D348" s="157" t="s">
        <v>5</v>
      </c>
    </row>
    <row r="349" spans="1:4" ht="15" customHeight="1" x14ac:dyDescent="0.2">
      <c r="A349" s="155" t="s">
        <v>1834</v>
      </c>
      <c r="B349" s="156">
        <v>25</v>
      </c>
      <c r="C349" s="155" t="s">
        <v>4</v>
      </c>
      <c r="D349" s="157" t="s">
        <v>5</v>
      </c>
    </row>
    <row r="350" spans="1:4" ht="15" customHeight="1" x14ac:dyDescent="0.2">
      <c r="A350" s="155" t="s">
        <v>786</v>
      </c>
      <c r="B350" s="156">
        <v>125</v>
      </c>
      <c r="C350" s="155" t="s">
        <v>4</v>
      </c>
      <c r="D350" s="157" t="s">
        <v>5</v>
      </c>
    </row>
    <row r="351" spans="1:4" ht="15" customHeight="1" x14ac:dyDescent="0.2">
      <c r="A351" s="155" t="s">
        <v>1825</v>
      </c>
      <c r="B351" s="156">
        <v>50</v>
      </c>
      <c r="C351" s="155" t="s">
        <v>4</v>
      </c>
      <c r="D351" s="157" t="s">
        <v>5</v>
      </c>
    </row>
    <row r="352" spans="1:4" ht="15" customHeight="1" x14ac:dyDescent="0.2">
      <c r="A352" s="155" t="s">
        <v>778</v>
      </c>
      <c r="B352" s="156">
        <v>125</v>
      </c>
      <c r="C352" s="155" t="s">
        <v>4</v>
      </c>
      <c r="D352" s="157" t="s">
        <v>5</v>
      </c>
    </row>
    <row r="353" spans="1:4" ht="15" customHeight="1" x14ac:dyDescent="0.2">
      <c r="A353" s="155" t="s">
        <v>1877</v>
      </c>
      <c r="B353" s="156">
        <v>125</v>
      </c>
      <c r="C353" s="155" t="s">
        <v>4</v>
      </c>
      <c r="D353" s="157" t="s">
        <v>5</v>
      </c>
    </row>
    <row r="354" spans="1:4" ht="15" customHeight="1" x14ac:dyDescent="0.2">
      <c r="A354" s="155" t="s">
        <v>830</v>
      </c>
      <c r="B354" s="156">
        <v>125</v>
      </c>
      <c r="C354" s="155" t="s">
        <v>4</v>
      </c>
      <c r="D354" s="157" t="s">
        <v>5</v>
      </c>
    </row>
    <row r="355" spans="1:4" ht="15" customHeight="1" x14ac:dyDescent="0.2">
      <c r="A355" s="155" t="s">
        <v>1869</v>
      </c>
      <c r="B355" s="156">
        <v>100</v>
      </c>
      <c r="C355" s="155" t="s">
        <v>4</v>
      </c>
      <c r="D355" s="157" t="s">
        <v>5</v>
      </c>
    </row>
    <row r="356" spans="1:4" ht="15" customHeight="1" x14ac:dyDescent="0.2">
      <c r="A356" s="155" t="s">
        <v>827</v>
      </c>
      <c r="B356" s="156">
        <v>25</v>
      </c>
      <c r="C356" s="155" t="s">
        <v>4</v>
      </c>
      <c r="D356" s="157" t="s">
        <v>5</v>
      </c>
    </row>
    <row r="357" spans="1:4" ht="15" customHeight="1" x14ac:dyDescent="0.2">
      <c r="A357" s="155" t="s">
        <v>1866</v>
      </c>
      <c r="B357" s="156">
        <v>25</v>
      </c>
      <c r="C357" s="155" t="s">
        <v>4</v>
      </c>
      <c r="D357" s="157" t="s">
        <v>5</v>
      </c>
    </row>
    <row r="358" spans="1:4" ht="15" customHeight="1" x14ac:dyDescent="0.2">
      <c r="A358" s="155" t="s">
        <v>819</v>
      </c>
      <c r="B358" s="156">
        <v>25</v>
      </c>
      <c r="C358" s="155" t="s">
        <v>4</v>
      </c>
      <c r="D358" s="157" t="s">
        <v>5</v>
      </c>
    </row>
    <row r="359" spans="1:4" ht="15" customHeight="1" x14ac:dyDescent="0.2">
      <c r="A359" s="155" t="s">
        <v>1858</v>
      </c>
      <c r="B359" s="156">
        <v>125</v>
      </c>
      <c r="C359" s="155" t="s">
        <v>4</v>
      </c>
      <c r="D359" s="157" t="s">
        <v>5</v>
      </c>
    </row>
    <row r="360" spans="1:4" ht="15" customHeight="1" x14ac:dyDescent="0.2">
      <c r="A360" s="155" t="s">
        <v>811</v>
      </c>
      <c r="B360" s="156">
        <v>125</v>
      </c>
      <c r="C360" s="155" t="s">
        <v>4</v>
      </c>
      <c r="D360" s="157" t="s">
        <v>5</v>
      </c>
    </row>
    <row r="361" spans="1:4" ht="15" customHeight="1" x14ac:dyDescent="0.2">
      <c r="A361" s="155" t="s">
        <v>1909</v>
      </c>
      <c r="B361" s="156">
        <v>125</v>
      </c>
      <c r="C361" s="155" t="s">
        <v>4</v>
      </c>
      <c r="D361" s="157" t="s">
        <v>5</v>
      </c>
    </row>
    <row r="362" spans="1:4" ht="15" customHeight="1" x14ac:dyDescent="0.2">
      <c r="A362" s="155" t="s">
        <v>862</v>
      </c>
      <c r="B362" s="156">
        <v>125</v>
      </c>
      <c r="C362" s="155" t="s">
        <v>4</v>
      </c>
      <c r="D362" s="157" t="s">
        <v>5</v>
      </c>
    </row>
    <row r="363" spans="1:4" ht="15" customHeight="1" x14ac:dyDescent="0.2">
      <c r="A363" s="155" t="s">
        <v>1901</v>
      </c>
      <c r="B363" s="156">
        <v>25</v>
      </c>
      <c r="C363" s="155" t="s">
        <v>4</v>
      </c>
      <c r="D363" s="157" t="s">
        <v>5</v>
      </c>
    </row>
    <row r="364" spans="1:4" ht="15" customHeight="1" x14ac:dyDescent="0.2">
      <c r="A364" s="155" t="s">
        <v>854</v>
      </c>
      <c r="B364" s="156">
        <v>25</v>
      </c>
      <c r="C364" s="155" t="s">
        <v>4</v>
      </c>
      <c r="D364" s="157" t="s">
        <v>5</v>
      </c>
    </row>
    <row r="365" spans="1:4" ht="15" customHeight="1" x14ac:dyDescent="0.2">
      <c r="A365" s="155" t="s">
        <v>1893</v>
      </c>
      <c r="B365" s="156">
        <v>125</v>
      </c>
      <c r="C365" s="155" t="s">
        <v>4</v>
      </c>
      <c r="D365" s="157" t="s">
        <v>5</v>
      </c>
    </row>
    <row r="366" spans="1:4" ht="15" customHeight="1" x14ac:dyDescent="0.2">
      <c r="A366" s="155" t="s">
        <v>846</v>
      </c>
      <c r="B366" s="156">
        <v>125</v>
      </c>
      <c r="C366" s="155" t="s">
        <v>4</v>
      </c>
      <c r="D366" s="157" t="s">
        <v>5</v>
      </c>
    </row>
    <row r="367" spans="1:4" ht="15" customHeight="1" x14ac:dyDescent="0.2">
      <c r="A367" s="155" t="s">
        <v>1885</v>
      </c>
      <c r="B367" s="156">
        <v>25</v>
      </c>
      <c r="C367" s="155" t="s">
        <v>4</v>
      </c>
      <c r="D367" s="157" t="s">
        <v>5</v>
      </c>
    </row>
    <row r="368" spans="1:4" ht="15" customHeight="1" x14ac:dyDescent="0.2">
      <c r="A368" s="155" t="s">
        <v>838</v>
      </c>
      <c r="B368" s="156">
        <v>25</v>
      </c>
      <c r="C368" s="155" t="s">
        <v>4</v>
      </c>
      <c r="D368" s="157" t="s">
        <v>5</v>
      </c>
    </row>
    <row r="369" spans="1:4" ht="15" customHeight="1" x14ac:dyDescent="0.2">
      <c r="A369" s="155" t="s">
        <v>1942</v>
      </c>
      <c r="B369" s="156">
        <v>25</v>
      </c>
      <c r="C369" s="155" t="s">
        <v>4</v>
      </c>
      <c r="D369" s="157" t="s">
        <v>5</v>
      </c>
    </row>
    <row r="370" spans="1:4" ht="15" customHeight="1" x14ac:dyDescent="0.2">
      <c r="A370" s="155" t="s">
        <v>895</v>
      </c>
      <c r="B370" s="156">
        <v>25</v>
      </c>
      <c r="C370" s="155" t="s">
        <v>4</v>
      </c>
      <c r="D370" s="157" t="s">
        <v>5</v>
      </c>
    </row>
    <row r="371" spans="1:4" ht="15" customHeight="1" x14ac:dyDescent="0.2">
      <c r="A371" s="155" t="s">
        <v>1934</v>
      </c>
      <c r="B371" s="156">
        <v>25</v>
      </c>
      <c r="C371" s="155" t="s">
        <v>4</v>
      </c>
      <c r="D371" s="157" t="s">
        <v>5</v>
      </c>
    </row>
    <row r="372" spans="1:4" ht="15" customHeight="1" x14ac:dyDescent="0.2">
      <c r="A372" s="155" t="s">
        <v>887</v>
      </c>
      <c r="B372" s="156">
        <v>25</v>
      </c>
      <c r="C372" s="155" t="s">
        <v>4</v>
      </c>
      <c r="D372" s="157" t="s">
        <v>5</v>
      </c>
    </row>
    <row r="373" spans="1:4" ht="15" customHeight="1" x14ac:dyDescent="0.2">
      <c r="A373" s="155" t="s">
        <v>1926</v>
      </c>
      <c r="B373" s="156">
        <v>125</v>
      </c>
      <c r="C373" s="155" t="s">
        <v>4</v>
      </c>
      <c r="D373" s="157" t="s">
        <v>5</v>
      </c>
    </row>
    <row r="374" spans="1:4" ht="15" customHeight="1" x14ac:dyDescent="0.2">
      <c r="A374" s="155" t="s">
        <v>879</v>
      </c>
      <c r="B374" s="156">
        <v>4700</v>
      </c>
      <c r="C374" s="155" t="s">
        <v>4</v>
      </c>
      <c r="D374" s="157" t="s">
        <v>5</v>
      </c>
    </row>
    <row r="375" spans="1:4" ht="15" customHeight="1" x14ac:dyDescent="0.2">
      <c r="A375" s="155" t="s">
        <v>1918</v>
      </c>
      <c r="B375" s="156">
        <v>3100</v>
      </c>
      <c r="C375" s="155" t="s">
        <v>4</v>
      </c>
      <c r="D375" s="157" t="s">
        <v>5</v>
      </c>
    </row>
    <row r="376" spans="1:4" ht="15" customHeight="1" x14ac:dyDescent="0.2">
      <c r="A376" s="155" t="s">
        <v>871</v>
      </c>
      <c r="B376" s="156">
        <v>4000</v>
      </c>
      <c r="C376" s="155" t="s">
        <v>4</v>
      </c>
      <c r="D376" s="157" t="s">
        <v>5</v>
      </c>
    </row>
    <row r="377" spans="1:4" ht="15" customHeight="1" x14ac:dyDescent="0.2">
      <c r="A377" s="155" t="s">
        <v>1975</v>
      </c>
      <c r="B377" s="156">
        <v>450</v>
      </c>
      <c r="C377" s="155" t="s">
        <v>4</v>
      </c>
      <c r="D377" s="157" t="s">
        <v>5</v>
      </c>
    </row>
    <row r="378" spans="1:4" ht="15" customHeight="1" x14ac:dyDescent="0.2">
      <c r="A378" s="155" t="s">
        <v>928</v>
      </c>
      <c r="B378" s="156">
        <v>125</v>
      </c>
      <c r="C378" s="155" t="s">
        <v>4</v>
      </c>
      <c r="D378" s="157" t="s">
        <v>5</v>
      </c>
    </row>
    <row r="379" spans="1:4" ht="15" customHeight="1" x14ac:dyDescent="0.2">
      <c r="A379" s="155" t="s">
        <v>1967</v>
      </c>
      <c r="B379" s="156">
        <v>125</v>
      </c>
      <c r="C379" s="155" t="s">
        <v>4</v>
      </c>
      <c r="D379" s="157" t="s">
        <v>5</v>
      </c>
    </row>
    <row r="380" spans="1:4" ht="15" customHeight="1" x14ac:dyDescent="0.2">
      <c r="A380" s="155" t="s">
        <v>920</v>
      </c>
      <c r="B380" s="156">
        <v>850</v>
      </c>
      <c r="C380" s="155" t="s">
        <v>4</v>
      </c>
      <c r="D380" s="157" t="s">
        <v>5</v>
      </c>
    </row>
    <row r="381" spans="1:4" ht="15" customHeight="1" x14ac:dyDescent="0.2">
      <c r="A381" s="155" t="s">
        <v>1959</v>
      </c>
      <c r="B381" s="156">
        <v>125</v>
      </c>
      <c r="C381" s="155" t="s">
        <v>4</v>
      </c>
      <c r="D381" s="157" t="s">
        <v>5</v>
      </c>
    </row>
    <row r="382" spans="1:4" ht="15" customHeight="1" x14ac:dyDescent="0.2">
      <c r="A382" s="155" t="s">
        <v>912</v>
      </c>
      <c r="B382" s="156">
        <v>25</v>
      </c>
      <c r="C382" s="155" t="s">
        <v>4</v>
      </c>
      <c r="D382" s="157" t="s">
        <v>5</v>
      </c>
    </row>
    <row r="383" spans="1:4" ht="15" customHeight="1" x14ac:dyDescent="0.2">
      <c r="A383" s="155" t="s">
        <v>1950</v>
      </c>
      <c r="B383" s="156">
        <v>25</v>
      </c>
      <c r="C383" s="155" t="s">
        <v>4</v>
      </c>
      <c r="D383" s="157" t="s">
        <v>5</v>
      </c>
    </row>
    <row r="384" spans="1:4" ht="15" customHeight="1" x14ac:dyDescent="0.2">
      <c r="A384" s="155" t="s">
        <v>903</v>
      </c>
      <c r="B384" s="156">
        <v>25</v>
      </c>
      <c r="C384" s="155" t="s">
        <v>4</v>
      </c>
      <c r="D384" s="157" t="s">
        <v>5</v>
      </c>
    </row>
    <row r="385" spans="1:4" ht="15" customHeight="1" x14ac:dyDescent="0.2">
      <c r="A385" s="155" t="s">
        <v>452</v>
      </c>
      <c r="B385" s="156">
        <v>25</v>
      </c>
      <c r="C385" s="155" t="s">
        <v>4</v>
      </c>
      <c r="D385" s="157" t="s">
        <v>5</v>
      </c>
    </row>
    <row r="386" spans="1:4" ht="15" customHeight="1" x14ac:dyDescent="0.2">
      <c r="A386" s="155" t="s">
        <v>1491</v>
      </c>
      <c r="B386" s="156">
        <v>25</v>
      </c>
      <c r="C386" s="155" t="s">
        <v>4</v>
      </c>
      <c r="D386" s="157" t="s">
        <v>5</v>
      </c>
    </row>
    <row r="387" spans="1:4" ht="15" customHeight="1" x14ac:dyDescent="0.2">
      <c r="A387" s="155" t="s">
        <v>443</v>
      </c>
      <c r="B387" s="156">
        <v>25</v>
      </c>
      <c r="C387" s="155" t="s">
        <v>4</v>
      </c>
      <c r="D387" s="157" t="s">
        <v>5</v>
      </c>
    </row>
    <row r="388" spans="1:4" ht="15" customHeight="1" x14ac:dyDescent="0.2">
      <c r="A388" s="155" t="s">
        <v>1482</v>
      </c>
      <c r="B388" s="156">
        <v>25</v>
      </c>
      <c r="C388" s="155" t="s">
        <v>4</v>
      </c>
      <c r="D388" s="157" t="s">
        <v>5</v>
      </c>
    </row>
    <row r="389" spans="1:4" ht="15" customHeight="1" x14ac:dyDescent="0.2">
      <c r="A389" s="155" t="s">
        <v>435</v>
      </c>
      <c r="B389" s="156">
        <v>25</v>
      </c>
      <c r="C389" s="155" t="s">
        <v>4</v>
      </c>
      <c r="D389" s="157" t="s">
        <v>5</v>
      </c>
    </row>
    <row r="390" spans="1:4" ht="15" customHeight="1" x14ac:dyDescent="0.2">
      <c r="A390" s="155" t="s">
        <v>1474</v>
      </c>
      <c r="B390" s="156">
        <v>25</v>
      </c>
      <c r="C390" s="155" t="s">
        <v>4</v>
      </c>
      <c r="D390" s="157" t="s">
        <v>5</v>
      </c>
    </row>
    <row r="391" spans="1:4" ht="15" customHeight="1" x14ac:dyDescent="0.2">
      <c r="A391" s="155" t="s">
        <v>427</v>
      </c>
      <c r="B391" s="156">
        <v>25</v>
      </c>
      <c r="C391" s="155" t="s">
        <v>4</v>
      </c>
      <c r="D391" s="157" t="s">
        <v>5</v>
      </c>
    </row>
    <row r="392" spans="1:4" ht="15" customHeight="1" x14ac:dyDescent="0.2">
      <c r="A392" s="155" t="s">
        <v>1466</v>
      </c>
      <c r="B392" s="156">
        <v>25</v>
      </c>
      <c r="C392" s="155" t="s">
        <v>4</v>
      </c>
      <c r="D392" s="157" t="s">
        <v>5</v>
      </c>
    </row>
    <row r="393" spans="1:4" ht="15" customHeight="1" x14ac:dyDescent="0.2">
      <c r="A393" s="155" t="s">
        <v>484</v>
      </c>
      <c r="B393" s="156">
        <v>325</v>
      </c>
      <c r="C393" s="155" t="s">
        <v>4</v>
      </c>
      <c r="D393" s="157" t="s">
        <v>5</v>
      </c>
    </row>
    <row r="394" spans="1:4" ht="15" customHeight="1" x14ac:dyDescent="0.2">
      <c r="A394" s="155" t="s">
        <v>1523</v>
      </c>
      <c r="B394" s="156">
        <v>125</v>
      </c>
      <c r="C394" s="155" t="s">
        <v>4</v>
      </c>
      <c r="D394" s="157" t="s">
        <v>5</v>
      </c>
    </row>
    <row r="395" spans="1:4" ht="15" customHeight="1" x14ac:dyDescent="0.2">
      <c r="A395" s="155" t="s">
        <v>476</v>
      </c>
      <c r="B395" s="156">
        <v>25</v>
      </c>
      <c r="C395" s="155" t="s">
        <v>4</v>
      </c>
      <c r="D395" s="157" t="s">
        <v>5</v>
      </c>
    </row>
    <row r="396" spans="1:4" ht="15" customHeight="1" x14ac:dyDescent="0.2">
      <c r="A396" s="155" t="s">
        <v>1515</v>
      </c>
      <c r="B396" s="156">
        <v>25</v>
      </c>
      <c r="C396" s="155" t="s">
        <v>4</v>
      </c>
      <c r="D396" s="157" t="s">
        <v>5</v>
      </c>
    </row>
    <row r="397" spans="1:4" ht="15" customHeight="1" x14ac:dyDescent="0.2">
      <c r="A397" s="155" t="s">
        <v>468</v>
      </c>
      <c r="B397" s="156">
        <v>25</v>
      </c>
      <c r="C397" s="155" t="s">
        <v>4</v>
      </c>
      <c r="D397" s="157" t="s">
        <v>5</v>
      </c>
    </row>
    <row r="398" spans="1:4" ht="15" customHeight="1" x14ac:dyDescent="0.2">
      <c r="A398" s="155" t="s">
        <v>1507</v>
      </c>
      <c r="B398" s="156">
        <v>25</v>
      </c>
      <c r="C398" s="155" t="s">
        <v>4</v>
      </c>
      <c r="D398" s="157" t="s">
        <v>5</v>
      </c>
    </row>
    <row r="399" spans="1:4" ht="15" customHeight="1" x14ac:dyDescent="0.2">
      <c r="A399" s="155" t="s">
        <v>460</v>
      </c>
      <c r="B399" s="156">
        <v>25</v>
      </c>
      <c r="C399" s="155" t="s">
        <v>4</v>
      </c>
      <c r="D399" s="157" t="s">
        <v>5</v>
      </c>
    </row>
    <row r="400" spans="1:4" ht="15" customHeight="1" x14ac:dyDescent="0.2">
      <c r="A400" s="155" t="s">
        <v>1499</v>
      </c>
      <c r="B400" s="156">
        <v>25</v>
      </c>
      <c r="C400" s="155" t="s">
        <v>4</v>
      </c>
      <c r="D400" s="157" t="s">
        <v>5</v>
      </c>
    </row>
    <row r="401" spans="1:4" ht="15" customHeight="1" x14ac:dyDescent="0.2">
      <c r="A401" s="155" t="s">
        <v>516</v>
      </c>
      <c r="B401" s="156">
        <v>25</v>
      </c>
      <c r="C401" s="155" t="s">
        <v>4</v>
      </c>
      <c r="D401" s="157" t="s">
        <v>5</v>
      </c>
    </row>
    <row r="402" spans="1:4" ht="15" customHeight="1" x14ac:dyDescent="0.2">
      <c r="A402" s="155" t="s">
        <v>1555</v>
      </c>
      <c r="B402" s="156">
        <v>25</v>
      </c>
      <c r="C402" s="155" t="s">
        <v>4</v>
      </c>
      <c r="D402" s="157" t="s">
        <v>5</v>
      </c>
    </row>
    <row r="403" spans="1:4" ht="15" customHeight="1" x14ac:dyDescent="0.2">
      <c r="A403" s="155" t="s">
        <v>508</v>
      </c>
      <c r="B403" s="156">
        <v>25</v>
      </c>
      <c r="C403" s="155" t="s">
        <v>4</v>
      </c>
      <c r="D403" s="157" t="s">
        <v>5</v>
      </c>
    </row>
    <row r="404" spans="1:4" ht="15" customHeight="1" x14ac:dyDescent="0.2">
      <c r="A404" s="155" t="s">
        <v>1547</v>
      </c>
      <c r="B404" s="159">
        <v>668534.4</v>
      </c>
      <c r="C404" s="155" t="s">
        <v>4</v>
      </c>
      <c r="D404" s="157" t="s">
        <v>5</v>
      </c>
    </row>
    <row r="405" spans="1:4" ht="15" customHeight="1" x14ac:dyDescent="0.2">
      <c r="A405" s="155" t="s">
        <v>500</v>
      </c>
      <c r="B405" s="156">
        <v>125</v>
      </c>
      <c r="C405" s="155" t="s">
        <v>4</v>
      </c>
      <c r="D405" s="157" t="s">
        <v>5</v>
      </c>
    </row>
    <row r="406" spans="1:4" ht="15" customHeight="1" x14ac:dyDescent="0.2">
      <c r="A406" s="155" t="s">
        <v>1539</v>
      </c>
      <c r="B406" s="156">
        <v>450</v>
      </c>
      <c r="C406" s="155" t="s">
        <v>4</v>
      </c>
      <c r="D406" s="157" t="s">
        <v>5</v>
      </c>
    </row>
    <row r="407" spans="1:4" ht="15" customHeight="1" x14ac:dyDescent="0.2">
      <c r="A407" s="155" t="s">
        <v>492</v>
      </c>
      <c r="B407" s="156">
        <v>125</v>
      </c>
      <c r="C407" s="155" t="s">
        <v>4</v>
      </c>
      <c r="D407" s="157" t="s">
        <v>5</v>
      </c>
    </row>
    <row r="408" spans="1:4" ht="15" customHeight="1" x14ac:dyDescent="0.2">
      <c r="A408" s="155" t="s">
        <v>1531</v>
      </c>
      <c r="B408" s="156">
        <v>125</v>
      </c>
      <c r="C408" s="155" t="s">
        <v>4</v>
      </c>
      <c r="D408" s="157" t="s">
        <v>5</v>
      </c>
    </row>
    <row r="409" spans="1:4" ht="15" customHeight="1" x14ac:dyDescent="0.2">
      <c r="A409" s="155" t="s">
        <v>548</v>
      </c>
      <c r="B409" s="156">
        <v>125</v>
      </c>
      <c r="C409" s="155" t="s">
        <v>4</v>
      </c>
      <c r="D409" s="157" t="s">
        <v>5</v>
      </c>
    </row>
    <row r="410" spans="1:4" ht="15" customHeight="1" x14ac:dyDescent="0.2">
      <c r="A410" s="155" t="s">
        <v>1587</v>
      </c>
      <c r="B410" s="156">
        <v>125</v>
      </c>
      <c r="C410" s="155" t="s">
        <v>4</v>
      </c>
      <c r="D410" s="157" t="s">
        <v>5</v>
      </c>
    </row>
    <row r="411" spans="1:4" ht="15" customHeight="1" x14ac:dyDescent="0.2">
      <c r="A411" s="155" t="s">
        <v>540</v>
      </c>
      <c r="B411" s="158">
        <v>29.25</v>
      </c>
      <c r="C411" s="155" t="s">
        <v>4</v>
      </c>
      <c r="D411" s="157" t="s">
        <v>5</v>
      </c>
    </row>
    <row r="412" spans="1:4" ht="15" customHeight="1" x14ac:dyDescent="0.2">
      <c r="A412" s="155" t="s">
        <v>1579</v>
      </c>
      <c r="B412" s="156">
        <v>125</v>
      </c>
      <c r="C412" s="155" t="s">
        <v>4</v>
      </c>
      <c r="D412" s="157" t="s">
        <v>5</v>
      </c>
    </row>
    <row r="413" spans="1:4" ht="15" customHeight="1" x14ac:dyDescent="0.2">
      <c r="A413" s="155" t="s">
        <v>532</v>
      </c>
      <c r="B413" s="158">
        <v>767.66</v>
      </c>
      <c r="C413" s="155" t="s">
        <v>4</v>
      </c>
      <c r="D413" s="157" t="s">
        <v>5</v>
      </c>
    </row>
    <row r="414" spans="1:4" ht="15" customHeight="1" x14ac:dyDescent="0.2">
      <c r="A414" s="155" t="s">
        <v>1571</v>
      </c>
      <c r="B414" s="156">
        <v>125</v>
      </c>
      <c r="C414" s="155" t="s">
        <v>4</v>
      </c>
      <c r="D414" s="157" t="s">
        <v>5</v>
      </c>
    </row>
    <row r="415" spans="1:4" ht="15" customHeight="1" x14ac:dyDescent="0.2">
      <c r="A415" s="155" t="s">
        <v>524</v>
      </c>
      <c r="B415" s="156">
        <v>125</v>
      </c>
      <c r="C415" s="155" t="s">
        <v>4</v>
      </c>
      <c r="D415" s="157" t="s">
        <v>5</v>
      </c>
    </row>
    <row r="416" spans="1:4" ht="15" customHeight="1" x14ac:dyDescent="0.2">
      <c r="A416" s="155" t="s">
        <v>1563</v>
      </c>
      <c r="B416" s="156">
        <v>600</v>
      </c>
      <c r="C416" s="155" t="s">
        <v>4</v>
      </c>
      <c r="D416" s="157" t="s">
        <v>5</v>
      </c>
    </row>
    <row r="417" spans="1:4" ht="15" customHeight="1" x14ac:dyDescent="0.2">
      <c r="A417" s="155" t="s">
        <v>582</v>
      </c>
      <c r="B417" s="156">
        <v>125</v>
      </c>
      <c r="C417" s="155" t="s">
        <v>4</v>
      </c>
      <c r="D417" s="157" t="s">
        <v>5</v>
      </c>
    </row>
    <row r="418" spans="1:4" ht="15" customHeight="1" x14ac:dyDescent="0.2">
      <c r="A418" s="155" t="s">
        <v>1621</v>
      </c>
      <c r="B418" s="156">
        <v>125</v>
      </c>
      <c r="C418" s="155" t="s">
        <v>4</v>
      </c>
      <c r="D418" s="157" t="s">
        <v>5</v>
      </c>
    </row>
    <row r="419" spans="1:4" ht="15" customHeight="1" x14ac:dyDescent="0.2">
      <c r="A419" s="155" t="s">
        <v>574</v>
      </c>
      <c r="B419" s="156">
        <v>25</v>
      </c>
      <c r="C419" s="155" t="s">
        <v>4</v>
      </c>
      <c r="D419" s="157" t="s">
        <v>5</v>
      </c>
    </row>
    <row r="420" spans="1:4" ht="15" customHeight="1" x14ac:dyDescent="0.2">
      <c r="A420" s="155" t="s">
        <v>1613</v>
      </c>
      <c r="B420" s="156">
        <v>125</v>
      </c>
      <c r="C420" s="155" t="s">
        <v>4</v>
      </c>
      <c r="D420" s="157" t="s">
        <v>5</v>
      </c>
    </row>
    <row r="421" spans="1:4" ht="15" customHeight="1" x14ac:dyDescent="0.2">
      <c r="A421" s="155" t="s">
        <v>566</v>
      </c>
      <c r="B421" s="156">
        <v>125</v>
      </c>
      <c r="C421" s="155" t="s">
        <v>4</v>
      </c>
      <c r="D421" s="157" t="s">
        <v>5</v>
      </c>
    </row>
    <row r="422" spans="1:4" ht="15" customHeight="1" x14ac:dyDescent="0.2">
      <c r="A422" s="155" t="s">
        <v>1604</v>
      </c>
      <c r="B422" s="156">
        <v>125</v>
      </c>
      <c r="C422" s="155" t="s">
        <v>4</v>
      </c>
      <c r="D422" s="157" t="s">
        <v>5</v>
      </c>
    </row>
    <row r="423" spans="1:4" ht="15" customHeight="1" x14ac:dyDescent="0.2">
      <c r="A423" s="155" t="s">
        <v>556</v>
      </c>
      <c r="B423" s="156">
        <v>125</v>
      </c>
      <c r="C423" s="155" t="s">
        <v>4</v>
      </c>
      <c r="D423" s="157" t="s">
        <v>5</v>
      </c>
    </row>
    <row r="424" spans="1:4" ht="15" customHeight="1" x14ac:dyDescent="0.2">
      <c r="A424" s="155" t="s">
        <v>1595</v>
      </c>
      <c r="B424" s="156">
        <v>125</v>
      </c>
      <c r="C424" s="155" t="s">
        <v>4</v>
      </c>
      <c r="D424" s="157" t="s">
        <v>5</v>
      </c>
    </row>
    <row r="425" spans="1:4" ht="15" customHeight="1" x14ac:dyDescent="0.2">
      <c r="A425" s="155" t="s">
        <v>612</v>
      </c>
      <c r="B425" s="156">
        <v>80</v>
      </c>
      <c r="C425" s="155" t="s">
        <v>4</v>
      </c>
      <c r="D425" s="157" t="s">
        <v>5</v>
      </c>
    </row>
    <row r="426" spans="1:4" ht="15" customHeight="1" x14ac:dyDescent="0.2">
      <c r="A426" s="155" t="s">
        <v>1651</v>
      </c>
      <c r="B426" s="156">
        <v>125</v>
      </c>
      <c r="C426" s="155" t="s">
        <v>4</v>
      </c>
      <c r="D426" s="157" t="s">
        <v>5</v>
      </c>
    </row>
    <row r="427" spans="1:4" ht="15" customHeight="1" x14ac:dyDescent="0.2">
      <c r="A427" s="155" t="s">
        <v>605</v>
      </c>
      <c r="B427" s="156">
        <v>2380</v>
      </c>
      <c r="C427" s="155" t="s">
        <v>4</v>
      </c>
      <c r="D427" s="157" t="s">
        <v>5</v>
      </c>
    </row>
    <row r="428" spans="1:4" ht="15" customHeight="1" x14ac:dyDescent="0.2">
      <c r="A428" s="155" t="s">
        <v>1643</v>
      </c>
      <c r="B428" s="156">
        <v>125</v>
      </c>
      <c r="C428" s="155" t="s">
        <v>4</v>
      </c>
      <c r="D428" s="157" t="s">
        <v>5</v>
      </c>
    </row>
    <row r="429" spans="1:4" ht="15" customHeight="1" x14ac:dyDescent="0.2">
      <c r="A429" s="155" t="s">
        <v>597</v>
      </c>
      <c r="B429" s="156">
        <v>125</v>
      </c>
      <c r="C429" s="155" t="s">
        <v>4</v>
      </c>
      <c r="D429" s="157" t="s">
        <v>5</v>
      </c>
    </row>
    <row r="430" spans="1:4" ht="15" customHeight="1" x14ac:dyDescent="0.2">
      <c r="A430" s="155" t="s">
        <v>1636</v>
      </c>
      <c r="B430" s="156">
        <v>125</v>
      </c>
      <c r="C430" s="155" t="s">
        <v>4</v>
      </c>
      <c r="D430" s="157" t="s">
        <v>5</v>
      </c>
    </row>
    <row r="431" spans="1:4" ht="15" customHeight="1" x14ac:dyDescent="0.2">
      <c r="A431" s="155" t="s">
        <v>590</v>
      </c>
      <c r="B431" s="156">
        <v>125</v>
      </c>
      <c r="C431" s="155" t="s">
        <v>4</v>
      </c>
      <c r="D431" s="157" t="s">
        <v>5</v>
      </c>
    </row>
    <row r="432" spans="1:4" ht="15" customHeight="1" x14ac:dyDescent="0.2">
      <c r="A432" s="155" t="s">
        <v>1629</v>
      </c>
      <c r="B432" s="156">
        <v>50</v>
      </c>
      <c r="C432" s="155" t="s">
        <v>4</v>
      </c>
      <c r="D432" s="157" t="s">
        <v>5</v>
      </c>
    </row>
    <row r="433" spans="1:4" ht="15" customHeight="1" x14ac:dyDescent="0.2">
      <c r="A433" s="155" t="s">
        <v>636</v>
      </c>
      <c r="B433" s="156">
        <v>740</v>
      </c>
      <c r="C433" s="155" t="s">
        <v>4</v>
      </c>
      <c r="D433" s="157" t="s">
        <v>5</v>
      </c>
    </row>
    <row r="434" spans="1:4" ht="15" customHeight="1" x14ac:dyDescent="0.2">
      <c r="A434" s="155" t="s">
        <v>1679</v>
      </c>
      <c r="B434" s="156">
        <v>25</v>
      </c>
      <c r="C434" s="155" t="s">
        <v>4</v>
      </c>
      <c r="D434" s="157" t="s">
        <v>5</v>
      </c>
    </row>
    <row r="435" spans="1:4" ht="15" customHeight="1" x14ac:dyDescent="0.2">
      <c r="A435" s="155" t="s">
        <v>633</v>
      </c>
      <c r="B435" s="156">
        <v>25</v>
      </c>
      <c r="C435" s="155" t="s">
        <v>4</v>
      </c>
      <c r="D435" s="157" t="s">
        <v>5</v>
      </c>
    </row>
    <row r="436" spans="1:4" ht="15" customHeight="1" x14ac:dyDescent="0.2">
      <c r="A436" s="155" t="s">
        <v>1672</v>
      </c>
      <c r="B436" s="156">
        <v>25</v>
      </c>
      <c r="C436" s="155" t="s">
        <v>4</v>
      </c>
      <c r="D436" s="157" t="s">
        <v>5</v>
      </c>
    </row>
    <row r="437" spans="1:4" ht="15" customHeight="1" x14ac:dyDescent="0.2">
      <c r="A437" s="155" t="s">
        <v>626</v>
      </c>
      <c r="B437" s="156">
        <v>25</v>
      </c>
      <c r="C437" s="155" t="s">
        <v>4</v>
      </c>
      <c r="D437" s="157" t="s">
        <v>5</v>
      </c>
    </row>
    <row r="438" spans="1:4" ht="15" customHeight="1" x14ac:dyDescent="0.2">
      <c r="A438" s="155" t="s">
        <v>1665</v>
      </c>
      <c r="B438" s="156">
        <v>25</v>
      </c>
      <c r="C438" s="155" t="s">
        <v>4</v>
      </c>
      <c r="D438" s="157" t="s">
        <v>5</v>
      </c>
    </row>
    <row r="439" spans="1:4" ht="15" customHeight="1" x14ac:dyDescent="0.2">
      <c r="A439" s="155" t="s">
        <v>619</v>
      </c>
      <c r="B439" s="156">
        <v>125</v>
      </c>
      <c r="C439" s="155" t="s">
        <v>4</v>
      </c>
      <c r="D439" s="157" t="s">
        <v>5</v>
      </c>
    </row>
    <row r="440" spans="1:4" ht="15" customHeight="1" x14ac:dyDescent="0.2">
      <c r="A440" s="155" t="s">
        <v>1658</v>
      </c>
      <c r="B440" s="156">
        <v>1585</v>
      </c>
      <c r="C440" s="155" t="s">
        <v>4</v>
      </c>
      <c r="D440" s="157" t="s">
        <v>5</v>
      </c>
    </row>
    <row r="441" spans="1:4" ht="15" customHeight="1" x14ac:dyDescent="0.2">
      <c r="A441" s="155" t="s">
        <v>664</v>
      </c>
      <c r="B441" s="156">
        <v>3800</v>
      </c>
      <c r="C441" s="155" t="s">
        <v>4</v>
      </c>
      <c r="D441" s="157" t="s">
        <v>5</v>
      </c>
    </row>
    <row r="442" spans="1:4" ht="15" customHeight="1" x14ac:dyDescent="0.2">
      <c r="A442" s="155" t="s">
        <v>1703</v>
      </c>
      <c r="B442" s="156">
        <v>200</v>
      </c>
      <c r="C442" s="155" t="s">
        <v>4</v>
      </c>
      <c r="D442" s="157" t="s">
        <v>5</v>
      </c>
    </row>
    <row r="443" spans="1:4" ht="15" customHeight="1" x14ac:dyDescent="0.2">
      <c r="A443" s="155" t="s">
        <v>657</v>
      </c>
      <c r="B443" s="158">
        <v>16.46</v>
      </c>
      <c r="C443" s="155" t="s">
        <v>4</v>
      </c>
      <c r="D443" s="157" t="s">
        <v>5</v>
      </c>
    </row>
    <row r="444" spans="1:4" ht="15" customHeight="1" x14ac:dyDescent="0.2">
      <c r="A444" s="155" t="s">
        <v>1696</v>
      </c>
      <c r="B444" s="156">
        <v>125</v>
      </c>
      <c r="C444" s="155" t="s">
        <v>4</v>
      </c>
      <c r="D444" s="157" t="s">
        <v>5</v>
      </c>
    </row>
    <row r="445" spans="1:4" ht="15" customHeight="1" x14ac:dyDescent="0.2">
      <c r="A445" s="155" t="s">
        <v>650</v>
      </c>
      <c r="B445" s="156">
        <v>125</v>
      </c>
      <c r="C445" s="155" t="s">
        <v>4</v>
      </c>
      <c r="D445" s="157" t="s">
        <v>5</v>
      </c>
    </row>
    <row r="446" spans="1:4" ht="15" customHeight="1" x14ac:dyDescent="0.2">
      <c r="A446" s="155" t="s">
        <v>1689</v>
      </c>
      <c r="B446" s="156">
        <v>125</v>
      </c>
      <c r="C446" s="155" t="s">
        <v>4</v>
      </c>
      <c r="D446" s="157" t="s">
        <v>5</v>
      </c>
    </row>
    <row r="447" spans="1:4" ht="15" customHeight="1" x14ac:dyDescent="0.2">
      <c r="A447" s="155" t="s">
        <v>643</v>
      </c>
      <c r="B447" s="156">
        <v>25</v>
      </c>
      <c r="C447" s="155" t="s">
        <v>4</v>
      </c>
      <c r="D447" s="157" t="s">
        <v>5</v>
      </c>
    </row>
    <row r="448" spans="1:4" ht="15" customHeight="1" x14ac:dyDescent="0.2">
      <c r="A448" s="155" t="s">
        <v>1682</v>
      </c>
      <c r="B448" s="156">
        <v>125</v>
      </c>
      <c r="C448" s="155" t="s">
        <v>4</v>
      </c>
      <c r="D448" s="157" t="s">
        <v>5</v>
      </c>
    </row>
    <row r="449" spans="1:4" ht="15" customHeight="1" x14ac:dyDescent="0.2">
      <c r="A449" s="155" t="s">
        <v>195</v>
      </c>
      <c r="B449" s="156">
        <v>25</v>
      </c>
      <c r="C449" s="155" t="s">
        <v>4</v>
      </c>
      <c r="D449" s="157" t="s">
        <v>5</v>
      </c>
    </row>
    <row r="450" spans="1:4" ht="15" customHeight="1" x14ac:dyDescent="0.2">
      <c r="A450" s="155" t="s">
        <v>1233</v>
      </c>
      <c r="B450" s="156">
        <v>125</v>
      </c>
      <c r="C450" s="155" t="s">
        <v>4</v>
      </c>
      <c r="D450" s="157" t="s">
        <v>5</v>
      </c>
    </row>
    <row r="451" spans="1:4" ht="15" customHeight="1" x14ac:dyDescent="0.2">
      <c r="A451" s="155" t="s">
        <v>187</v>
      </c>
      <c r="B451" s="156">
        <v>125</v>
      </c>
      <c r="C451" s="155" t="s">
        <v>4</v>
      </c>
      <c r="D451" s="157" t="s">
        <v>5</v>
      </c>
    </row>
    <row r="452" spans="1:4" ht="15" customHeight="1" x14ac:dyDescent="0.2">
      <c r="A452" s="155" t="s">
        <v>1225</v>
      </c>
      <c r="B452" s="156">
        <v>125</v>
      </c>
      <c r="C452" s="155" t="s">
        <v>4</v>
      </c>
      <c r="D452" s="157" t="s">
        <v>5</v>
      </c>
    </row>
    <row r="453" spans="1:4" ht="15" customHeight="1" x14ac:dyDescent="0.2">
      <c r="A453" s="155" t="s">
        <v>179</v>
      </c>
      <c r="B453" s="156">
        <v>125</v>
      </c>
      <c r="C453" s="155" t="s">
        <v>4</v>
      </c>
      <c r="D453" s="157" t="s">
        <v>5</v>
      </c>
    </row>
    <row r="454" spans="1:4" ht="15" customHeight="1" x14ac:dyDescent="0.2">
      <c r="A454" s="155" t="s">
        <v>1217</v>
      </c>
      <c r="B454" s="156">
        <v>125</v>
      </c>
      <c r="C454" s="155" t="s">
        <v>4</v>
      </c>
      <c r="D454" s="157" t="s">
        <v>5</v>
      </c>
    </row>
    <row r="455" spans="1:4" ht="15" customHeight="1" x14ac:dyDescent="0.2">
      <c r="A455" s="155" t="s">
        <v>172</v>
      </c>
      <c r="B455" s="156">
        <v>125</v>
      </c>
      <c r="C455" s="155" t="s">
        <v>4</v>
      </c>
      <c r="D455" s="157" t="s">
        <v>5</v>
      </c>
    </row>
    <row r="456" spans="1:4" ht="15" customHeight="1" x14ac:dyDescent="0.2">
      <c r="A456" s="155" t="s">
        <v>1208</v>
      </c>
      <c r="B456" s="156">
        <v>50</v>
      </c>
      <c r="C456" s="155" t="s">
        <v>4</v>
      </c>
      <c r="D456" s="157" t="s">
        <v>5</v>
      </c>
    </row>
    <row r="457" spans="1:4" ht="15" customHeight="1" x14ac:dyDescent="0.2">
      <c r="A457" s="155" t="s">
        <v>228</v>
      </c>
      <c r="B457" s="156">
        <v>125</v>
      </c>
      <c r="C457" s="155" t="s">
        <v>4</v>
      </c>
      <c r="D457" s="157" t="s">
        <v>5</v>
      </c>
    </row>
    <row r="458" spans="1:4" ht="15" customHeight="1" x14ac:dyDescent="0.2">
      <c r="A458" s="155" t="s">
        <v>1267</v>
      </c>
      <c r="B458" s="156">
        <v>25</v>
      </c>
      <c r="C458" s="155" t="s">
        <v>4</v>
      </c>
      <c r="D458" s="157" t="s">
        <v>5</v>
      </c>
    </row>
    <row r="459" spans="1:4" ht="15" customHeight="1" x14ac:dyDescent="0.2">
      <c r="A459" s="155" t="s">
        <v>220</v>
      </c>
      <c r="B459" s="156">
        <v>25</v>
      </c>
      <c r="C459" s="155" t="s">
        <v>4</v>
      </c>
      <c r="D459" s="157" t="s">
        <v>5</v>
      </c>
    </row>
    <row r="460" spans="1:4" ht="15" customHeight="1" x14ac:dyDescent="0.2">
      <c r="A460" s="155" t="s">
        <v>1259</v>
      </c>
      <c r="B460" s="156">
        <v>25</v>
      </c>
      <c r="C460" s="155" t="s">
        <v>4</v>
      </c>
      <c r="D460" s="157" t="s">
        <v>5</v>
      </c>
    </row>
    <row r="461" spans="1:4" ht="15" customHeight="1" x14ac:dyDescent="0.2">
      <c r="A461" s="155" t="s">
        <v>212</v>
      </c>
      <c r="B461" s="156">
        <v>25</v>
      </c>
      <c r="C461" s="155" t="s">
        <v>4</v>
      </c>
      <c r="D461" s="157" t="s">
        <v>5</v>
      </c>
    </row>
    <row r="462" spans="1:4" ht="15" customHeight="1" x14ac:dyDescent="0.2">
      <c r="A462" s="155" t="s">
        <v>1251</v>
      </c>
      <c r="B462" s="156">
        <v>25</v>
      </c>
      <c r="C462" s="155" t="s">
        <v>4</v>
      </c>
      <c r="D462" s="157" t="s">
        <v>5</v>
      </c>
    </row>
    <row r="463" spans="1:4" ht="15" customHeight="1" x14ac:dyDescent="0.2">
      <c r="A463" s="155" t="s">
        <v>204</v>
      </c>
      <c r="B463" s="156">
        <v>25</v>
      </c>
      <c r="C463" s="155" t="s">
        <v>4</v>
      </c>
      <c r="D463" s="157" t="s">
        <v>5</v>
      </c>
    </row>
    <row r="464" spans="1:4" ht="15" customHeight="1" x14ac:dyDescent="0.2">
      <c r="A464" s="155" t="s">
        <v>1242</v>
      </c>
      <c r="B464" s="156">
        <v>25</v>
      </c>
      <c r="C464" s="155" t="s">
        <v>4</v>
      </c>
      <c r="D464" s="157" t="s">
        <v>5</v>
      </c>
    </row>
    <row r="465" spans="1:4" ht="15" customHeight="1" x14ac:dyDescent="0.2">
      <c r="A465" s="155" t="s">
        <v>260</v>
      </c>
      <c r="B465" s="156">
        <v>125</v>
      </c>
      <c r="C465" s="155" t="s">
        <v>4</v>
      </c>
      <c r="D465" s="157" t="s">
        <v>5</v>
      </c>
    </row>
    <row r="466" spans="1:4" ht="15" customHeight="1" x14ac:dyDescent="0.2">
      <c r="A466" s="155" t="s">
        <v>1299</v>
      </c>
      <c r="B466" s="156">
        <v>25</v>
      </c>
      <c r="C466" s="155" t="s">
        <v>4</v>
      </c>
      <c r="D466" s="157" t="s">
        <v>5</v>
      </c>
    </row>
    <row r="467" spans="1:4" ht="15" customHeight="1" x14ac:dyDescent="0.2">
      <c r="A467" s="155" t="s">
        <v>252</v>
      </c>
      <c r="B467" s="156">
        <v>125</v>
      </c>
      <c r="C467" s="155" t="s">
        <v>4</v>
      </c>
      <c r="D467" s="157" t="s">
        <v>5</v>
      </c>
    </row>
    <row r="468" spans="1:4" ht="15" customHeight="1" x14ac:dyDescent="0.2">
      <c r="A468" s="155" t="s">
        <v>1291</v>
      </c>
      <c r="B468" s="156">
        <v>125</v>
      </c>
      <c r="C468" s="155" t="s">
        <v>4</v>
      </c>
      <c r="D468" s="157" t="s">
        <v>5</v>
      </c>
    </row>
    <row r="469" spans="1:4" ht="15" customHeight="1" x14ac:dyDescent="0.2">
      <c r="A469" s="155" t="s">
        <v>244</v>
      </c>
      <c r="B469" s="156">
        <v>125</v>
      </c>
      <c r="C469" s="155" t="s">
        <v>4</v>
      </c>
      <c r="D469" s="157" t="s">
        <v>5</v>
      </c>
    </row>
    <row r="470" spans="1:4" ht="15" customHeight="1" x14ac:dyDescent="0.2">
      <c r="A470" s="155" t="s">
        <v>1283</v>
      </c>
      <c r="B470" s="156">
        <v>844</v>
      </c>
      <c r="C470" s="155" t="s">
        <v>4</v>
      </c>
      <c r="D470" s="157" t="s">
        <v>5</v>
      </c>
    </row>
    <row r="471" spans="1:4" ht="15" customHeight="1" x14ac:dyDescent="0.2">
      <c r="A471" s="155" t="s">
        <v>236</v>
      </c>
      <c r="B471" s="156">
        <v>125</v>
      </c>
      <c r="C471" s="155" t="s">
        <v>4</v>
      </c>
      <c r="D471" s="157" t="s">
        <v>5</v>
      </c>
    </row>
    <row r="472" spans="1:4" ht="15" customHeight="1" x14ac:dyDescent="0.2">
      <c r="A472" s="155" t="s">
        <v>1275</v>
      </c>
      <c r="B472" s="156">
        <v>100</v>
      </c>
      <c r="C472" s="155" t="s">
        <v>4</v>
      </c>
      <c r="D472" s="157" t="s">
        <v>5</v>
      </c>
    </row>
    <row r="473" spans="1:4" ht="15" customHeight="1" x14ac:dyDescent="0.2">
      <c r="A473" s="155" t="s">
        <v>294</v>
      </c>
      <c r="B473" s="156">
        <v>1140</v>
      </c>
      <c r="C473" s="155" t="s">
        <v>4</v>
      </c>
      <c r="D473" s="157" t="s">
        <v>5</v>
      </c>
    </row>
    <row r="474" spans="1:4" ht="15" customHeight="1" x14ac:dyDescent="0.2">
      <c r="A474" s="155" t="s">
        <v>1333</v>
      </c>
      <c r="B474" s="156">
        <v>125</v>
      </c>
      <c r="C474" s="155" t="s">
        <v>4</v>
      </c>
      <c r="D474" s="157" t="s">
        <v>5</v>
      </c>
    </row>
    <row r="475" spans="1:4" ht="15" customHeight="1" x14ac:dyDescent="0.2">
      <c r="A475" s="155" t="s">
        <v>286</v>
      </c>
      <c r="B475" s="156">
        <v>125</v>
      </c>
      <c r="C475" s="155" t="s">
        <v>4</v>
      </c>
      <c r="D475" s="157" t="s">
        <v>5</v>
      </c>
    </row>
    <row r="476" spans="1:4" ht="15" customHeight="1" x14ac:dyDescent="0.2">
      <c r="A476" s="155" t="s">
        <v>1324</v>
      </c>
      <c r="B476" s="156">
        <v>125</v>
      </c>
      <c r="C476" s="155" t="s">
        <v>4</v>
      </c>
      <c r="D476" s="157" t="s">
        <v>5</v>
      </c>
    </row>
    <row r="477" spans="1:4" ht="15" customHeight="1" x14ac:dyDescent="0.2">
      <c r="A477" s="155" t="s">
        <v>276</v>
      </c>
      <c r="B477" s="156">
        <v>1425</v>
      </c>
      <c r="C477" s="155" t="s">
        <v>4</v>
      </c>
      <c r="D477" s="157" t="s">
        <v>5</v>
      </c>
    </row>
    <row r="478" spans="1:4" ht="15" customHeight="1" x14ac:dyDescent="0.2">
      <c r="A478" s="155" t="s">
        <v>1315</v>
      </c>
      <c r="B478" s="156">
        <v>262861</v>
      </c>
      <c r="C478" s="155" t="s">
        <v>4</v>
      </c>
      <c r="D478" s="157" t="s">
        <v>5</v>
      </c>
    </row>
    <row r="479" spans="1:4" ht="15" customHeight="1" x14ac:dyDescent="0.2">
      <c r="A479" s="155" t="s">
        <v>268</v>
      </c>
      <c r="B479" s="156">
        <v>125</v>
      </c>
      <c r="C479" s="155" t="s">
        <v>4</v>
      </c>
      <c r="D479" s="157" t="s">
        <v>5</v>
      </c>
    </row>
    <row r="480" spans="1:4" ht="15" customHeight="1" x14ac:dyDescent="0.2">
      <c r="A480" s="155" t="s">
        <v>1307</v>
      </c>
      <c r="B480" s="156">
        <v>2000</v>
      </c>
      <c r="C480" s="155" t="s">
        <v>4</v>
      </c>
      <c r="D480" s="157" t="s">
        <v>5</v>
      </c>
    </row>
    <row r="481" spans="1:4" ht="15" customHeight="1" x14ac:dyDescent="0.2">
      <c r="A481" s="155" t="s">
        <v>327</v>
      </c>
      <c r="B481" s="156">
        <v>125</v>
      </c>
      <c r="C481" s="155" t="s">
        <v>4</v>
      </c>
      <c r="D481" s="157" t="s">
        <v>5</v>
      </c>
    </row>
    <row r="482" spans="1:4" ht="15" customHeight="1" x14ac:dyDescent="0.2">
      <c r="A482" s="155" t="s">
        <v>1365</v>
      </c>
      <c r="B482" s="156">
        <v>125</v>
      </c>
      <c r="C482" s="155" t="s">
        <v>4</v>
      </c>
      <c r="D482" s="157" t="s">
        <v>5</v>
      </c>
    </row>
    <row r="483" spans="1:4" ht="15" customHeight="1" x14ac:dyDescent="0.2">
      <c r="A483" s="155" t="s">
        <v>318</v>
      </c>
      <c r="B483" s="156">
        <v>125</v>
      </c>
      <c r="C483" s="155" t="s">
        <v>4</v>
      </c>
      <c r="D483" s="157" t="s">
        <v>5</v>
      </c>
    </row>
    <row r="484" spans="1:4" ht="15" customHeight="1" x14ac:dyDescent="0.2">
      <c r="A484" s="155" t="s">
        <v>1357</v>
      </c>
      <c r="B484" s="156">
        <v>125</v>
      </c>
      <c r="C484" s="155" t="s">
        <v>4</v>
      </c>
      <c r="D484" s="157" t="s">
        <v>5</v>
      </c>
    </row>
    <row r="485" spans="1:4" ht="15" customHeight="1" x14ac:dyDescent="0.2">
      <c r="A485" s="155" t="s">
        <v>310</v>
      </c>
      <c r="B485" s="156">
        <v>525</v>
      </c>
      <c r="C485" s="155" t="s">
        <v>4</v>
      </c>
      <c r="D485" s="157" t="s">
        <v>5</v>
      </c>
    </row>
    <row r="486" spans="1:4" ht="15" customHeight="1" x14ac:dyDescent="0.2">
      <c r="A486" s="155" t="s">
        <v>1349</v>
      </c>
      <c r="B486" s="156">
        <v>125</v>
      </c>
      <c r="C486" s="155" t="s">
        <v>4</v>
      </c>
      <c r="D486" s="157" t="s">
        <v>5</v>
      </c>
    </row>
    <row r="487" spans="1:4" ht="15" customHeight="1" x14ac:dyDescent="0.2">
      <c r="A487" s="155" t="s">
        <v>302</v>
      </c>
      <c r="B487" s="156">
        <v>50</v>
      </c>
      <c r="C487" s="155" t="s">
        <v>4</v>
      </c>
      <c r="D487" s="157" t="s">
        <v>5</v>
      </c>
    </row>
    <row r="488" spans="1:4" ht="15" customHeight="1" x14ac:dyDescent="0.2">
      <c r="A488" s="155" t="s">
        <v>1341</v>
      </c>
      <c r="B488" s="156">
        <v>125</v>
      </c>
      <c r="C488" s="155" t="s">
        <v>4</v>
      </c>
      <c r="D488" s="157" t="s">
        <v>5</v>
      </c>
    </row>
    <row r="489" spans="1:4" ht="15" customHeight="1" x14ac:dyDescent="0.2">
      <c r="A489" s="155" t="s">
        <v>359</v>
      </c>
      <c r="B489" s="156">
        <v>25</v>
      </c>
      <c r="C489" s="155" t="s">
        <v>4</v>
      </c>
      <c r="D489" s="157" t="s">
        <v>5</v>
      </c>
    </row>
    <row r="490" spans="1:4" ht="15" customHeight="1" x14ac:dyDescent="0.2">
      <c r="A490" s="155" t="s">
        <v>1398</v>
      </c>
      <c r="B490" s="156">
        <v>25</v>
      </c>
      <c r="C490" s="155" t="s">
        <v>4</v>
      </c>
      <c r="D490" s="157" t="s">
        <v>5</v>
      </c>
    </row>
    <row r="491" spans="1:4" ht="15" customHeight="1" x14ac:dyDescent="0.2">
      <c r="A491" s="155" t="s">
        <v>351</v>
      </c>
      <c r="B491" s="156">
        <v>25</v>
      </c>
      <c r="C491" s="155" t="s">
        <v>4</v>
      </c>
      <c r="D491" s="157" t="s">
        <v>5</v>
      </c>
    </row>
    <row r="492" spans="1:4" ht="15" customHeight="1" x14ac:dyDescent="0.2">
      <c r="A492" s="155" t="s">
        <v>1390</v>
      </c>
      <c r="B492" s="156">
        <v>25</v>
      </c>
      <c r="C492" s="155" t="s">
        <v>4</v>
      </c>
      <c r="D492" s="157" t="s">
        <v>5</v>
      </c>
    </row>
    <row r="493" spans="1:4" ht="15" customHeight="1" x14ac:dyDescent="0.2">
      <c r="A493" s="155" t="s">
        <v>343</v>
      </c>
      <c r="B493" s="156">
        <v>25</v>
      </c>
      <c r="C493" s="155" t="s">
        <v>4</v>
      </c>
      <c r="D493" s="157" t="s">
        <v>5</v>
      </c>
    </row>
    <row r="494" spans="1:4" ht="15" customHeight="1" x14ac:dyDescent="0.2">
      <c r="A494" s="155" t="s">
        <v>1382</v>
      </c>
      <c r="B494" s="156">
        <v>25</v>
      </c>
      <c r="C494" s="155" t="s">
        <v>4</v>
      </c>
      <c r="D494" s="157" t="s">
        <v>5</v>
      </c>
    </row>
    <row r="495" spans="1:4" ht="15" customHeight="1" x14ac:dyDescent="0.2">
      <c r="A495" s="155" t="s">
        <v>335</v>
      </c>
      <c r="B495" s="156">
        <v>125</v>
      </c>
      <c r="C495" s="155" t="s">
        <v>4</v>
      </c>
      <c r="D495" s="157" t="s">
        <v>5</v>
      </c>
    </row>
    <row r="496" spans="1:4" ht="15" customHeight="1" x14ac:dyDescent="0.2">
      <c r="A496" s="155" t="s">
        <v>1374</v>
      </c>
      <c r="B496" s="156">
        <v>125</v>
      </c>
      <c r="C496" s="155" t="s">
        <v>4</v>
      </c>
      <c r="D496" s="157" t="s">
        <v>5</v>
      </c>
    </row>
    <row r="497" spans="1:4" ht="15" customHeight="1" x14ac:dyDescent="0.2">
      <c r="A497" s="155" t="s">
        <v>386</v>
      </c>
      <c r="B497" s="156">
        <v>1294</v>
      </c>
      <c r="C497" s="155" t="s">
        <v>4</v>
      </c>
      <c r="D497" s="157" t="s">
        <v>5</v>
      </c>
    </row>
    <row r="498" spans="1:4" ht="15" customHeight="1" x14ac:dyDescent="0.2">
      <c r="A498" s="155" t="s">
        <v>1425</v>
      </c>
      <c r="B498" s="156">
        <v>3400</v>
      </c>
      <c r="C498" s="155" t="s">
        <v>4</v>
      </c>
      <c r="D498" s="157" t="s">
        <v>5</v>
      </c>
    </row>
    <row r="499" spans="1:4" ht="15" customHeight="1" x14ac:dyDescent="0.2">
      <c r="A499" s="155" t="s">
        <v>378</v>
      </c>
      <c r="B499" s="156">
        <v>125</v>
      </c>
      <c r="C499" s="155" t="s">
        <v>4</v>
      </c>
      <c r="D499" s="157" t="s">
        <v>5</v>
      </c>
    </row>
    <row r="500" spans="1:4" ht="15" customHeight="1" x14ac:dyDescent="0.2">
      <c r="A500" s="155" t="s">
        <v>1417</v>
      </c>
      <c r="B500" s="156">
        <v>125</v>
      </c>
      <c r="C500" s="155" t="s">
        <v>4</v>
      </c>
      <c r="D500" s="157" t="s">
        <v>5</v>
      </c>
    </row>
    <row r="501" spans="1:4" ht="15" customHeight="1" x14ac:dyDescent="0.2">
      <c r="A501" s="155" t="s">
        <v>370</v>
      </c>
      <c r="B501" s="156">
        <v>225</v>
      </c>
      <c r="C501" s="155" t="s">
        <v>4</v>
      </c>
      <c r="D501" s="157" t="s">
        <v>5</v>
      </c>
    </row>
    <row r="502" spans="1:4" ht="15" customHeight="1" x14ac:dyDescent="0.2">
      <c r="A502" s="155" t="s">
        <v>1409</v>
      </c>
      <c r="B502" s="156">
        <v>125</v>
      </c>
      <c r="C502" s="155" t="s">
        <v>4</v>
      </c>
      <c r="D502" s="157" t="s">
        <v>5</v>
      </c>
    </row>
    <row r="503" spans="1:4" ht="15" customHeight="1" x14ac:dyDescent="0.2">
      <c r="A503" s="155" t="s">
        <v>362</v>
      </c>
      <c r="B503" s="156">
        <v>6100</v>
      </c>
      <c r="C503" s="155" t="s">
        <v>4</v>
      </c>
      <c r="D503" s="157" t="s">
        <v>5</v>
      </c>
    </row>
    <row r="504" spans="1:4" ht="15" customHeight="1" x14ac:dyDescent="0.2">
      <c r="A504" s="155" t="s">
        <v>1406</v>
      </c>
      <c r="B504" s="156">
        <v>125</v>
      </c>
      <c r="C504" s="155" t="s">
        <v>4</v>
      </c>
      <c r="D504" s="157" t="s">
        <v>5</v>
      </c>
    </row>
    <row r="505" spans="1:4" ht="15" customHeight="1" x14ac:dyDescent="0.2">
      <c r="A505" s="155" t="s">
        <v>419</v>
      </c>
      <c r="B505" s="156">
        <v>125</v>
      </c>
      <c r="C505" s="155" t="s">
        <v>4</v>
      </c>
      <c r="D505" s="157" t="s">
        <v>5</v>
      </c>
    </row>
    <row r="506" spans="1:4" ht="15" customHeight="1" x14ac:dyDescent="0.2">
      <c r="A506" s="155" t="s">
        <v>1458</v>
      </c>
      <c r="B506" s="156">
        <v>125</v>
      </c>
      <c r="C506" s="155" t="s">
        <v>4</v>
      </c>
      <c r="D506" s="157" t="s">
        <v>5</v>
      </c>
    </row>
    <row r="507" spans="1:4" ht="15" customHeight="1" x14ac:dyDescent="0.2">
      <c r="A507" s="155" t="s">
        <v>411</v>
      </c>
      <c r="B507" s="156">
        <v>125</v>
      </c>
      <c r="C507" s="155" t="s">
        <v>4</v>
      </c>
      <c r="D507" s="157" t="s">
        <v>5</v>
      </c>
    </row>
    <row r="508" spans="1:4" ht="15" customHeight="1" x14ac:dyDescent="0.2">
      <c r="A508" s="155" t="s">
        <v>1450</v>
      </c>
      <c r="B508" s="156">
        <v>500</v>
      </c>
      <c r="C508" s="155" t="s">
        <v>4</v>
      </c>
      <c r="D508" s="157" t="s">
        <v>5</v>
      </c>
    </row>
    <row r="509" spans="1:4" ht="15" customHeight="1" x14ac:dyDescent="0.2">
      <c r="A509" s="155" t="s">
        <v>402</v>
      </c>
      <c r="B509" s="156">
        <v>125</v>
      </c>
      <c r="C509" s="155" t="s">
        <v>4</v>
      </c>
      <c r="D509" s="157" t="s">
        <v>5</v>
      </c>
    </row>
    <row r="510" spans="1:4" ht="15" customHeight="1" x14ac:dyDescent="0.2">
      <c r="A510" s="155" t="s">
        <v>1441</v>
      </c>
      <c r="B510" s="156">
        <v>50</v>
      </c>
      <c r="C510" s="155" t="s">
        <v>4</v>
      </c>
      <c r="D510" s="157" t="s">
        <v>5</v>
      </c>
    </row>
    <row r="511" spans="1:4" ht="15" customHeight="1" x14ac:dyDescent="0.2">
      <c r="A511" s="155" t="s">
        <v>394</v>
      </c>
      <c r="B511" s="156">
        <v>125</v>
      </c>
      <c r="C511" s="155" t="s">
        <v>4</v>
      </c>
      <c r="D511" s="157" t="s">
        <v>5</v>
      </c>
    </row>
    <row r="512" spans="1:4" ht="15" customHeight="1" x14ac:dyDescent="0.2">
      <c r="A512" s="155" t="s">
        <v>1433</v>
      </c>
      <c r="B512" s="156">
        <v>150</v>
      </c>
      <c r="C512" s="155" t="s">
        <v>4</v>
      </c>
      <c r="D512" s="157" t="s">
        <v>5</v>
      </c>
    </row>
    <row r="513" spans="1:4" ht="15" customHeight="1" x14ac:dyDescent="0.2">
      <c r="A513" s="155" t="s">
        <v>948</v>
      </c>
      <c r="B513" s="156">
        <v>125</v>
      </c>
      <c r="C513" s="155" t="s">
        <v>4</v>
      </c>
      <c r="D513" s="157" t="s">
        <v>5</v>
      </c>
    </row>
    <row r="514" spans="1:4" ht="15" customHeight="1" x14ac:dyDescent="0.2">
      <c r="A514" s="155" t="s">
        <v>1987</v>
      </c>
      <c r="B514" s="156">
        <v>125</v>
      </c>
      <c r="C514" s="155" t="s">
        <v>4</v>
      </c>
      <c r="D514" s="157" t="s">
        <v>5</v>
      </c>
    </row>
    <row r="515" spans="1:4" ht="15" customHeight="1" x14ac:dyDescent="0.2">
      <c r="A515" s="155" t="s">
        <v>940</v>
      </c>
      <c r="B515" s="156">
        <v>1025</v>
      </c>
      <c r="C515" s="155" t="s">
        <v>4</v>
      </c>
      <c r="D515" s="157" t="s">
        <v>5</v>
      </c>
    </row>
    <row r="516" spans="1:4" ht="15" customHeight="1" x14ac:dyDescent="0.2">
      <c r="A516" s="155" t="s">
        <v>1979</v>
      </c>
      <c r="B516" s="156">
        <v>125</v>
      </c>
      <c r="C516" s="155" t="s">
        <v>4</v>
      </c>
      <c r="D516" s="157" t="s">
        <v>5</v>
      </c>
    </row>
    <row r="517" spans="1:4" ht="15" customHeight="1" x14ac:dyDescent="0.2">
      <c r="A517" s="155" t="s">
        <v>932</v>
      </c>
      <c r="B517" s="156">
        <v>125</v>
      </c>
      <c r="C517" s="155" t="s">
        <v>4</v>
      </c>
      <c r="D517" s="157" t="s">
        <v>5</v>
      </c>
    </row>
    <row r="518" spans="1:4" ht="15" customHeight="1" x14ac:dyDescent="0.2">
      <c r="A518" s="155" t="s">
        <v>1971</v>
      </c>
      <c r="B518" s="156">
        <v>75</v>
      </c>
      <c r="C518" s="155" t="s">
        <v>4</v>
      </c>
      <c r="D518" s="157" t="s">
        <v>5</v>
      </c>
    </row>
    <row r="519" spans="1:4" ht="15" customHeight="1" x14ac:dyDescent="0.2">
      <c r="A519" s="155" t="s">
        <v>924</v>
      </c>
      <c r="B519" s="156">
        <v>125</v>
      </c>
      <c r="C519" s="155" t="s">
        <v>4</v>
      </c>
      <c r="D519" s="157" t="s">
        <v>5</v>
      </c>
    </row>
    <row r="520" spans="1:4" ht="15" customHeight="1" x14ac:dyDescent="0.2">
      <c r="A520" s="155" t="s">
        <v>1963</v>
      </c>
      <c r="B520" s="156">
        <v>125</v>
      </c>
      <c r="C520" s="155" t="s">
        <v>4</v>
      </c>
      <c r="D520" s="157" t="s">
        <v>5</v>
      </c>
    </row>
    <row r="521" spans="1:4" ht="15" customHeight="1" x14ac:dyDescent="0.2">
      <c r="A521" s="155" t="s">
        <v>979</v>
      </c>
      <c r="B521" s="156">
        <v>125</v>
      </c>
      <c r="C521" s="155" t="s">
        <v>4</v>
      </c>
      <c r="D521" s="157" t="s">
        <v>5</v>
      </c>
    </row>
    <row r="522" spans="1:4" ht="15" customHeight="1" x14ac:dyDescent="0.2">
      <c r="A522" s="155" t="s">
        <v>2018</v>
      </c>
      <c r="B522" s="156">
        <v>25</v>
      </c>
      <c r="C522" s="155" t="s">
        <v>4</v>
      </c>
      <c r="D522" s="157" t="s">
        <v>5</v>
      </c>
    </row>
    <row r="523" spans="1:4" ht="15" customHeight="1" x14ac:dyDescent="0.2">
      <c r="A523" s="155" t="s">
        <v>971</v>
      </c>
      <c r="B523" s="158">
        <v>9958.48</v>
      </c>
      <c r="C523" s="155" t="s">
        <v>4</v>
      </c>
      <c r="D523" s="157" t="s">
        <v>5</v>
      </c>
    </row>
    <row r="524" spans="1:4" ht="15" customHeight="1" x14ac:dyDescent="0.2">
      <c r="A524" s="155" t="s">
        <v>2010</v>
      </c>
      <c r="B524" s="159">
        <v>7.5</v>
      </c>
      <c r="C524" s="155" t="s">
        <v>4</v>
      </c>
      <c r="D524" s="157" t="s">
        <v>5</v>
      </c>
    </row>
    <row r="525" spans="1:4" ht="15" customHeight="1" x14ac:dyDescent="0.2">
      <c r="A525" s="155" t="s">
        <v>963</v>
      </c>
      <c r="B525" s="156">
        <v>50</v>
      </c>
      <c r="C525" s="155" t="s">
        <v>4</v>
      </c>
      <c r="D525" s="157" t="s">
        <v>5</v>
      </c>
    </row>
    <row r="526" spans="1:4" ht="15" customHeight="1" x14ac:dyDescent="0.2">
      <c r="A526" s="155" t="s">
        <v>2002</v>
      </c>
      <c r="B526" s="156">
        <v>125</v>
      </c>
      <c r="C526" s="155" t="s">
        <v>4</v>
      </c>
      <c r="D526" s="157" t="s">
        <v>5</v>
      </c>
    </row>
    <row r="527" spans="1:4" ht="15" customHeight="1" x14ac:dyDescent="0.2">
      <c r="A527" s="155" t="s">
        <v>956</v>
      </c>
      <c r="B527" s="156">
        <v>125</v>
      </c>
      <c r="C527" s="155" t="s">
        <v>4</v>
      </c>
      <c r="D527" s="157" t="s">
        <v>5</v>
      </c>
    </row>
    <row r="528" spans="1:4" ht="15" customHeight="1" x14ac:dyDescent="0.2">
      <c r="A528" s="155" t="s">
        <v>1995</v>
      </c>
      <c r="B528" s="156">
        <v>125</v>
      </c>
      <c r="C528" s="155" t="s">
        <v>4</v>
      </c>
      <c r="D528" s="157" t="s">
        <v>5</v>
      </c>
    </row>
    <row r="529" spans="1:4" ht="15" customHeight="1" x14ac:dyDescent="0.2">
      <c r="A529" s="155" t="s">
        <v>1015</v>
      </c>
      <c r="B529" s="162">
        <v>1461.202</v>
      </c>
      <c r="C529" s="155" t="s">
        <v>4</v>
      </c>
      <c r="D529" s="157" t="s">
        <v>5</v>
      </c>
    </row>
    <row r="530" spans="1:4" ht="15" customHeight="1" x14ac:dyDescent="0.2">
      <c r="A530" s="155" t="s">
        <v>2051</v>
      </c>
      <c r="B530" s="156">
        <v>125</v>
      </c>
      <c r="C530" s="155" t="s">
        <v>4</v>
      </c>
      <c r="D530" s="157" t="s">
        <v>5</v>
      </c>
    </row>
    <row r="531" spans="1:4" ht="15" customHeight="1" x14ac:dyDescent="0.2">
      <c r="A531" s="155" t="s">
        <v>1004</v>
      </c>
      <c r="B531" s="156">
        <v>125</v>
      </c>
      <c r="C531" s="155" t="s">
        <v>4</v>
      </c>
      <c r="D531" s="157" t="s">
        <v>5</v>
      </c>
    </row>
    <row r="532" spans="1:4" ht="15" customHeight="1" x14ac:dyDescent="0.2">
      <c r="A532" s="155" t="s">
        <v>2043</v>
      </c>
      <c r="B532" s="156">
        <v>125</v>
      </c>
      <c r="C532" s="155" t="s">
        <v>4</v>
      </c>
      <c r="D532" s="157" t="s">
        <v>5</v>
      </c>
    </row>
    <row r="533" spans="1:4" ht="15" customHeight="1" x14ac:dyDescent="0.2">
      <c r="A533" s="155" t="s">
        <v>996</v>
      </c>
      <c r="B533" s="156">
        <v>800</v>
      </c>
      <c r="C533" s="155" t="s">
        <v>4</v>
      </c>
      <c r="D533" s="157" t="s">
        <v>5</v>
      </c>
    </row>
    <row r="534" spans="1:4" ht="15" customHeight="1" x14ac:dyDescent="0.2">
      <c r="A534" s="155" t="s">
        <v>2035</v>
      </c>
      <c r="B534" s="156">
        <v>125</v>
      </c>
      <c r="C534" s="155" t="s">
        <v>4</v>
      </c>
      <c r="D534" s="157" t="s">
        <v>5</v>
      </c>
    </row>
    <row r="535" spans="1:4" ht="15" customHeight="1" x14ac:dyDescent="0.2">
      <c r="A535" s="155" t="s">
        <v>987</v>
      </c>
      <c r="B535" s="156">
        <v>121625</v>
      </c>
      <c r="C535" s="155" t="s">
        <v>4</v>
      </c>
      <c r="D535" s="157" t="s">
        <v>5</v>
      </c>
    </row>
    <row r="536" spans="1:4" ht="15" customHeight="1" x14ac:dyDescent="0.2">
      <c r="A536" s="155" t="s">
        <v>2026</v>
      </c>
      <c r="B536" s="156">
        <v>150</v>
      </c>
      <c r="C536" s="155" t="s">
        <v>4</v>
      </c>
      <c r="D536" s="157" t="s">
        <v>5</v>
      </c>
    </row>
    <row r="537" spans="1:4" ht="15" customHeight="1" x14ac:dyDescent="0.2">
      <c r="A537" s="155" t="s">
        <v>1047</v>
      </c>
      <c r="B537" s="156">
        <v>50</v>
      </c>
      <c r="C537" s="155" t="s">
        <v>4</v>
      </c>
      <c r="D537" s="157" t="s">
        <v>5</v>
      </c>
    </row>
    <row r="538" spans="1:4" ht="15" customHeight="1" x14ac:dyDescent="0.2">
      <c r="A538" s="155" t="s">
        <v>2083</v>
      </c>
      <c r="B538" s="156">
        <v>3800</v>
      </c>
      <c r="C538" s="155" t="s">
        <v>4</v>
      </c>
      <c r="D538" s="157" t="s">
        <v>5</v>
      </c>
    </row>
    <row r="539" spans="1:4" ht="15" customHeight="1" x14ac:dyDescent="0.2">
      <c r="A539" s="155" t="s">
        <v>1039</v>
      </c>
      <c r="B539" s="156">
        <v>2225</v>
      </c>
      <c r="C539" s="155" t="s">
        <v>4</v>
      </c>
      <c r="D539" s="157" t="s">
        <v>5</v>
      </c>
    </row>
    <row r="540" spans="1:4" ht="15" customHeight="1" x14ac:dyDescent="0.2">
      <c r="A540" s="155" t="s">
        <v>2075</v>
      </c>
      <c r="B540" s="156">
        <v>125</v>
      </c>
      <c r="C540" s="155" t="s">
        <v>4</v>
      </c>
      <c r="D540" s="157" t="s">
        <v>5</v>
      </c>
    </row>
    <row r="541" spans="1:4" ht="15" customHeight="1" x14ac:dyDescent="0.2">
      <c r="A541" s="155" t="s">
        <v>1031</v>
      </c>
      <c r="B541" s="156">
        <v>125</v>
      </c>
      <c r="C541" s="155" t="s">
        <v>4</v>
      </c>
      <c r="D541" s="157" t="s">
        <v>5</v>
      </c>
    </row>
    <row r="542" spans="1:4" ht="15" customHeight="1" x14ac:dyDescent="0.2">
      <c r="A542" s="155" t="s">
        <v>2067</v>
      </c>
      <c r="B542" s="156">
        <v>125</v>
      </c>
      <c r="C542" s="155" t="s">
        <v>4</v>
      </c>
      <c r="D542" s="157" t="s">
        <v>5</v>
      </c>
    </row>
    <row r="543" spans="1:4" ht="15" customHeight="1" x14ac:dyDescent="0.2">
      <c r="A543" s="155" t="s">
        <v>1023</v>
      </c>
      <c r="B543" s="156">
        <v>500</v>
      </c>
      <c r="C543" s="155" t="s">
        <v>4</v>
      </c>
      <c r="D543" s="157" t="s">
        <v>5</v>
      </c>
    </row>
    <row r="544" spans="1:4" ht="15" customHeight="1" x14ac:dyDescent="0.2">
      <c r="A544" s="155" t="s">
        <v>2059</v>
      </c>
      <c r="B544" s="156">
        <v>25</v>
      </c>
      <c r="C544" s="155" t="s">
        <v>4</v>
      </c>
      <c r="D544" s="157" t="s">
        <v>5</v>
      </c>
    </row>
    <row r="545" spans="1:4" ht="15" customHeight="1" x14ac:dyDescent="0.2">
      <c r="A545" s="155" t="s">
        <v>1080</v>
      </c>
      <c r="B545" s="156">
        <v>25</v>
      </c>
      <c r="C545" s="155" t="s">
        <v>4</v>
      </c>
      <c r="D545" s="157" t="s">
        <v>5</v>
      </c>
    </row>
    <row r="546" spans="1:4" ht="15" customHeight="1" x14ac:dyDescent="0.2">
      <c r="A546" s="155" t="s">
        <v>35</v>
      </c>
      <c r="B546" s="156">
        <v>25</v>
      </c>
      <c r="C546" s="155" t="s">
        <v>4</v>
      </c>
      <c r="D546" s="157" t="s">
        <v>5</v>
      </c>
    </row>
    <row r="547" spans="1:4" ht="15" customHeight="1" x14ac:dyDescent="0.2">
      <c r="A547" s="155" t="s">
        <v>1071</v>
      </c>
      <c r="B547" s="156">
        <v>25</v>
      </c>
      <c r="C547" s="155" t="s">
        <v>4</v>
      </c>
      <c r="D547" s="157" t="s">
        <v>5</v>
      </c>
    </row>
    <row r="548" spans="1:4" ht="15" customHeight="1" x14ac:dyDescent="0.2">
      <c r="A548" s="155" t="s">
        <v>26</v>
      </c>
      <c r="B548" s="156">
        <v>25</v>
      </c>
      <c r="C548" s="155" t="s">
        <v>4</v>
      </c>
      <c r="D548" s="157" t="s">
        <v>5</v>
      </c>
    </row>
    <row r="549" spans="1:4" ht="15" customHeight="1" x14ac:dyDescent="0.2">
      <c r="A549" s="155" t="s">
        <v>1063</v>
      </c>
      <c r="B549" s="156">
        <v>25</v>
      </c>
      <c r="C549" s="155" t="s">
        <v>4</v>
      </c>
      <c r="D549" s="157" t="s">
        <v>5</v>
      </c>
    </row>
    <row r="550" spans="1:4" ht="15" customHeight="1" x14ac:dyDescent="0.2">
      <c r="A550" s="155" t="s">
        <v>18</v>
      </c>
      <c r="B550" s="156">
        <v>25</v>
      </c>
      <c r="C550" s="155" t="s">
        <v>4</v>
      </c>
      <c r="D550" s="157" t="s">
        <v>5</v>
      </c>
    </row>
    <row r="551" spans="1:4" ht="15" customHeight="1" x14ac:dyDescent="0.2">
      <c r="A551" s="155" t="s">
        <v>1055</v>
      </c>
      <c r="B551" s="156">
        <v>25</v>
      </c>
      <c r="C551" s="155" t="s">
        <v>4</v>
      </c>
      <c r="D551" s="157" t="s">
        <v>5</v>
      </c>
    </row>
    <row r="552" spans="1:4" ht="15" customHeight="1" x14ac:dyDescent="0.2">
      <c r="A552" s="155" t="s">
        <v>10</v>
      </c>
      <c r="B552" s="156">
        <v>25</v>
      </c>
      <c r="C552" s="155" t="s">
        <v>4</v>
      </c>
      <c r="D552" s="157" t="s">
        <v>5</v>
      </c>
    </row>
    <row r="553" spans="1:4" ht="15" customHeight="1" x14ac:dyDescent="0.2">
      <c r="A553" s="155" t="s">
        <v>1117</v>
      </c>
      <c r="B553" s="156">
        <v>25</v>
      </c>
      <c r="C553" s="155" t="s">
        <v>4</v>
      </c>
      <c r="D553" s="157" t="s">
        <v>5</v>
      </c>
    </row>
    <row r="554" spans="1:4" ht="15" customHeight="1" x14ac:dyDescent="0.2">
      <c r="A554" s="155" t="s">
        <v>72</v>
      </c>
      <c r="B554" s="156">
        <v>25</v>
      </c>
      <c r="C554" s="155" t="s">
        <v>4</v>
      </c>
      <c r="D554" s="157" t="s">
        <v>5</v>
      </c>
    </row>
    <row r="555" spans="1:4" ht="15" customHeight="1" x14ac:dyDescent="0.2">
      <c r="A555" s="155" t="s">
        <v>1107</v>
      </c>
      <c r="B555" s="156">
        <v>25</v>
      </c>
      <c r="C555" s="155" t="s">
        <v>4</v>
      </c>
      <c r="D555" s="157" t="s">
        <v>5</v>
      </c>
    </row>
    <row r="556" spans="1:4" ht="15" customHeight="1" x14ac:dyDescent="0.2">
      <c r="A556" s="155" t="s">
        <v>62</v>
      </c>
      <c r="B556" s="156">
        <v>25</v>
      </c>
      <c r="C556" s="155" t="s">
        <v>4</v>
      </c>
      <c r="D556" s="157" t="s">
        <v>5</v>
      </c>
    </row>
    <row r="557" spans="1:4" ht="15" customHeight="1" x14ac:dyDescent="0.2">
      <c r="A557" s="155" t="s">
        <v>1098</v>
      </c>
      <c r="B557" s="156">
        <v>25</v>
      </c>
      <c r="C557" s="155" t="s">
        <v>4</v>
      </c>
      <c r="D557" s="157" t="s">
        <v>5</v>
      </c>
    </row>
    <row r="558" spans="1:4" ht="15" customHeight="1" x14ac:dyDescent="0.2">
      <c r="A558" s="155" t="s">
        <v>53</v>
      </c>
      <c r="B558" s="156">
        <v>125</v>
      </c>
      <c r="C558" s="155" t="s">
        <v>4</v>
      </c>
      <c r="D558" s="157" t="s">
        <v>5</v>
      </c>
    </row>
    <row r="559" spans="1:4" ht="15" customHeight="1" x14ac:dyDescent="0.2">
      <c r="A559" s="155" t="s">
        <v>1089</v>
      </c>
      <c r="B559" s="156">
        <v>75</v>
      </c>
      <c r="C559" s="155" t="s">
        <v>4</v>
      </c>
      <c r="D559" s="157" t="s">
        <v>5</v>
      </c>
    </row>
    <row r="560" spans="1:4" ht="15" customHeight="1" x14ac:dyDescent="0.2">
      <c r="A560" s="155" t="s">
        <v>44</v>
      </c>
      <c r="B560" s="156">
        <v>125</v>
      </c>
      <c r="C560" s="155" t="s">
        <v>4</v>
      </c>
      <c r="D560" s="157" t="s">
        <v>5</v>
      </c>
    </row>
    <row r="561" spans="1:4" ht="15" customHeight="1" x14ac:dyDescent="0.2">
      <c r="A561" s="155" t="s">
        <v>1153</v>
      </c>
      <c r="B561" s="156">
        <v>525</v>
      </c>
      <c r="C561" s="155" t="s">
        <v>4</v>
      </c>
      <c r="D561" s="157" t="s">
        <v>5</v>
      </c>
    </row>
    <row r="562" spans="1:4" ht="15" customHeight="1" x14ac:dyDescent="0.2">
      <c r="A562" s="155" t="s">
        <v>108</v>
      </c>
      <c r="B562" s="156">
        <v>1125</v>
      </c>
      <c r="C562" s="155" t="s">
        <v>4</v>
      </c>
      <c r="D562" s="157" t="s">
        <v>5</v>
      </c>
    </row>
    <row r="563" spans="1:4" ht="15" customHeight="1" x14ac:dyDescent="0.2">
      <c r="A563" s="155" t="s">
        <v>1144</v>
      </c>
      <c r="B563" s="156">
        <v>125</v>
      </c>
      <c r="C563" s="155" t="s">
        <v>4</v>
      </c>
      <c r="D563" s="157" t="s">
        <v>5</v>
      </c>
    </row>
    <row r="564" spans="1:4" ht="15" customHeight="1" x14ac:dyDescent="0.2">
      <c r="A564" s="155" t="s">
        <v>99</v>
      </c>
      <c r="B564" s="156">
        <v>125</v>
      </c>
      <c r="C564" s="155" t="s">
        <v>4</v>
      </c>
      <c r="D564" s="157" t="s">
        <v>5</v>
      </c>
    </row>
    <row r="565" spans="1:4" ht="15" customHeight="1" x14ac:dyDescent="0.2">
      <c r="A565" s="155" t="s">
        <v>1135</v>
      </c>
      <c r="B565" s="156">
        <v>125</v>
      </c>
      <c r="C565" s="155" t="s">
        <v>4</v>
      </c>
      <c r="D565" s="157" t="s">
        <v>5</v>
      </c>
    </row>
    <row r="566" spans="1:4" ht="15" customHeight="1" x14ac:dyDescent="0.2">
      <c r="A566" s="155" t="s">
        <v>90</v>
      </c>
      <c r="B566" s="156">
        <v>125</v>
      </c>
      <c r="C566" s="155" t="s">
        <v>4</v>
      </c>
      <c r="D566" s="157" t="s">
        <v>5</v>
      </c>
    </row>
    <row r="567" spans="1:4" ht="15" customHeight="1" x14ac:dyDescent="0.2">
      <c r="A567" s="155" t="s">
        <v>1126</v>
      </c>
      <c r="B567" s="156">
        <v>200</v>
      </c>
      <c r="C567" s="155" t="s">
        <v>4</v>
      </c>
      <c r="D567" s="157" t="s">
        <v>5</v>
      </c>
    </row>
    <row r="568" spans="1:4" ht="15" customHeight="1" x14ac:dyDescent="0.2">
      <c r="A568" s="155" t="s">
        <v>81</v>
      </c>
      <c r="B568" s="156">
        <v>125</v>
      </c>
      <c r="C568" s="155" t="s">
        <v>4</v>
      </c>
      <c r="D568" s="157" t="s">
        <v>5</v>
      </c>
    </row>
    <row r="569" spans="1:4" ht="15" customHeight="1" x14ac:dyDescent="0.2">
      <c r="A569" s="155" t="s">
        <v>1190</v>
      </c>
      <c r="B569" s="156">
        <v>57</v>
      </c>
      <c r="C569" s="155" t="s">
        <v>4</v>
      </c>
      <c r="D569" s="157" t="s">
        <v>5</v>
      </c>
    </row>
    <row r="570" spans="1:4" ht="15" customHeight="1" x14ac:dyDescent="0.2">
      <c r="A570" s="155" t="s">
        <v>145</v>
      </c>
      <c r="B570" s="156">
        <v>125</v>
      </c>
      <c r="C570" s="155" t="s">
        <v>4</v>
      </c>
      <c r="D570" s="157" t="s">
        <v>5</v>
      </c>
    </row>
    <row r="571" spans="1:4" ht="15" customHeight="1" x14ac:dyDescent="0.2">
      <c r="A571" s="155" t="s">
        <v>1181</v>
      </c>
      <c r="B571" s="156">
        <v>125</v>
      </c>
      <c r="C571" s="155" t="s">
        <v>4</v>
      </c>
      <c r="D571" s="157" t="s">
        <v>5</v>
      </c>
    </row>
    <row r="572" spans="1:4" ht="15" customHeight="1" x14ac:dyDescent="0.2">
      <c r="A572" s="155" t="s">
        <v>136</v>
      </c>
      <c r="B572" s="156">
        <v>125</v>
      </c>
      <c r="C572" s="155" t="s">
        <v>4</v>
      </c>
      <c r="D572" s="157" t="s">
        <v>5</v>
      </c>
    </row>
    <row r="573" spans="1:4" ht="15" customHeight="1" x14ac:dyDescent="0.2">
      <c r="A573" s="155" t="s">
        <v>1172</v>
      </c>
      <c r="B573" s="156">
        <v>125</v>
      </c>
      <c r="C573" s="155" t="s">
        <v>4</v>
      </c>
      <c r="D573" s="157" t="s">
        <v>5</v>
      </c>
    </row>
    <row r="574" spans="1:4" ht="15" customHeight="1" x14ac:dyDescent="0.2">
      <c r="A574" s="155" t="s">
        <v>127</v>
      </c>
      <c r="B574" s="156">
        <v>50</v>
      </c>
      <c r="C574" s="155" t="s">
        <v>4</v>
      </c>
      <c r="D574" s="157" t="s">
        <v>5</v>
      </c>
    </row>
    <row r="575" spans="1:4" ht="15" customHeight="1" x14ac:dyDescent="0.2">
      <c r="A575" s="155" t="s">
        <v>1163</v>
      </c>
      <c r="B575" s="156">
        <v>26</v>
      </c>
      <c r="C575" s="155" t="s">
        <v>4</v>
      </c>
      <c r="D575" s="157" t="s">
        <v>5</v>
      </c>
    </row>
    <row r="576" spans="1:4" ht="15" customHeight="1" x14ac:dyDescent="0.2">
      <c r="A576" s="155" t="s">
        <v>117</v>
      </c>
      <c r="B576" s="156">
        <v>125</v>
      </c>
      <c r="C576" s="155" t="s">
        <v>4</v>
      </c>
      <c r="D576" s="157" t="s">
        <v>5</v>
      </c>
    </row>
    <row r="577" spans="1:4" ht="15" customHeight="1" x14ac:dyDescent="0.2">
      <c r="A577" s="155" t="s">
        <v>693</v>
      </c>
      <c r="B577" s="156">
        <v>125</v>
      </c>
      <c r="C577" s="155" t="s">
        <v>4</v>
      </c>
      <c r="D577" s="157" t="s">
        <v>5</v>
      </c>
    </row>
    <row r="578" spans="1:4" ht="15" customHeight="1" x14ac:dyDescent="0.2">
      <c r="A578" s="155" t="s">
        <v>1732</v>
      </c>
      <c r="B578" s="156">
        <v>125</v>
      </c>
      <c r="C578" s="155" t="s">
        <v>4</v>
      </c>
      <c r="D578" s="157" t="s">
        <v>5</v>
      </c>
    </row>
    <row r="579" spans="1:4" ht="15" customHeight="1" x14ac:dyDescent="0.2">
      <c r="A579" s="155" t="s">
        <v>686</v>
      </c>
      <c r="B579" s="156">
        <v>125</v>
      </c>
      <c r="C579" s="155" t="s">
        <v>4</v>
      </c>
      <c r="D579" s="157" t="s">
        <v>5</v>
      </c>
    </row>
    <row r="580" spans="1:4" ht="15" customHeight="1" x14ac:dyDescent="0.2">
      <c r="A580" s="155" t="s">
        <v>1725</v>
      </c>
      <c r="B580" s="156">
        <v>125</v>
      </c>
      <c r="C580" s="155" t="s">
        <v>4</v>
      </c>
      <c r="D580" s="157" t="s">
        <v>5</v>
      </c>
    </row>
    <row r="581" spans="1:4" ht="15" customHeight="1" x14ac:dyDescent="0.2">
      <c r="A581" s="155" t="s">
        <v>679</v>
      </c>
      <c r="B581" s="156">
        <v>125</v>
      </c>
      <c r="C581" s="155" t="s">
        <v>4</v>
      </c>
      <c r="D581" s="157" t="s">
        <v>5</v>
      </c>
    </row>
    <row r="582" spans="1:4" ht="15" customHeight="1" x14ac:dyDescent="0.2">
      <c r="A582" s="155" t="s">
        <v>1718</v>
      </c>
      <c r="B582" s="156">
        <v>43</v>
      </c>
      <c r="C582" s="155" t="s">
        <v>4</v>
      </c>
      <c r="D582" s="157" t="s">
        <v>5</v>
      </c>
    </row>
    <row r="583" spans="1:4" ht="15" customHeight="1" x14ac:dyDescent="0.2">
      <c r="A583" s="155" t="s">
        <v>671</v>
      </c>
      <c r="B583" s="156">
        <v>125</v>
      </c>
      <c r="C583" s="155" t="s">
        <v>4</v>
      </c>
      <c r="D583" s="157" t="s">
        <v>5</v>
      </c>
    </row>
    <row r="584" spans="1:4" ht="15" customHeight="1" x14ac:dyDescent="0.2">
      <c r="A584" s="155" t="s">
        <v>1710</v>
      </c>
      <c r="B584" s="156">
        <v>75</v>
      </c>
      <c r="C584" s="155" t="s">
        <v>4</v>
      </c>
      <c r="D584" s="157" t="s">
        <v>5</v>
      </c>
    </row>
    <row r="585" spans="1:4" ht="15" customHeight="1" x14ac:dyDescent="0.2">
      <c r="A585" s="155" t="s">
        <v>726</v>
      </c>
      <c r="B585" s="156">
        <v>125</v>
      </c>
      <c r="C585" s="155" t="s">
        <v>4</v>
      </c>
      <c r="D585" s="157" t="s">
        <v>5</v>
      </c>
    </row>
    <row r="586" spans="1:4" ht="15" customHeight="1" x14ac:dyDescent="0.2">
      <c r="A586" s="155" t="s">
        <v>1765</v>
      </c>
      <c r="B586" s="156">
        <v>125</v>
      </c>
      <c r="C586" s="155" t="s">
        <v>4</v>
      </c>
      <c r="D586" s="157" t="s">
        <v>5</v>
      </c>
    </row>
    <row r="587" spans="1:4" ht="15" customHeight="1" x14ac:dyDescent="0.2">
      <c r="A587" s="155" t="s">
        <v>718</v>
      </c>
      <c r="B587" s="156">
        <v>125</v>
      </c>
      <c r="C587" s="155" t="s">
        <v>4</v>
      </c>
      <c r="D587" s="157" t="s">
        <v>5</v>
      </c>
    </row>
    <row r="588" spans="1:4" ht="15" customHeight="1" x14ac:dyDescent="0.2">
      <c r="A588" s="155" t="s">
        <v>1757</v>
      </c>
      <c r="B588" s="156">
        <v>125</v>
      </c>
      <c r="C588" s="155" t="s">
        <v>4</v>
      </c>
      <c r="D588" s="157" t="s">
        <v>5</v>
      </c>
    </row>
    <row r="589" spans="1:4" ht="15" customHeight="1" x14ac:dyDescent="0.2">
      <c r="A589" s="155" t="s">
        <v>709</v>
      </c>
      <c r="B589" s="156">
        <v>125</v>
      </c>
      <c r="C589" s="155" t="s">
        <v>4</v>
      </c>
      <c r="D589" s="157" t="s">
        <v>5</v>
      </c>
    </row>
    <row r="590" spans="1:4" ht="15" customHeight="1" x14ac:dyDescent="0.2">
      <c r="A590" s="155" t="s">
        <v>1748</v>
      </c>
      <c r="B590" s="156">
        <v>75</v>
      </c>
      <c r="C590" s="155" t="s">
        <v>4</v>
      </c>
      <c r="D590" s="157" t="s">
        <v>5</v>
      </c>
    </row>
    <row r="591" spans="1:4" ht="15" customHeight="1" x14ac:dyDescent="0.2">
      <c r="A591" s="155" t="s">
        <v>701</v>
      </c>
      <c r="B591" s="156">
        <v>125</v>
      </c>
      <c r="C591" s="155" t="s">
        <v>4</v>
      </c>
      <c r="D591" s="157" t="s">
        <v>5</v>
      </c>
    </row>
    <row r="592" spans="1:4" ht="15" customHeight="1" x14ac:dyDescent="0.2">
      <c r="A592" s="155" t="s">
        <v>1740</v>
      </c>
      <c r="B592" s="156">
        <v>125</v>
      </c>
      <c r="C592" s="155" t="s">
        <v>4</v>
      </c>
      <c r="D592" s="157" t="s">
        <v>5</v>
      </c>
    </row>
    <row r="593" spans="1:4" ht="15" customHeight="1" x14ac:dyDescent="0.2">
      <c r="A593" s="155" t="s">
        <v>758</v>
      </c>
      <c r="B593" s="156">
        <v>125</v>
      </c>
      <c r="C593" s="155" t="s">
        <v>4</v>
      </c>
      <c r="D593" s="157" t="s">
        <v>5</v>
      </c>
    </row>
    <row r="594" spans="1:4" ht="15" customHeight="1" x14ac:dyDescent="0.2">
      <c r="A594" s="155" t="s">
        <v>1797</v>
      </c>
      <c r="B594" s="156">
        <v>25</v>
      </c>
      <c r="C594" s="155" t="s">
        <v>4</v>
      </c>
      <c r="D594" s="157" t="s">
        <v>5</v>
      </c>
    </row>
    <row r="595" spans="1:4" ht="15" customHeight="1" x14ac:dyDescent="0.2">
      <c r="A595" s="155" t="s">
        <v>750</v>
      </c>
      <c r="B595" s="156">
        <v>125</v>
      </c>
      <c r="C595" s="155" t="s">
        <v>4</v>
      </c>
      <c r="D595" s="157" t="s">
        <v>5</v>
      </c>
    </row>
    <row r="596" spans="1:4" ht="15" customHeight="1" x14ac:dyDescent="0.2">
      <c r="A596" s="155" t="s">
        <v>1789</v>
      </c>
      <c r="B596" s="156">
        <v>450</v>
      </c>
      <c r="C596" s="155" t="s">
        <v>4</v>
      </c>
      <c r="D596" s="157" t="s">
        <v>5</v>
      </c>
    </row>
    <row r="597" spans="1:4" ht="15" customHeight="1" x14ac:dyDescent="0.2">
      <c r="A597" s="155" t="s">
        <v>742</v>
      </c>
      <c r="B597" s="156">
        <v>125</v>
      </c>
      <c r="C597" s="155" t="s">
        <v>4</v>
      </c>
      <c r="D597" s="157" t="s">
        <v>5</v>
      </c>
    </row>
    <row r="598" spans="1:4" ht="15" customHeight="1" x14ac:dyDescent="0.2">
      <c r="A598" s="155" t="s">
        <v>1781</v>
      </c>
      <c r="B598" s="156">
        <v>40</v>
      </c>
      <c r="C598" s="155" t="s">
        <v>4</v>
      </c>
      <c r="D598" s="157" t="s">
        <v>5</v>
      </c>
    </row>
    <row r="599" spans="1:4" ht="15" customHeight="1" x14ac:dyDescent="0.2">
      <c r="A599" s="155" t="s">
        <v>734</v>
      </c>
      <c r="B599" s="156">
        <v>125</v>
      </c>
      <c r="C599" s="155" t="s">
        <v>4</v>
      </c>
      <c r="D599" s="157" t="s">
        <v>5</v>
      </c>
    </row>
    <row r="600" spans="1:4" ht="15" customHeight="1" x14ac:dyDescent="0.2">
      <c r="A600" s="155" t="s">
        <v>1773</v>
      </c>
      <c r="B600" s="156">
        <v>125</v>
      </c>
      <c r="C600" s="155" t="s">
        <v>4</v>
      </c>
      <c r="D600" s="157" t="s">
        <v>5</v>
      </c>
    </row>
    <row r="601" spans="1:4" ht="15" customHeight="1" x14ac:dyDescent="0.2">
      <c r="A601" s="155" t="s">
        <v>790</v>
      </c>
      <c r="B601" s="156">
        <v>125</v>
      </c>
      <c r="C601" s="155" t="s">
        <v>4</v>
      </c>
      <c r="D601" s="157" t="s">
        <v>5</v>
      </c>
    </row>
    <row r="602" spans="1:4" ht="15" customHeight="1" x14ac:dyDescent="0.2">
      <c r="A602" s="155" t="s">
        <v>1829</v>
      </c>
      <c r="B602" s="156">
        <v>25</v>
      </c>
      <c r="C602" s="155" t="s">
        <v>4</v>
      </c>
      <c r="D602" s="157" t="s">
        <v>5</v>
      </c>
    </row>
    <row r="603" spans="1:4" ht="15" customHeight="1" x14ac:dyDescent="0.2">
      <c r="A603" s="155" t="s">
        <v>782</v>
      </c>
      <c r="B603" s="156">
        <v>25</v>
      </c>
      <c r="C603" s="155" t="s">
        <v>4</v>
      </c>
      <c r="D603" s="157" t="s">
        <v>5</v>
      </c>
    </row>
    <row r="604" spans="1:4" ht="15" customHeight="1" x14ac:dyDescent="0.2">
      <c r="A604" s="155" t="s">
        <v>1821</v>
      </c>
      <c r="B604" s="156">
        <v>25</v>
      </c>
      <c r="C604" s="155" t="s">
        <v>4</v>
      </c>
      <c r="D604" s="157" t="s">
        <v>5</v>
      </c>
    </row>
    <row r="605" spans="1:4" ht="15" customHeight="1" x14ac:dyDescent="0.2">
      <c r="A605" s="155" t="s">
        <v>774</v>
      </c>
      <c r="B605" s="156">
        <v>25</v>
      </c>
      <c r="C605" s="155" t="s">
        <v>4</v>
      </c>
      <c r="D605" s="157" t="s">
        <v>5</v>
      </c>
    </row>
    <row r="606" spans="1:4" ht="15" customHeight="1" x14ac:dyDescent="0.2">
      <c r="A606" s="155" t="s">
        <v>1813</v>
      </c>
      <c r="B606" s="156">
        <v>25</v>
      </c>
      <c r="C606" s="155" t="s">
        <v>4</v>
      </c>
      <c r="D606" s="157" t="s">
        <v>5</v>
      </c>
    </row>
    <row r="607" spans="1:4" ht="15" customHeight="1" x14ac:dyDescent="0.2">
      <c r="A607" s="155" t="s">
        <v>766</v>
      </c>
      <c r="B607" s="156">
        <v>125</v>
      </c>
      <c r="C607" s="155" t="s">
        <v>4</v>
      </c>
      <c r="D607" s="157" t="s">
        <v>5</v>
      </c>
    </row>
    <row r="608" spans="1:4" ht="15" customHeight="1" x14ac:dyDescent="0.2">
      <c r="A608" s="155" t="s">
        <v>1805</v>
      </c>
      <c r="B608" s="156">
        <v>25</v>
      </c>
      <c r="C608" s="155" t="s">
        <v>4</v>
      </c>
      <c r="D608" s="157" t="s">
        <v>5</v>
      </c>
    </row>
    <row r="609" spans="1:4" ht="15" customHeight="1" x14ac:dyDescent="0.2">
      <c r="A609" s="155" t="s">
        <v>822</v>
      </c>
      <c r="B609" s="156">
        <v>125</v>
      </c>
      <c r="C609" s="155" t="s">
        <v>4</v>
      </c>
      <c r="D609" s="157" t="s">
        <v>5</v>
      </c>
    </row>
    <row r="610" spans="1:4" ht="15" customHeight="1" x14ac:dyDescent="0.2">
      <c r="A610" s="155" t="s">
        <v>1861</v>
      </c>
      <c r="B610" s="156">
        <v>125</v>
      </c>
      <c r="C610" s="155" t="s">
        <v>4</v>
      </c>
      <c r="D610" s="157" t="s">
        <v>5</v>
      </c>
    </row>
    <row r="611" spans="1:4" ht="15" customHeight="1" x14ac:dyDescent="0.2">
      <c r="A611" s="155" t="s">
        <v>814</v>
      </c>
      <c r="B611" s="156">
        <v>125</v>
      </c>
      <c r="C611" s="155" t="s">
        <v>4</v>
      </c>
      <c r="D611" s="157" t="s">
        <v>5</v>
      </c>
    </row>
    <row r="612" spans="1:4" ht="15" customHeight="1" x14ac:dyDescent="0.2">
      <c r="A612" s="155" t="s">
        <v>1853</v>
      </c>
      <c r="B612" s="156">
        <v>125</v>
      </c>
      <c r="C612" s="155" t="s">
        <v>4</v>
      </c>
      <c r="D612" s="157" t="s">
        <v>5</v>
      </c>
    </row>
    <row r="613" spans="1:4" ht="15" customHeight="1" x14ac:dyDescent="0.2">
      <c r="A613" s="155" t="s">
        <v>806</v>
      </c>
      <c r="B613" s="156">
        <v>125</v>
      </c>
      <c r="C613" s="155" t="s">
        <v>4</v>
      </c>
      <c r="D613" s="157" t="s">
        <v>5</v>
      </c>
    </row>
    <row r="614" spans="1:4" ht="15" customHeight="1" x14ac:dyDescent="0.2">
      <c r="A614" s="155" t="s">
        <v>1845</v>
      </c>
      <c r="B614" s="156">
        <v>125</v>
      </c>
      <c r="C614" s="155" t="s">
        <v>4</v>
      </c>
      <c r="D614" s="157" t="s">
        <v>5</v>
      </c>
    </row>
    <row r="615" spans="1:4" ht="15" customHeight="1" x14ac:dyDescent="0.2">
      <c r="A615" s="155" t="s">
        <v>798</v>
      </c>
      <c r="B615" s="156">
        <v>125</v>
      </c>
      <c r="C615" s="155" t="s">
        <v>4</v>
      </c>
      <c r="D615" s="157" t="s">
        <v>5</v>
      </c>
    </row>
    <row r="616" spans="1:4" ht="15" customHeight="1" x14ac:dyDescent="0.2">
      <c r="A616" s="155" t="s">
        <v>1837</v>
      </c>
      <c r="B616" s="156">
        <v>125</v>
      </c>
      <c r="C616" s="155" t="s">
        <v>4</v>
      </c>
      <c r="D616" s="157" t="s">
        <v>5</v>
      </c>
    </row>
    <row r="617" spans="1:4" ht="15" customHeight="1" x14ac:dyDescent="0.2">
      <c r="A617" s="155" t="s">
        <v>855</v>
      </c>
      <c r="B617" s="156">
        <v>125</v>
      </c>
      <c r="C617" s="155" t="s">
        <v>4</v>
      </c>
      <c r="D617" s="157" t="s">
        <v>5</v>
      </c>
    </row>
    <row r="618" spans="1:4" ht="15" customHeight="1" x14ac:dyDescent="0.2">
      <c r="A618" s="155" t="s">
        <v>1894</v>
      </c>
      <c r="B618" s="156">
        <v>125</v>
      </c>
      <c r="C618" s="155" t="s">
        <v>4</v>
      </c>
      <c r="D618" s="157" t="s">
        <v>5</v>
      </c>
    </row>
    <row r="619" spans="1:4" ht="15" customHeight="1" x14ac:dyDescent="0.2">
      <c r="A619" s="155" t="s">
        <v>847</v>
      </c>
      <c r="B619" s="156">
        <v>125</v>
      </c>
      <c r="C619" s="155" t="s">
        <v>4</v>
      </c>
      <c r="D619" s="157" t="s">
        <v>5</v>
      </c>
    </row>
    <row r="620" spans="1:4" ht="15" customHeight="1" x14ac:dyDescent="0.2">
      <c r="A620" s="155" t="s">
        <v>1886</v>
      </c>
      <c r="B620" s="156">
        <v>125</v>
      </c>
      <c r="C620" s="155" t="s">
        <v>4</v>
      </c>
      <c r="D620" s="157" t="s">
        <v>5</v>
      </c>
    </row>
    <row r="621" spans="1:4" ht="15" customHeight="1" x14ac:dyDescent="0.2">
      <c r="A621" s="155" t="s">
        <v>839</v>
      </c>
      <c r="B621" s="156">
        <v>125</v>
      </c>
      <c r="C621" s="155" t="s">
        <v>4</v>
      </c>
      <c r="D621" s="157" t="s">
        <v>5</v>
      </c>
    </row>
    <row r="622" spans="1:4" ht="15" customHeight="1" x14ac:dyDescent="0.2">
      <c r="A622" s="155" t="s">
        <v>1878</v>
      </c>
      <c r="B622" s="156">
        <v>125</v>
      </c>
      <c r="C622" s="155" t="s">
        <v>4</v>
      </c>
      <c r="D622" s="157" t="s">
        <v>5</v>
      </c>
    </row>
    <row r="623" spans="1:4" ht="15" customHeight="1" x14ac:dyDescent="0.2">
      <c r="A623" s="155" t="s">
        <v>831</v>
      </c>
      <c r="B623" s="156">
        <v>125</v>
      </c>
      <c r="C623" s="155" t="s">
        <v>4</v>
      </c>
      <c r="D623" s="157" t="s">
        <v>5</v>
      </c>
    </row>
    <row r="624" spans="1:4" ht="15" customHeight="1" x14ac:dyDescent="0.2">
      <c r="A624" s="155" t="s">
        <v>1870</v>
      </c>
      <c r="B624" s="156">
        <v>125</v>
      </c>
      <c r="C624" s="155" t="s">
        <v>4</v>
      </c>
      <c r="D624" s="157" t="s">
        <v>5</v>
      </c>
    </row>
    <row r="625" spans="1:4" ht="15" customHeight="1" x14ac:dyDescent="0.2">
      <c r="A625" s="155" t="s">
        <v>888</v>
      </c>
      <c r="B625" s="156">
        <v>100</v>
      </c>
      <c r="C625" s="155" t="s">
        <v>4</v>
      </c>
      <c r="D625" s="157" t="s">
        <v>5</v>
      </c>
    </row>
    <row r="626" spans="1:4" ht="15" customHeight="1" x14ac:dyDescent="0.2">
      <c r="A626" s="155" t="s">
        <v>1927</v>
      </c>
      <c r="B626" s="156">
        <v>225</v>
      </c>
      <c r="C626" s="155" t="s">
        <v>4</v>
      </c>
      <c r="D626" s="157" t="s">
        <v>5</v>
      </c>
    </row>
    <row r="627" spans="1:4" ht="15" customHeight="1" x14ac:dyDescent="0.2">
      <c r="A627" s="155" t="s">
        <v>880</v>
      </c>
      <c r="B627" s="156">
        <v>125</v>
      </c>
      <c r="C627" s="155" t="s">
        <v>4</v>
      </c>
      <c r="D627" s="157" t="s">
        <v>5</v>
      </c>
    </row>
    <row r="628" spans="1:4" ht="15" customHeight="1" x14ac:dyDescent="0.2">
      <c r="A628" s="155" t="s">
        <v>1919</v>
      </c>
      <c r="B628" s="156">
        <v>25</v>
      </c>
      <c r="C628" s="155" t="s">
        <v>4</v>
      </c>
      <c r="D628" s="157" t="s">
        <v>5</v>
      </c>
    </row>
    <row r="629" spans="1:4" ht="15" customHeight="1" x14ac:dyDescent="0.2">
      <c r="A629" s="155" t="s">
        <v>872</v>
      </c>
      <c r="B629" s="156">
        <v>125</v>
      </c>
      <c r="C629" s="155" t="s">
        <v>4</v>
      </c>
      <c r="D629" s="157" t="s">
        <v>5</v>
      </c>
    </row>
    <row r="630" spans="1:4" ht="15" customHeight="1" x14ac:dyDescent="0.2">
      <c r="A630" s="155" t="s">
        <v>1910</v>
      </c>
      <c r="B630" s="156">
        <v>125</v>
      </c>
      <c r="C630" s="155" t="s">
        <v>4</v>
      </c>
      <c r="D630" s="157" t="s">
        <v>5</v>
      </c>
    </row>
    <row r="631" spans="1:4" ht="15" customHeight="1" x14ac:dyDescent="0.2">
      <c r="A631" s="155" t="s">
        <v>863</v>
      </c>
      <c r="B631" s="156">
        <v>125</v>
      </c>
      <c r="C631" s="155" t="s">
        <v>4</v>
      </c>
      <c r="D631" s="157" t="s">
        <v>5</v>
      </c>
    </row>
    <row r="632" spans="1:4" ht="15" customHeight="1" x14ac:dyDescent="0.2">
      <c r="A632" s="155" t="s">
        <v>1902</v>
      </c>
      <c r="B632" s="156">
        <v>125</v>
      </c>
      <c r="C632" s="155" t="s">
        <v>4</v>
      </c>
      <c r="D632" s="157" t="s">
        <v>5</v>
      </c>
    </row>
    <row r="633" spans="1:4" ht="15" customHeight="1" x14ac:dyDescent="0.2">
      <c r="A633" s="155" t="s">
        <v>916</v>
      </c>
      <c r="B633" s="156">
        <v>125</v>
      </c>
      <c r="C633" s="155" t="s">
        <v>4</v>
      </c>
      <c r="D633" s="157" t="s">
        <v>5</v>
      </c>
    </row>
    <row r="634" spans="1:4" ht="15" customHeight="1" x14ac:dyDescent="0.2">
      <c r="A634" s="155" t="s">
        <v>1955</v>
      </c>
      <c r="B634" s="156">
        <v>3525</v>
      </c>
      <c r="C634" s="155" t="s">
        <v>4</v>
      </c>
      <c r="D634" s="157" t="s">
        <v>5</v>
      </c>
    </row>
    <row r="635" spans="1:4" ht="15" customHeight="1" x14ac:dyDescent="0.2">
      <c r="A635" s="155" t="s">
        <v>908</v>
      </c>
      <c r="B635" s="156">
        <v>125</v>
      </c>
      <c r="C635" s="155" t="s">
        <v>4</v>
      </c>
      <c r="D635" s="157" t="s">
        <v>5</v>
      </c>
    </row>
    <row r="636" spans="1:4" ht="15" customHeight="1" x14ac:dyDescent="0.2">
      <c r="A636" s="155" t="s">
        <v>1951</v>
      </c>
      <c r="B636" s="156">
        <v>125</v>
      </c>
      <c r="C636" s="155" t="s">
        <v>4</v>
      </c>
      <c r="D636" s="157" t="s">
        <v>5</v>
      </c>
    </row>
    <row r="637" spans="1:4" ht="15" customHeight="1" x14ac:dyDescent="0.2">
      <c r="A637" s="155" t="s">
        <v>904</v>
      </c>
      <c r="B637" s="156">
        <v>125</v>
      </c>
      <c r="C637" s="155" t="s">
        <v>4</v>
      </c>
      <c r="D637" s="157" t="s">
        <v>5</v>
      </c>
    </row>
    <row r="638" spans="1:4" ht="15" customHeight="1" x14ac:dyDescent="0.2">
      <c r="A638" s="155" t="s">
        <v>1943</v>
      </c>
      <c r="B638" s="156">
        <v>125</v>
      </c>
      <c r="C638" s="155" t="s">
        <v>4</v>
      </c>
      <c r="D638" s="157" t="s">
        <v>5</v>
      </c>
    </row>
    <row r="639" spans="1:4" ht="15" customHeight="1" x14ac:dyDescent="0.2">
      <c r="A639" s="155" t="s">
        <v>896</v>
      </c>
      <c r="B639" s="156">
        <v>125</v>
      </c>
      <c r="C639" s="155" t="s">
        <v>4</v>
      </c>
      <c r="D639" s="157" t="s">
        <v>5</v>
      </c>
    </row>
    <row r="640" spans="1:4" ht="15" customHeight="1" x14ac:dyDescent="0.2">
      <c r="A640" s="155" t="s">
        <v>1935</v>
      </c>
      <c r="B640" s="156">
        <v>300</v>
      </c>
      <c r="C640" s="155" t="s">
        <v>4</v>
      </c>
      <c r="D640" s="157" t="s">
        <v>5</v>
      </c>
    </row>
    <row r="641" spans="1:4" ht="15" customHeight="1" x14ac:dyDescent="0.2">
      <c r="A641" s="155" t="s">
        <v>1483</v>
      </c>
      <c r="B641" s="156">
        <v>125</v>
      </c>
      <c r="C641" s="155" t="s">
        <v>4</v>
      </c>
      <c r="D641" s="157" t="s">
        <v>5</v>
      </c>
    </row>
    <row r="642" spans="1:4" ht="15" customHeight="1" x14ac:dyDescent="0.2">
      <c r="A642" s="155" t="s">
        <v>436</v>
      </c>
      <c r="B642" s="156">
        <v>125</v>
      </c>
      <c r="C642" s="155" t="s">
        <v>4</v>
      </c>
      <c r="D642" s="157" t="s">
        <v>5</v>
      </c>
    </row>
    <row r="643" spans="1:4" ht="15" customHeight="1" x14ac:dyDescent="0.2">
      <c r="A643" s="155" t="s">
        <v>1475</v>
      </c>
      <c r="B643" s="156">
        <v>25</v>
      </c>
      <c r="C643" s="155" t="s">
        <v>4</v>
      </c>
      <c r="D643" s="157" t="s">
        <v>5</v>
      </c>
    </row>
    <row r="644" spans="1:4" ht="15" customHeight="1" x14ac:dyDescent="0.2">
      <c r="A644" s="155" t="s">
        <v>428</v>
      </c>
      <c r="B644" s="156">
        <v>25</v>
      </c>
      <c r="C644" s="155" t="s">
        <v>4</v>
      </c>
      <c r="D644" s="157" t="s">
        <v>5</v>
      </c>
    </row>
    <row r="645" spans="1:4" ht="15" customHeight="1" x14ac:dyDescent="0.2">
      <c r="A645" s="155" t="s">
        <v>1467</v>
      </c>
      <c r="B645" s="156">
        <v>25</v>
      </c>
      <c r="C645" s="155" t="s">
        <v>4</v>
      </c>
      <c r="D645" s="157" t="s">
        <v>5</v>
      </c>
    </row>
    <row r="646" spans="1:4" ht="15" customHeight="1" x14ac:dyDescent="0.2">
      <c r="A646" s="155" t="s">
        <v>420</v>
      </c>
      <c r="B646" s="156">
        <v>25</v>
      </c>
      <c r="C646" s="155" t="s">
        <v>4</v>
      </c>
      <c r="D646" s="157" t="s">
        <v>5</v>
      </c>
    </row>
    <row r="647" spans="1:4" ht="15" customHeight="1" x14ac:dyDescent="0.2">
      <c r="A647" s="155" t="s">
        <v>1459</v>
      </c>
      <c r="B647" s="156">
        <v>25</v>
      </c>
      <c r="C647" s="155" t="s">
        <v>4</v>
      </c>
      <c r="D647" s="157" t="s">
        <v>5</v>
      </c>
    </row>
    <row r="648" spans="1:4" ht="15" customHeight="1" x14ac:dyDescent="0.2">
      <c r="A648" s="155" t="s">
        <v>412</v>
      </c>
      <c r="B648" s="156">
        <v>25</v>
      </c>
      <c r="C648" s="155" t="s">
        <v>4</v>
      </c>
      <c r="D648" s="157" t="s">
        <v>5</v>
      </c>
    </row>
    <row r="649" spans="1:4" ht="15" customHeight="1" x14ac:dyDescent="0.2">
      <c r="A649" s="155" t="s">
        <v>1511</v>
      </c>
      <c r="B649" s="156">
        <v>25</v>
      </c>
      <c r="C649" s="155" t="s">
        <v>4</v>
      </c>
      <c r="D649" s="157" t="s">
        <v>5</v>
      </c>
    </row>
    <row r="650" spans="1:4" ht="15" customHeight="1" x14ac:dyDescent="0.2">
      <c r="A650" s="155" t="s">
        <v>464</v>
      </c>
      <c r="B650" s="156">
        <v>25</v>
      </c>
      <c r="C650" s="155" t="s">
        <v>4</v>
      </c>
      <c r="D650" s="157" t="s">
        <v>5</v>
      </c>
    </row>
    <row r="651" spans="1:4" ht="15" customHeight="1" x14ac:dyDescent="0.2">
      <c r="A651" s="155" t="s">
        <v>1503</v>
      </c>
      <c r="B651" s="156">
        <v>25</v>
      </c>
      <c r="C651" s="155" t="s">
        <v>4</v>
      </c>
      <c r="D651" s="157" t="s">
        <v>5</v>
      </c>
    </row>
    <row r="652" spans="1:4" ht="15" customHeight="1" x14ac:dyDescent="0.2">
      <c r="A652" s="155" t="s">
        <v>456</v>
      </c>
      <c r="B652" s="156">
        <v>125</v>
      </c>
      <c r="C652" s="155" t="s">
        <v>4</v>
      </c>
      <c r="D652" s="157" t="s">
        <v>5</v>
      </c>
    </row>
    <row r="653" spans="1:4" ht="15" customHeight="1" x14ac:dyDescent="0.2">
      <c r="A653" s="155" t="s">
        <v>1495</v>
      </c>
      <c r="B653" s="156">
        <v>100</v>
      </c>
      <c r="C653" s="155" t="s">
        <v>4</v>
      </c>
      <c r="D653" s="157" t="s">
        <v>5</v>
      </c>
    </row>
    <row r="654" spans="1:4" ht="15" customHeight="1" x14ac:dyDescent="0.2">
      <c r="A654" s="155" t="s">
        <v>448</v>
      </c>
      <c r="B654" s="156">
        <v>125</v>
      </c>
      <c r="C654" s="155" t="s">
        <v>4</v>
      </c>
      <c r="D654" s="157" t="s">
        <v>5</v>
      </c>
    </row>
    <row r="655" spans="1:4" ht="15" customHeight="1" x14ac:dyDescent="0.2">
      <c r="A655" s="155" t="s">
        <v>1487</v>
      </c>
      <c r="B655" s="156">
        <v>125</v>
      </c>
      <c r="C655" s="155" t="s">
        <v>4</v>
      </c>
      <c r="D655" s="157" t="s">
        <v>5</v>
      </c>
    </row>
    <row r="656" spans="1:4" ht="15" customHeight="1" x14ac:dyDescent="0.2">
      <c r="A656" s="155" t="s">
        <v>444</v>
      </c>
      <c r="B656" s="156">
        <v>75</v>
      </c>
      <c r="C656" s="155" t="s">
        <v>4</v>
      </c>
      <c r="D656" s="157" t="s">
        <v>5</v>
      </c>
    </row>
    <row r="657" spans="1:4" ht="15" customHeight="1" x14ac:dyDescent="0.2">
      <c r="A657" s="155" t="s">
        <v>1544</v>
      </c>
      <c r="B657" s="156">
        <v>125</v>
      </c>
      <c r="C657" s="155" t="s">
        <v>4</v>
      </c>
      <c r="D657" s="157" t="s">
        <v>5</v>
      </c>
    </row>
    <row r="658" spans="1:4" ht="15" customHeight="1" x14ac:dyDescent="0.2">
      <c r="A658" s="155" t="s">
        <v>497</v>
      </c>
      <c r="B658" s="156">
        <v>125</v>
      </c>
      <c r="C658" s="155" t="s">
        <v>4</v>
      </c>
      <c r="D658" s="157" t="s">
        <v>5</v>
      </c>
    </row>
    <row r="659" spans="1:4" ht="15" customHeight="1" x14ac:dyDescent="0.2">
      <c r="A659" s="155" t="s">
        <v>1536</v>
      </c>
      <c r="B659" s="156">
        <v>125</v>
      </c>
      <c r="C659" s="155" t="s">
        <v>4</v>
      </c>
      <c r="D659" s="157" t="s">
        <v>5</v>
      </c>
    </row>
    <row r="660" spans="1:4" ht="15" customHeight="1" x14ac:dyDescent="0.2">
      <c r="A660" s="155" t="s">
        <v>489</v>
      </c>
      <c r="B660" s="156">
        <v>125</v>
      </c>
      <c r="C660" s="155" t="s">
        <v>4</v>
      </c>
      <c r="D660" s="157" t="s">
        <v>5</v>
      </c>
    </row>
    <row r="661" spans="1:4" ht="15" customHeight="1" x14ac:dyDescent="0.2">
      <c r="A661" s="155" t="s">
        <v>1527</v>
      </c>
      <c r="B661" s="156">
        <v>125</v>
      </c>
      <c r="C661" s="155" t="s">
        <v>4</v>
      </c>
      <c r="D661" s="157" t="s">
        <v>5</v>
      </c>
    </row>
    <row r="662" spans="1:4" ht="15" customHeight="1" x14ac:dyDescent="0.2">
      <c r="A662" s="155" t="s">
        <v>480</v>
      </c>
      <c r="B662" s="156">
        <v>575</v>
      </c>
      <c r="C662" s="155" t="s">
        <v>4</v>
      </c>
      <c r="D662" s="157" t="s">
        <v>5</v>
      </c>
    </row>
    <row r="663" spans="1:4" ht="15" customHeight="1" x14ac:dyDescent="0.2">
      <c r="A663" s="155" t="s">
        <v>1519</v>
      </c>
      <c r="B663" s="156">
        <v>25</v>
      </c>
      <c r="C663" s="155" t="s">
        <v>4</v>
      </c>
      <c r="D663" s="157" t="s">
        <v>5</v>
      </c>
    </row>
    <row r="664" spans="1:4" ht="15" customHeight="1" x14ac:dyDescent="0.2">
      <c r="A664" s="155" t="s">
        <v>472</v>
      </c>
      <c r="B664" s="156">
        <v>125</v>
      </c>
      <c r="C664" s="155" t="s">
        <v>4</v>
      </c>
      <c r="D664" s="157" t="s">
        <v>5</v>
      </c>
    </row>
    <row r="665" spans="1:4" ht="15" customHeight="1" x14ac:dyDescent="0.2">
      <c r="A665" s="155" t="s">
        <v>1577</v>
      </c>
      <c r="B665" s="156">
        <v>125</v>
      </c>
      <c r="C665" s="155" t="s">
        <v>4</v>
      </c>
      <c r="D665" s="157" t="s">
        <v>5</v>
      </c>
    </row>
    <row r="666" spans="1:4" ht="15" customHeight="1" x14ac:dyDescent="0.2">
      <c r="A666" s="155" t="s">
        <v>530</v>
      </c>
      <c r="B666" s="156">
        <v>750</v>
      </c>
      <c r="C666" s="155" t="s">
        <v>4</v>
      </c>
      <c r="D666" s="157" t="s">
        <v>5</v>
      </c>
    </row>
    <row r="667" spans="1:4" ht="15" customHeight="1" x14ac:dyDescent="0.2">
      <c r="A667" s="155" t="s">
        <v>1569</v>
      </c>
      <c r="B667" s="156">
        <v>125</v>
      </c>
      <c r="C667" s="155" t="s">
        <v>4</v>
      </c>
      <c r="D667" s="157" t="s">
        <v>5</v>
      </c>
    </row>
    <row r="668" spans="1:4" ht="15" customHeight="1" x14ac:dyDescent="0.2">
      <c r="A668" s="155" t="s">
        <v>521</v>
      </c>
      <c r="B668" s="159">
        <v>1584.6</v>
      </c>
      <c r="C668" s="155" t="s">
        <v>4</v>
      </c>
      <c r="D668" s="157" t="s">
        <v>5</v>
      </c>
    </row>
    <row r="669" spans="1:4" ht="15" customHeight="1" x14ac:dyDescent="0.2">
      <c r="A669" s="155" t="s">
        <v>1560</v>
      </c>
      <c r="B669" s="156">
        <v>125</v>
      </c>
      <c r="C669" s="155" t="s">
        <v>4</v>
      </c>
      <c r="D669" s="157" t="s">
        <v>5</v>
      </c>
    </row>
    <row r="670" spans="1:4" ht="15" customHeight="1" x14ac:dyDescent="0.2">
      <c r="A670" s="155" t="s">
        <v>513</v>
      </c>
      <c r="B670" s="156">
        <v>6475</v>
      </c>
      <c r="C670" s="155" t="s">
        <v>4</v>
      </c>
      <c r="D670" s="157" t="s">
        <v>5</v>
      </c>
    </row>
    <row r="671" spans="1:4" ht="15" customHeight="1" x14ac:dyDescent="0.2">
      <c r="A671" s="155" t="s">
        <v>1552</v>
      </c>
      <c r="B671" s="156">
        <v>125</v>
      </c>
      <c r="C671" s="155" t="s">
        <v>4</v>
      </c>
      <c r="D671" s="157" t="s">
        <v>5</v>
      </c>
    </row>
    <row r="672" spans="1:4" ht="15" customHeight="1" x14ac:dyDescent="0.2">
      <c r="A672" s="155" t="s">
        <v>505</v>
      </c>
      <c r="B672" s="156">
        <v>125</v>
      </c>
      <c r="C672" s="155" t="s">
        <v>4</v>
      </c>
      <c r="D672" s="157" t="s">
        <v>5</v>
      </c>
    </row>
    <row r="673" spans="1:4" ht="15" customHeight="1" x14ac:dyDescent="0.2">
      <c r="A673" s="155" t="s">
        <v>1609</v>
      </c>
      <c r="B673" s="156">
        <v>125</v>
      </c>
      <c r="C673" s="155" t="s">
        <v>4</v>
      </c>
      <c r="D673" s="157" t="s">
        <v>5</v>
      </c>
    </row>
    <row r="674" spans="1:4" ht="15" customHeight="1" x14ac:dyDescent="0.2">
      <c r="A674" s="155" t="s">
        <v>562</v>
      </c>
      <c r="B674" s="156">
        <v>33950</v>
      </c>
      <c r="C674" s="155" t="s">
        <v>4</v>
      </c>
      <c r="D674" s="157" t="s">
        <v>5</v>
      </c>
    </row>
    <row r="675" spans="1:4" ht="15" customHeight="1" x14ac:dyDescent="0.2">
      <c r="A675" s="155" t="s">
        <v>1601</v>
      </c>
      <c r="B675" s="156">
        <v>125</v>
      </c>
      <c r="C675" s="155" t="s">
        <v>4</v>
      </c>
      <c r="D675" s="157" t="s">
        <v>5</v>
      </c>
    </row>
    <row r="676" spans="1:4" ht="15" customHeight="1" x14ac:dyDescent="0.2">
      <c r="A676" s="155" t="s">
        <v>554</v>
      </c>
      <c r="B676" s="156">
        <v>125</v>
      </c>
      <c r="C676" s="155" t="s">
        <v>4</v>
      </c>
      <c r="D676" s="157" t="s">
        <v>5</v>
      </c>
    </row>
    <row r="677" spans="1:4" ht="15" customHeight="1" x14ac:dyDescent="0.2">
      <c r="A677" s="155" t="s">
        <v>1593</v>
      </c>
      <c r="B677" s="156">
        <v>6650</v>
      </c>
      <c r="C677" s="155" t="s">
        <v>4</v>
      </c>
      <c r="D677" s="157" t="s">
        <v>5</v>
      </c>
    </row>
    <row r="678" spans="1:4" ht="15" customHeight="1" x14ac:dyDescent="0.2">
      <c r="A678" s="155" t="s">
        <v>546</v>
      </c>
      <c r="B678" s="156">
        <v>600</v>
      </c>
      <c r="C678" s="155" t="s">
        <v>4</v>
      </c>
      <c r="D678" s="157" t="s">
        <v>5</v>
      </c>
    </row>
    <row r="679" spans="1:4" ht="15" customHeight="1" x14ac:dyDescent="0.2">
      <c r="A679" s="155" t="s">
        <v>1585</v>
      </c>
      <c r="B679" s="156">
        <v>125</v>
      </c>
      <c r="C679" s="155" t="s">
        <v>4</v>
      </c>
      <c r="D679" s="157" t="s">
        <v>5</v>
      </c>
    </row>
    <row r="680" spans="1:4" ht="15" customHeight="1" x14ac:dyDescent="0.2">
      <c r="A680" s="155" t="s">
        <v>538</v>
      </c>
      <c r="B680" s="156">
        <v>125</v>
      </c>
      <c r="C680" s="155" t="s">
        <v>4</v>
      </c>
      <c r="D680" s="157" t="s">
        <v>5</v>
      </c>
    </row>
    <row r="681" spans="1:4" ht="15" customHeight="1" x14ac:dyDescent="0.2">
      <c r="A681" s="155" t="s">
        <v>1640</v>
      </c>
      <c r="B681" s="156">
        <v>125</v>
      </c>
      <c r="C681" s="155" t="s">
        <v>4</v>
      </c>
      <c r="D681" s="157" t="s">
        <v>5</v>
      </c>
    </row>
    <row r="682" spans="1:4" ht="15" customHeight="1" x14ac:dyDescent="0.2">
      <c r="A682" s="155" t="s">
        <v>594</v>
      </c>
      <c r="B682" s="156">
        <v>125</v>
      </c>
      <c r="C682" s="155" t="s">
        <v>4</v>
      </c>
      <c r="D682" s="157" t="s">
        <v>5</v>
      </c>
    </row>
    <row r="683" spans="1:4" ht="15" customHeight="1" x14ac:dyDescent="0.2">
      <c r="A683" s="155" t="s">
        <v>1633</v>
      </c>
      <c r="B683" s="156">
        <v>50</v>
      </c>
      <c r="C683" s="155" t="s">
        <v>4</v>
      </c>
      <c r="D683" s="157" t="s">
        <v>5</v>
      </c>
    </row>
    <row r="684" spans="1:4" ht="15" customHeight="1" x14ac:dyDescent="0.2">
      <c r="A684" s="155" t="s">
        <v>586</v>
      </c>
      <c r="B684" s="156">
        <v>175</v>
      </c>
      <c r="C684" s="155" t="s">
        <v>4</v>
      </c>
      <c r="D684" s="157" t="s">
        <v>5</v>
      </c>
    </row>
    <row r="685" spans="1:4" ht="15" customHeight="1" x14ac:dyDescent="0.2">
      <c r="A685" s="155" t="s">
        <v>1625</v>
      </c>
      <c r="B685" s="156">
        <v>125</v>
      </c>
      <c r="C685" s="155" t="s">
        <v>4</v>
      </c>
      <c r="D685" s="157" t="s">
        <v>5</v>
      </c>
    </row>
    <row r="686" spans="1:4" ht="15" customHeight="1" x14ac:dyDescent="0.2">
      <c r="A686" s="155" t="s">
        <v>578</v>
      </c>
      <c r="B686" s="156">
        <v>125</v>
      </c>
      <c r="C686" s="155" t="s">
        <v>4</v>
      </c>
      <c r="D686" s="157" t="s">
        <v>5</v>
      </c>
    </row>
    <row r="687" spans="1:4" ht="15" customHeight="1" x14ac:dyDescent="0.2">
      <c r="A687" s="155" t="s">
        <v>1617</v>
      </c>
      <c r="B687" s="156">
        <v>125</v>
      </c>
      <c r="C687" s="155" t="s">
        <v>4</v>
      </c>
      <c r="D687" s="157" t="s">
        <v>5</v>
      </c>
    </row>
    <row r="688" spans="1:4" ht="15" customHeight="1" x14ac:dyDescent="0.2">
      <c r="A688" s="155" t="s">
        <v>570</v>
      </c>
      <c r="B688" s="156">
        <v>125</v>
      </c>
      <c r="C688" s="155" t="s">
        <v>4</v>
      </c>
      <c r="D688" s="157" t="s">
        <v>5</v>
      </c>
    </row>
    <row r="689" spans="1:4" ht="15" customHeight="1" x14ac:dyDescent="0.2">
      <c r="A689" s="155" t="s">
        <v>1668</v>
      </c>
      <c r="B689" s="156">
        <v>125</v>
      </c>
      <c r="C689" s="155" t="s">
        <v>4</v>
      </c>
      <c r="D689" s="157" t="s">
        <v>5</v>
      </c>
    </row>
    <row r="690" spans="1:4" ht="15" customHeight="1" x14ac:dyDescent="0.2">
      <c r="A690" s="155" t="s">
        <v>622</v>
      </c>
      <c r="B690" s="156">
        <v>25</v>
      </c>
      <c r="C690" s="155" t="s">
        <v>4</v>
      </c>
      <c r="D690" s="157" t="s">
        <v>5</v>
      </c>
    </row>
    <row r="691" spans="1:4" ht="15" customHeight="1" x14ac:dyDescent="0.2">
      <c r="A691" s="155" t="s">
        <v>1661</v>
      </c>
      <c r="B691" s="156">
        <v>20</v>
      </c>
      <c r="C691" s="155" t="s">
        <v>4</v>
      </c>
      <c r="D691" s="157" t="s">
        <v>5</v>
      </c>
    </row>
    <row r="692" spans="1:4" ht="15" customHeight="1" x14ac:dyDescent="0.2">
      <c r="A692" s="155" t="s">
        <v>615</v>
      </c>
      <c r="B692" s="156">
        <v>125</v>
      </c>
      <c r="C692" s="155" t="s">
        <v>4</v>
      </c>
      <c r="D692" s="157" t="s">
        <v>5</v>
      </c>
    </row>
    <row r="693" spans="1:4" ht="15" customHeight="1" x14ac:dyDescent="0.2">
      <c r="A693" s="155" t="s">
        <v>1654</v>
      </c>
      <c r="B693" s="156">
        <v>125</v>
      </c>
      <c r="C693" s="155" t="s">
        <v>4</v>
      </c>
      <c r="D693" s="157" t="s">
        <v>5</v>
      </c>
    </row>
    <row r="694" spans="1:4" ht="15" customHeight="1" x14ac:dyDescent="0.2">
      <c r="A694" s="155" t="s">
        <v>608</v>
      </c>
      <c r="B694" s="156">
        <v>125</v>
      </c>
      <c r="C694" s="155" t="s">
        <v>4</v>
      </c>
      <c r="D694" s="157" t="s">
        <v>5</v>
      </c>
    </row>
    <row r="695" spans="1:4" ht="15" customHeight="1" x14ac:dyDescent="0.2">
      <c r="A695" s="155" t="s">
        <v>1647</v>
      </c>
      <c r="B695" s="156">
        <v>125</v>
      </c>
      <c r="C695" s="155" t="s">
        <v>4</v>
      </c>
      <c r="D695" s="157" t="s">
        <v>5</v>
      </c>
    </row>
    <row r="696" spans="1:4" ht="15" customHeight="1" x14ac:dyDescent="0.2">
      <c r="A696" s="155" t="s">
        <v>601</v>
      </c>
      <c r="B696" s="156">
        <v>125</v>
      </c>
      <c r="C696" s="155" t="s">
        <v>4</v>
      </c>
      <c r="D696" s="157" t="s">
        <v>5</v>
      </c>
    </row>
    <row r="697" spans="1:4" ht="15" customHeight="1" x14ac:dyDescent="0.2">
      <c r="A697" s="155" t="s">
        <v>1697</v>
      </c>
      <c r="B697" s="156">
        <v>125</v>
      </c>
      <c r="C697" s="155" t="s">
        <v>4</v>
      </c>
      <c r="D697" s="157" t="s">
        <v>5</v>
      </c>
    </row>
    <row r="698" spans="1:4" ht="15" customHeight="1" x14ac:dyDescent="0.2">
      <c r="A698" s="155" t="s">
        <v>651</v>
      </c>
      <c r="B698" s="156">
        <v>25</v>
      </c>
      <c r="C698" s="155" t="s">
        <v>4</v>
      </c>
      <c r="D698" s="157" t="s">
        <v>5</v>
      </c>
    </row>
    <row r="699" spans="1:4" ht="15" customHeight="1" x14ac:dyDescent="0.2">
      <c r="A699" s="155" t="s">
        <v>1690</v>
      </c>
      <c r="B699" s="156">
        <v>25</v>
      </c>
      <c r="C699" s="155" t="s">
        <v>4</v>
      </c>
      <c r="D699" s="157" t="s">
        <v>5</v>
      </c>
    </row>
    <row r="700" spans="1:4" ht="15" customHeight="1" x14ac:dyDescent="0.2">
      <c r="A700" s="155" t="s">
        <v>644</v>
      </c>
      <c r="B700" s="156">
        <v>25</v>
      </c>
      <c r="C700" s="155" t="s">
        <v>4</v>
      </c>
      <c r="D700" s="157" t="s">
        <v>5</v>
      </c>
    </row>
    <row r="701" spans="1:4" ht="15" customHeight="1" x14ac:dyDescent="0.2">
      <c r="A701" s="155" t="s">
        <v>1683</v>
      </c>
      <c r="B701" s="156">
        <v>25</v>
      </c>
      <c r="C701" s="155" t="s">
        <v>4</v>
      </c>
      <c r="D701" s="157" t="s">
        <v>5</v>
      </c>
    </row>
    <row r="702" spans="1:4" ht="15" customHeight="1" x14ac:dyDescent="0.2">
      <c r="A702" s="155" t="s">
        <v>637</v>
      </c>
      <c r="B702" s="156">
        <v>25</v>
      </c>
      <c r="C702" s="155" t="s">
        <v>4</v>
      </c>
      <c r="D702" s="157" t="s">
        <v>5</v>
      </c>
    </row>
    <row r="703" spans="1:4" ht="15" customHeight="1" x14ac:dyDescent="0.2">
      <c r="A703" s="155" t="s">
        <v>1675</v>
      </c>
      <c r="B703" s="156">
        <v>25</v>
      </c>
      <c r="C703" s="155" t="s">
        <v>4</v>
      </c>
      <c r="D703" s="157" t="s">
        <v>5</v>
      </c>
    </row>
    <row r="704" spans="1:4" ht="15" customHeight="1" x14ac:dyDescent="0.2">
      <c r="A704" s="155" t="s">
        <v>629</v>
      </c>
      <c r="B704" s="156">
        <v>25</v>
      </c>
      <c r="C704" s="155" t="s">
        <v>4</v>
      </c>
      <c r="D704" s="157" t="s">
        <v>5</v>
      </c>
    </row>
    <row r="705" spans="1:4" ht="15" customHeight="1" x14ac:dyDescent="0.2">
      <c r="A705" s="155" t="s">
        <v>1221</v>
      </c>
      <c r="B705" s="156">
        <v>25</v>
      </c>
      <c r="C705" s="155" t="s">
        <v>4</v>
      </c>
      <c r="D705" s="157" t="s">
        <v>5</v>
      </c>
    </row>
    <row r="706" spans="1:4" ht="15" customHeight="1" x14ac:dyDescent="0.2">
      <c r="A706" s="155" t="s">
        <v>175</v>
      </c>
      <c r="B706" s="156">
        <v>25</v>
      </c>
      <c r="C706" s="155" t="s">
        <v>4</v>
      </c>
      <c r="D706" s="157" t="s">
        <v>5</v>
      </c>
    </row>
    <row r="707" spans="1:4" ht="15" customHeight="1" x14ac:dyDescent="0.2">
      <c r="A707" s="155" t="s">
        <v>1212</v>
      </c>
      <c r="B707" s="156">
        <v>25</v>
      </c>
      <c r="C707" s="155" t="s">
        <v>4</v>
      </c>
      <c r="D707" s="157" t="s">
        <v>5</v>
      </c>
    </row>
    <row r="708" spans="1:4" ht="15" customHeight="1" x14ac:dyDescent="0.2">
      <c r="A708" s="155" t="s">
        <v>167</v>
      </c>
      <c r="B708" s="156">
        <v>25</v>
      </c>
      <c r="C708" s="155" t="s">
        <v>4</v>
      </c>
      <c r="D708" s="157" t="s">
        <v>5</v>
      </c>
    </row>
    <row r="709" spans="1:4" ht="15" customHeight="1" x14ac:dyDescent="0.2">
      <c r="A709" s="155" t="s">
        <v>1203</v>
      </c>
      <c r="B709" s="156">
        <v>25</v>
      </c>
      <c r="C709" s="155" t="s">
        <v>4</v>
      </c>
      <c r="D709" s="157" t="s">
        <v>5</v>
      </c>
    </row>
    <row r="710" spans="1:4" ht="15" customHeight="1" x14ac:dyDescent="0.2">
      <c r="A710" s="155" t="s">
        <v>163</v>
      </c>
      <c r="B710" s="156">
        <v>25</v>
      </c>
      <c r="C710" s="155" t="s">
        <v>4</v>
      </c>
      <c r="D710" s="157" t="s">
        <v>5</v>
      </c>
    </row>
    <row r="711" spans="1:4" ht="15" customHeight="1" x14ac:dyDescent="0.2">
      <c r="A711" s="155" t="s">
        <v>1199</v>
      </c>
      <c r="B711" s="156">
        <v>25</v>
      </c>
      <c r="C711" s="155" t="s">
        <v>4</v>
      </c>
      <c r="D711" s="157" t="s">
        <v>5</v>
      </c>
    </row>
    <row r="712" spans="1:4" ht="15" customHeight="1" x14ac:dyDescent="0.2">
      <c r="A712" s="155" t="s">
        <v>154</v>
      </c>
      <c r="B712" s="156">
        <v>25</v>
      </c>
      <c r="C712" s="155" t="s">
        <v>4</v>
      </c>
      <c r="D712" s="157" t="s">
        <v>5</v>
      </c>
    </row>
    <row r="713" spans="1:4" ht="15" customHeight="1" x14ac:dyDescent="0.2">
      <c r="A713" s="155" t="s">
        <v>1256</v>
      </c>
      <c r="B713" s="156">
        <v>25</v>
      </c>
      <c r="C713" s="155" t="s">
        <v>4</v>
      </c>
      <c r="D713" s="157" t="s">
        <v>5</v>
      </c>
    </row>
    <row r="714" spans="1:4" ht="15" customHeight="1" x14ac:dyDescent="0.2">
      <c r="A714" s="155" t="s">
        <v>209</v>
      </c>
      <c r="B714" s="156">
        <v>125</v>
      </c>
      <c r="C714" s="155" t="s">
        <v>4</v>
      </c>
      <c r="D714" s="157" t="s">
        <v>5</v>
      </c>
    </row>
    <row r="715" spans="1:4" ht="15" customHeight="1" x14ac:dyDescent="0.2">
      <c r="A715" s="155" t="s">
        <v>1246</v>
      </c>
      <c r="B715" s="156">
        <v>300</v>
      </c>
      <c r="C715" s="155" t="s">
        <v>4</v>
      </c>
      <c r="D715" s="157" t="s">
        <v>5</v>
      </c>
    </row>
    <row r="716" spans="1:4" ht="15" customHeight="1" x14ac:dyDescent="0.2">
      <c r="A716" s="155" t="s">
        <v>199</v>
      </c>
      <c r="B716" s="156">
        <v>125</v>
      </c>
      <c r="C716" s="155" t="s">
        <v>4</v>
      </c>
      <c r="D716" s="157" t="s">
        <v>5</v>
      </c>
    </row>
    <row r="717" spans="1:4" ht="15" customHeight="1" x14ac:dyDescent="0.2">
      <c r="A717" s="155" t="s">
        <v>1237</v>
      </c>
      <c r="B717" s="156">
        <v>125</v>
      </c>
      <c r="C717" s="155" t="s">
        <v>4</v>
      </c>
      <c r="D717" s="157" t="s">
        <v>5</v>
      </c>
    </row>
    <row r="718" spans="1:4" ht="15" customHeight="1" x14ac:dyDescent="0.2">
      <c r="A718" s="155" t="s">
        <v>191</v>
      </c>
      <c r="B718" s="156">
        <v>125</v>
      </c>
      <c r="C718" s="155" t="s">
        <v>4</v>
      </c>
      <c r="D718" s="157" t="s">
        <v>5</v>
      </c>
    </row>
    <row r="719" spans="1:4" ht="15" customHeight="1" x14ac:dyDescent="0.2">
      <c r="A719" s="155" t="s">
        <v>1229</v>
      </c>
      <c r="B719" s="156">
        <v>125</v>
      </c>
      <c r="C719" s="155" t="s">
        <v>4</v>
      </c>
      <c r="D719" s="157" t="s">
        <v>5</v>
      </c>
    </row>
    <row r="720" spans="1:4" ht="15" customHeight="1" x14ac:dyDescent="0.2">
      <c r="A720" s="155" t="s">
        <v>183</v>
      </c>
      <c r="B720" s="158">
        <v>18.18</v>
      </c>
      <c r="C720" s="155" t="s">
        <v>4</v>
      </c>
      <c r="D720" s="157" t="s">
        <v>5</v>
      </c>
    </row>
    <row r="721" spans="1:4" ht="15" customHeight="1" x14ac:dyDescent="0.2">
      <c r="A721" s="155" t="s">
        <v>1289</v>
      </c>
      <c r="B721" s="156">
        <v>125</v>
      </c>
      <c r="C721" s="155" t="s">
        <v>4</v>
      </c>
      <c r="D721" s="157" t="s">
        <v>5</v>
      </c>
    </row>
    <row r="722" spans="1:4" ht="15" customHeight="1" x14ac:dyDescent="0.2">
      <c r="A722" s="155" t="s">
        <v>241</v>
      </c>
      <c r="B722" s="156">
        <v>125</v>
      </c>
      <c r="C722" s="155" t="s">
        <v>4</v>
      </c>
      <c r="D722" s="157" t="s">
        <v>5</v>
      </c>
    </row>
    <row r="723" spans="1:4" ht="15" customHeight="1" x14ac:dyDescent="0.2">
      <c r="A723" s="155" t="s">
        <v>1280</v>
      </c>
      <c r="B723" s="156">
        <v>125</v>
      </c>
      <c r="C723" s="155" t="s">
        <v>4</v>
      </c>
      <c r="D723" s="157" t="s">
        <v>5</v>
      </c>
    </row>
    <row r="724" spans="1:4" ht="15" customHeight="1" x14ac:dyDescent="0.2">
      <c r="A724" s="155" t="s">
        <v>233</v>
      </c>
      <c r="B724" s="156">
        <v>125</v>
      </c>
      <c r="C724" s="155" t="s">
        <v>4</v>
      </c>
      <c r="D724" s="157" t="s">
        <v>5</v>
      </c>
    </row>
    <row r="725" spans="1:4" ht="15" customHeight="1" x14ac:dyDescent="0.2">
      <c r="A725" s="155" t="s">
        <v>1272</v>
      </c>
      <c r="B725" s="156">
        <v>325</v>
      </c>
      <c r="C725" s="155" t="s">
        <v>4</v>
      </c>
      <c r="D725" s="157" t="s">
        <v>5</v>
      </c>
    </row>
    <row r="726" spans="1:4" ht="15" customHeight="1" x14ac:dyDescent="0.2">
      <c r="A726" s="155" t="s">
        <v>225</v>
      </c>
      <c r="B726" s="156">
        <v>125</v>
      </c>
      <c r="C726" s="155" t="s">
        <v>4</v>
      </c>
      <c r="D726" s="157" t="s">
        <v>5</v>
      </c>
    </row>
    <row r="727" spans="1:4" ht="15" customHeight="1" x14ac:dyDescent="0.2">
      <c r="A727" s="155" t="s">
        <v>1264</v>
      </c>
      <c r="B727" s="156">
        <v>125</v>
      </c>
      <c r="C727" s="155" t="s">
        <v>4</v>
      </c>
      <c r="D727" s="157" t="s">
        <v>5</v>
      </c>
    </row>
    <row r="728" spans="1:4" ht="15" customHeight="1" x14ac:dyDescent="0.2">
      <c r="A728" s="155" t="s">
        <v>217</v>
      </c>
      <c r="B728" s="156">
        <v>195</v>
      </c>
      <c r="C728" s="155" t="s">
        <v>4</v>
      </c>
      <c r="D728" s="157" t="s">
        <v>5</v>
      </c>
    </row>
    <row r="729" spans="1:4" ht="15" customHeight="1" x14ac:dyDescent="0.2">
      <c r="A729" s="155" t="s">
        <v>1321</v>
      </c>
      <c r="B729" s="156">
        <v>125</v>
      </c>
      <c r="C729" s="155" t="s">
        <v>4</v>
      </c>
      <c r="D729" s="157" t="s">
        <v>5</v>
      </c>
    </row>
    <row r="730" spans="1:4" ht="15" customHeight="1" x14ac:dyDescent="0.2">
      <c r="A730" s="155" t="s">
        <v>274</v>
      </c>
      <c r="B730" s="156">
        <v>2100</v>
      </c>
      <c r="C730" s="155" t="s">
        <v>4</v>
      </c>
      <c r="D730" s="157" t="s">
        <v>5</v>
      </c>
    </row>
    <row r="731" spans="1:4" ht="15" customHeight="1" x14ac:dyDescent="0.2">
      <c r="A731" s="155" t="s">
        <v>1313</v>
      </c>
      <c r="B731" s="156">
        <v>125</v>
      </c>
      <c r="C731" s="155" t="s">
        <v>4</v>
      </c>
      <c r="D731" s="157" t="s">
        <v>5</v>
      </c>
    </row>
    <row r="732" spans="1:4" ht="15" customHeight="1" x14ac:dyDescent="0.2">
      <c r="A732" s="155" t="s">
        <v>266</v>
      </c>
      <c r="B732" s="156">
        <v>350</v>
      </c>
      <c r="C732" s="155" t="s">
        <v>4</v>
      </c>
      <c r="D732" s="157" t="s">
        <v>5</v>
      </c>
    </row>
    <row r="733" spans="1:4" ht="15" customHeight="1" x14ac:dyDescent="0.2">
      <c r="A733" s="155" t="s">
        <v>1305</v>
      </c>
      <c r="B733" s="156">
        <v>125</v>
      </c>
      <c r="C733" s="155" t="s">
        <v>4</v>
      </c>
      <c r="D733" s="157" t="s">
        <v>5</v>
      </c>
    </row>
    <row r="734" spans="1:4" ht="15" customHeight="1" x14ac:dyDescent="0.2">
      <c r="A734" s="155" t="s">
        <v>258</v>
      </c>
      <c r="B734" s="156">
        <v>125</v>
      </c>
      <c r="C734" s="155" t="s">
        <v>4</v>
      </c>
      <c r="D734" s="157" t="s">
        <v>5</v>
      </c>
    </row>
    <row r="735" spans="1:4" ht="15" customHeight="1" x14ac:dyDescent="0.2">
      <c r="A735" s="155" t="s">
        <v>1297</v>
      </c>
      <c r="B735" s="156">
        <v>125</v>
      </c>
      <c r="C735" s="155" t="s">
        <v>4</v>
      </c>
      <c r="D735" s="157" t="s">
        <v>5</v>
      </c>
    </row>
    <row r="736" spans="1:4" ht="15" customHeight="1" x14ac:dyDescent="0.2">
      <c r="A736" s="155" t="s">
        <v>250</v>
      </c>
      <c r="B736" s="156">
        <v>125</v>
      </c>
      <c r="C736" s="155" t="s">
        <v>4</v>
      </c>
      <c r="D736" s="157" t="s">
        <v>5</v>
      </c>
    </row>
    <row r="737" spans="1:4" ht="15" customHeight="1" x14ac:dyDescent="0.2">
      <c r="A737" s="155" t="s">
        <v>1353</v>
      </c>
      <c r="B737" s="156">
        <v>125</v>
      </c>
      <c r="C737" s="155" t="s">
        <v>4</v>
      </c>
      <c r="D737" s="157" t="s">
        <v>5</v>
      </c>
    </row>
    <row r="738" spans="1:4" ht="15" customHeight="1" x14ac:dyDescent="0.2">
      <c r="A738" s="155" t="s">
        <v>306</v>
      </c>
      <c r="B738" s="156">
        <v>125</v>
      </c>
      <c r="C738" s="155" t="s">
        <v>4</v>
      </c>
      <c r="D738" s="157" t="s">
        <v>5</v>
      </c>
    </row>
    <row r="739" spans="1:4" ht="15" customHeight="1" x14ac:dyDescent="0.2">
      <c r="A739" s="155" t="s">
        <v>1345</v>
      </c>
      <c r="B739" s="156">
        <v>125</v>
      </c>
      <c r="C739" s="155" t="s">
        <v>4</v>
      </c>
      <c r="D739" s="157" t="s">
        <v>5</v>
      </c>
    </row>
    <row r="740" spans="1:4" ht="15" customHeight="1" x14ac:dyDescent="0.2">
      <c r="A740" s="155" t="s">
        <v>298</v>
      </c>
      <c r="B740" s="156">
        <v>125</v>
      </c>
      <c r="C740" s="155" t="s">
        <v>4</v>
      </c>
      <c r="D740" s="157" t="s">
        <v>5</v>
      </c>
    </row>
    <row r="741" spans="1:4" ht="15" customHeight="1" x14ac:dyDescent="0.2">
      <c r="A741" s="155" t="s">
        <v>1337</v>
      </c>
      <c r="B741" s="160">
        <v>222.67959999999999</v>
      </c>
      <c r="C741" s="155" t="s">
        <v>4</v>
      </c>
      <c r="D741" s="157" t="s">
        <v>5</v>
      </c>
    </row>
    <row r="742" spans="1:4" ht="15" customHeight="1" x14ac:dyDescent="0.2">
      <c r="A742" s="155" t="s">
        <v>290</v>
      </c>
      <c r="B742" s="161">
        <v>4.997579</v>
      </c>
      <c r="C742" s="155" t="s">
        <v>4</v>
      </c>
      <c r="D742" s="157" t="s">
        <v>5</v>
      </c>
    </row>
    <row r="743" spans="1:4" ht="15" customHeight="1" x14ac:dyDescent="0.2">
      <c r="A743" s="155" t="s">
        <v>1329</v>
      </c>
      <c r="B743" s="156">
        <v>125</v>
      </c>
      <c r="C743" s="155" t="s">
        <v>4</v>
      </c>
      <c r="D743" s="157" t="s">
        <v>5</v>
      </c>
    </row>
    <row r="744" spans="1:4" ht="15" customHeight="1" x14ac:dyDescent="0.2">
      <c r="A744" s="155" t="s">
        <v>282</v>
      </c>
      <c r="B744" s="156">
        <v>125</v>
      </c>
      <c r="C744" s="155" t="s">
        <v>4</v>
      </c>
      <c r="D744" s="157" t="s">
        <v>5</v>
      </c>
    </row>
    <row r="745" spans="1:4" ht="15" customHeight="1" x14ac:dyDescent="0.2">
      <c r="A745" s="155" t="s">
        <v>1385</v>
      </c>
      <c r="B745" s="156">
        <v>125</v>
      </c>
      <c r="C745" s="155" t="s">
        <v>4</v>
      </c>
      <c r="D745" s="157" t="s">
        <v>5</v>
      </c>
    </row>
    <row r="746" spans="1:4" ht="15" customHeight="1" x14ac:dyDescent="0.2">
      <c r="A746" s="155" t="s">
        <v>338</v>
      </c>
      <c r="B746" s="156">
        <v>125</v>
      </c>
      <c r="C746" s="155" t="s">
        <v>4</v>
      </c>
      <c r="D746" s="157" t="s">
        <v>5</v>
      </c>
    </row>
    <row r="747" spans="1:4" ht="15" customHeight="1" x14ac:dyDescent="0.2">
      <c r="A747" s="155" t="s">
        <v>1377</v>
      </c>
      <c r="B747" s="156">
        <v>100</v>
      </c>
      <c r="C747" s="155" t="s">
        <v>4</v>
      </c>
      <c r="D747" s="157" t="s">
        <v>5</v>
      </c>
    </row>
    <row r="748" spans="1:4" ht="15" customHeight="1" x14ac:dyDescent="0.2">
      <c r="A748" s="155" t="s">
        <v>330</v>
      </c>
      <c r="B748" s="156">
        <v>125</v>
      </c>
      <c r="C748" s="155" t="s">
        <v>4</v>
      </c>
      <c r="D748" s="157" t="s">
        <v>5</v>
      </c>
    </row>
    <row r="749" spans="1:4" ht="15" customHeight="1" x14ac:dyDescent="0.2">
      <c r="A749" s="155" t="s">
        <v>1369</v>
      </c>
      <c r="B749" s="156">
        <v>125</v>
      </c>
      <c r="C749" s="155" t="s">
        <v>4</v>
      </c>
      <c r="D749" s="157" t="s">
        <v>5</v>
      </c>
    </row>
    <row r="750" spans="1:4" ht="15" customHeight="1" x14ac:dyDescent="0.2">
      <c r="A750" s="155" t="s">
        <v>322</v>
      </c>
      <c r="B750" s="156">
        <v>125</v>
      </c>
      <c r="C750" s="155" t="s">
        <v>4</v>
      </c>
      <c r="D750" s="157" t="s">
        <v>5</v>
      </c>
    </row>
    <row r="751" spans="1:4" ht="15" customHeight="1" x14ac:dyDescent="0.2">
      <c r="A751" s="155" t="s">
        <v>1361</v>
      </c>
      <c r="B751" s="156">
        <v>125</v>
      </c>
      <c r="C751" s="155" t="s">
        <v>4</v>
      </c>
      <c r="D751" s="157" t="s">
        <v>5</v>
      </c>
    </row>
    <row r="752" spans="1:4" ht="15" customHeight="1" x14ac:dyDescent="0.2">
      <c r="A752" s="155" t="s">
        <v>314</v>
      </c>
      <c r="B752" s="156">
        <v>125</v>
      </c>
      <c r="C752" s="155" t="s">
        <v>4</v>
      </c>
      <c r="D752" s="157" t="s">
        <v>5</v>
      </c>
    </row>
    <row r="753" spans="1:4" ht="15" customHeight="1" x14ac:dyDescent="0.2">
      <c r="A753" s="155" t="s">
        <v>1418</v>
      </c>
      <c r="B753" s="156">
        <v>100</v>
      </c>
      <c r="C753" s="155" t="s">
        <v>4</v>
      </c>
      <c r="D753" s="157" t="s">
        <v>5</v>
      </c>
    </row>
    <row r="754" spans="1:4" ht="15" customHeight="1" x14ac:dyDescent="0.2">
      <c r="A754" s="155" t="s">
        <v>371</v>
      </c>
      <c r="B754" s="156">
        <v>50</v>
      </c>
      <c r="C754" s="155" t="s">
        <v>4</v>
      </c>
      <c r="D754" s="157" t="s">
        <v>5</v>
      </c>
    </row>
    <row r="755" spans="1:4" ht="15" customHeight="1" x14ac:dyDescent="0.2">
      <c r="A755" s="155" t="s">
        <v>1410</v>
      </c>
      <c r="B755" s="156">
        <v>25</v>
      </c>
      <c r="C755" s="155" t="s">
        <v>4</v>
      </c>
      <c r="D755" s="157" t="s">
        <v>5</v>
      </c>
    </row>
    <row r="756" spans="1:4" ht="15" customHeight="1" x14ac:dyDescent="0.2">
      <c r="A756" s="155" t="s">
        <v>363</v>
      </c>
      <c r="B756" s="156">
        <v>125</v>
      </c>
      <c r="C756" s="155" t="s">
        <v>4</v>
      </c>
      <c r="D756" s="157" t="s">
        <v>5</v>
      </c>
    </row>
    <row r="757" spans="1:4" ht="15" customHeight="1" x14ac:dyDescent="0.2">
      <c r="A757" s="155" t="s">
        <v>1401</v>
      </c>
      <c r="B757" s="156">
        <v>125</v>
      </c>
      <c r="C757" s="155" t="s">
        <v>4</v>
      </c>
      <c r="D757" s="157" t="s">
        <v>5</v>
      </c>
    </row>
    <row r="758" spans="1:4" ht="15" customHeight="1" x14ac:dyDescent="0.2">
      <c r="A758" s="155" t="s">
        <v>354</v>
      </c>
      <c r="B758" s="156">
        <v>125</v>
      </c>
      <c r="C758" s="155" t="s">
        <v>4</v>
      </c>
      <c r="D758" s="157" t="s">
        <v>5</v>
      </c>
    </row>
    <row r="759" spans="1:4" ht="15" customHeight="1" x14ac:dyDescent="0.2">
      <c r="A759" s="155" t="s">
        <v>1393</v>
      </c>
      <c r="B759" s="156">
        <v>100</v>
      </c>
      <c r="C759" s="155" t="s">
        <v>4</v>
      </c>
      <c r="D759" s="157" t="s">
        <v>5</v>
      </c>
    </row>
    <row r="760" spans="1:4" ht="15" customHeight="1" x14ac:dyDescent="0.2">
      <c r="A760" s="155" t="s">
        <v>346</v>
      </c>
      <c r="B760" s="156">
        <v>100</v>
      </c>
      <c r="C760" s="155" t="s">
        <v>4</v>
      </c>
      <c r="D760" s="157" t="s">
        <v>5</v>
      </c>
    </row>
    <row r="761" spans="1:4" ht="15" customHeight="1" x14ac:dyDescent="0.2">
      <c r="A761" s="155" t="s">
        <v>1451</v>
      </c>
      <c r="B761" s="156">
        <v>125</v>
      </c>
      <c r="C761" s="155" t="s">
        <v>4</v>
      </c>
      <c r="D761" s="157" t="s">
        <v>5</v>
      </c>
    </row>
    <row r="762" spans="1:4" ht="15" customHeight="1" x14ac:dyDescent="0.2">
      <c r="A762" s="155" t="s">
        <v>403</v>
      </c>
      <c r="B762" s="156">
        <v>125</v>
      </c>
      <c r="C762" s="155" t="s">
        <v>4</v>
      </c>
      <c r="D762" s="157" t="s">
        <v>5</v>
      </c>
    </row>
    <row r="763" spans="1:4" ht="15" customHeight="1" x14ac:dyDescent="0.2">
      <c r="A763" s="155" t="s">
        <v>1442</v>
      </c>
      <c r="B763" s="156">
        <v>125</v>
      </c>
      <c r="C763" s="155" t="s">
        <v>4</v>
      </c>
      <c r="D763" s="157" t="s">
        <v>5</v>
      </c>
    </row>
    <row r="764" spans="1:4" ht="15" customHeight="1" x14ac:dyDescent="0.2">
      <c r="A764" s="155" t="s">
        <v>395</v>
      </c>
      <c r="B764" s="156">
        <v>125</v>
      </c>
      <c r="C764" s="155" t="s">
        <v>4</v>
      </c>
      <c r="D764" s="157" t="s">
        <v>5</v>
      </c>
    </row>
    <row r="765" spans="1:4" ht="15" customHeight="1" x14ac:dyDescent="0.2">
      <c r="A765" s="155" t="s">
        <v>1434</v>
      </c>
      <c r="B765" s="156">
        <v>25</v>
      </c>
      <c r="C765" s="155" t="s">
        <v>4</v>
      </c>
      <c r="D765" s="157" t="s">
        <v>5</v>
      </c>
    </row>
    <row r="766" spans="1:4" ht="15" customHeight="1" x14ac:dyDescent="0.2">
      <c r="A766" s="155" t="s">
        <v>387</v>
      </c>
      <c r="B766" s="156">
        <v>50</v>
      </c>
      <c r="C766" s="155" t="s">
        <v>4</v>
      </c>
      <c r="D766" s="157" t="s">
        <v>5</v>
      </c>
    </row>
    <row r="767" spans="1:4" ht="15" customHeight="1" x14ac:dyDescent="0.2">
      <c r="A767" s="155" t="s">
        <v>1426</v>
      </c>
      <c r="B767" s="156">
        <v>125</v>
      </c>
      <c r="C767" s="155" t="s">
        <v>4</v>
      </c>
      <c r="D767" s="157" t="s">
        <v>5</v>
      </c>
    </row>
    <row r="768" spans="1:4" ht="15" customHeight="1" x14ac:dyDescent="0.2">
      <c r="A768" s="155" t="s">
        <v>379</v>
      </c>
      <c r="B768" s="156">
        <v>125</v>
      </c>
      <c r="C768" s="155" t="s">
        <v>4</v>
      </c>
      <c r="D768" s="157" t="s">
        <v>5</v>
      </c>
    </row>
    <row r="769" spans="1:4" ht="15" customHeight="1" x14ac:dyDescent="0.2">
      <c r="A769" s="155" t="s">
        <v>1980</v>
      </c>
      <c r="B769" s="156">
        <v>3</v>
      </c>
      <c r="C769" s="155" t="s">
        <v>4</v>
      </c>
      <c r="D769" s="157" t="s">
        <v>5</v>
      </c>
    </row>
    <row r="770" spans="1:4" ht="15" customHeight="1" x14ac:dyDescent="0.2">
      <c r="A770" s="155" t="s">
        <v>933</v>
      </c>
      <c r="B770" s="156">
        <v>25</v>
      </c>
      <c r="C770" s="155" t="s">
        <v>4</v>
      </c>
      <c r="D770" s="157" t="s">
        <v>5</v>
      </c>
    </row>
    <row r="771" spans="1:4" ht="15" customHeight="1" x14ac:dyDescent="0.2">
      <c r="A771" s="155" t="s">
        <v>1972</v>
      </c>
      <c r="B771" s="156">
        <v>125</v>
      </c>
      <c r="C771" s="155" t="s">
        <v>4</v>
      </c>
      <c r="D771" s="157" t="s">
        <v>5</v>
      </c>
    </row>
    <row r="772" spans="1:4" ht="15" customHeight="1" x14ac:dyDescent="0.2">
      <c r="A772" s="155" t="s">
        <v>925</v>
      </c>
      <c r="B772" s="156">
        <v>125</v>
      </c>
      <c r="C772" s="155" t="s">
        <v>4</v>
      </c>
      <c r="D772" s="157" t="s">
        <v>5</v>
      </c>
    </row>
    <row r="773" spans="1:4" ht="15" customHeight="1" x14ac:dyDescent="0.2">
      <c r="A773" s="155" t="s">
        <v>1964</v>
      </c>
      <c r="B773" s="156">
        <v>125</v>
      </c>
      <c r="C773" s="155" t="s">
        <v>4</v>
      </c>
      <c r="D773" s="157" t="s">
        <v>5</v>
      </c>
    </row>
    <row r="774" spans="1:4" ht="15" customHeight="1" x14ac:dyDescent="0.2">
      <c r="A774" s="155" t="s">
        <v>917</v>
      </c>
      <c r="B774" s="156">
        <v>125</v>
      </c>
      <c r="C774" s="155" t="s">
        <v>4</v>
      </c>
      <c r="D774" s="157" t="s">
        <v>5</v>
      </c>
    </row>
    <row r="775" spans="1:4" ht="15" customHeight="1" x14ac:dyDescent="0.2">
      <c r="A775" s="155" t="s">
        <v>1956</v>
      </c>
      <c r="B775" s="156">
        <v>125</v>
      </c>
      <c r="C775" s="155" t="s">
        <v>4</v>
      </c>
      <c r="D775" s="157" t="s">
        <v>5</v>
      </c>
    </row>
    <row r="776" spans="1:4" ht="15" customHeight="1" x14ac:dyDescent="0.2">
      <c r="A776" s="155" t="s">
        <v>909</v>
      </c>
      <c r="B776" s="156">
        <v>125</v>
      </c>
      <c r="C776" s="155" t="s">
        <v>4</v>
      </c>
      <c r="D776" s="157" t="s">
        <v>5</v>
      </c>
    </row>
    <row r="777" spans="1:4" ht="15" customHeight="1" x14ac:dyDescent="0.2">
      <c r="A777" s="155" t="s">
        <v>2011</v>
      </c>
      <c r="B777" s="156">
        <v>125</v>
      </c>
      <c r="C777" s="155" t="s">
        <v>4</v>
      </c>
      <c r="D777" s="157" t="s">
        <v>5</v>
      </c>
    </row>
    <row r="778" spans="1:4" ht="15" customHeight="1" x14ac:dyDescent="0.2">
      <c r="A778" s="155" t="s">
        <v>964</v>
      </c>
      <c r="B778" s="156">
        <v>125</v>
      </c>
      <c r="C778" s="155" t="s">
        <v>4</v>
      </c>
      <c r="D778" s="157" t="s">
        <v>5</v>
      </c>
    </row>
    <row r="779" spans="1:4" ht="15" customHeight="1" x14ac:dyDescent="0.2">
      <c r="A779" s="155" t="s">
        <v>2003</v>
      </c>
      <c r="B779" s="156">
        <v>125</v>
      </c>
      <c r="C779" s="155" t="s">
        <v>4</v>
      </c>
      <c r="D779" s="157" t="s">
        <v>5</v>
      </c>
    </row>
    <row r="780" spans="1:4" ht="15" customHeight="1" x14ac:dyDescent="0.2">
      <c r="A780" s="155" t="s">
        <v>957</v>
      </c>
      <c r="B780" s="156">
        <v>125</v>
      </c>
      <c r="C780" s="155" t="s">
        <v>4</v>
      </c>
      <c r="D780" s="157" t="s">
        <v>5</v>
      </c>
    </row>
    <row r="781" spans="1:4" ht="15" customHeight="1" x14ac:dyDescent="0.2">
      <c r="A781" s="155" t="s">
        <v>1996</v>
      </c>
      <c r="B781" s="156">
        <v>4560</v>
      </c>
      <c r="C781" s="155" t="s">
        <v>4</v>
      </c>
      <c r="D781" s="157" t="s">
        <v>5</v>
      </c>
    </row>
    <row r="782" spans="1:4" ht="15" customHeight="1" x14ac:dyDescent="0.2">
      <c r="A782" s="155" t="s">
        <v>949</v>
      </c>
      <c r="B782" s="156">
        <v>125</v>
      </c>
      <c r="C782" s="155" t="s">
        <v>4</v>
      </c>
      <c r="D782" s="157" t="s">
        <v>5</v>
      </c>
    </row>
    <row r="783" spans="1:4" ht="15" customHeight="1" x14ac:dyDescent="0.2">
      <c r="A783" s="155" t="s">
        <v>1988</v>
      </c>
      <c r="B783" s="156">
        <v>125</v>
      </c>
      <c r="C783" s="155" t="s">
        <v>4</v>
      </c>
      <c r="D783" s="157" t="s">
        <v>5</v>
      </c>
    </row>
    <row r="784" spans="1:4" ht="15" customHeight="1" x14ac:dyDescent="0.2">
      <c r="A784" s="155" t="s">
        <v>941</v>
      </c>
      <c r="B784" s="156">
        <v>125</v>
      </c>
      <c r="C784" s="155" t="s">
        <v>4</v>
      </c>
      <c r="D784" s="157" t="s">
        <v>5</v>
      </c>
    </row>
    <row r="785" spans="1:4" ht="15" customHeight="1" x14ac:dyDescent="0.2">
      <c r="A785" s="155" t="s">
        <v>2038</v>
      </c>
      <c r="B785" s="156">
        <v>125</v>
      </c>
      <c r="C785" s="155" t="s">
        <v>4</v>
      </c>
      <c r="D785" s="157" t="s">
        <v>5</v>
      </c>
    </row>
    <row r="786" spans="1:4" ht="15" customHeight="1" x14ac:dyDescent="0.2">
      <c r="A786" s="155" t="s">
        <v>991</v>
      </c>
      <c r="B786" s="156">
        <v>125</v>
      </c>
      <c r="C786" s="155" t="s">
        <v>4</v>
      </c>
      <c r="D786" s="157" t="s">
        <v>5</v>
      </c>
    </row>
    <row r="787" spans="1:4" ht="15" customHeight="1" x14ac:dyDescent="0.2">
      <c r="A787" s="155" t="s">
        <v>2030</v>
      </c>
      <c r="B787" s="156">
        <v>125</v>
      </c>
      <c r="C787" s="155" t="s">
        <v>4</v>
      </c>
      <c r="D787" s="157" t="s">
        <v>5</v>
      </c>
    </row>
    <row r="788" spans="1:4" ht="15" customHeight="1" x14ac:dyDescent="0.2">
      <c r="A788" s="155" t="s">
        <v>988</v>
      </c>
      <c r="B788" s="156">
        <v>125</v>
      </c>
      <c r="C788" s="155" t="s">
        <v>4</v>
      </c>
      <c r="D788" s="157" t="s">
        <v>5</v>
      </c>
    </row>
    <row r="789" spans="1:4" ht="15" customHeight="1" x14ac:dyDescent="0.2">
      <c r="A789" s="155" t="s">
        <v>2027</v>
      </c>
      <c r="B789" s="156">
        <v>125</v>
      </c>
      <c r="C789" s="155" t="s">
        <v>4</v>
      </c>
      <c r="D789" s="157" t="s">
        <v>5</v>
      </c>
    </row>
    <row r="790" spans="1:4" ht="15" customHeight="1" x14ac:dyDescent="0.2">
      <c r="A790" s="155" t="s">
        <v>980</v>
      </c>
      <c r="B790" s="156">
        <v>125</v>
      </c>
      <c r="C790" s="155" t="s">
        <v>4</v>
      </c>
      <c r="D790" s="157" t="s">
        <v>5</v>
      </c>
    </row>
    <row r="791" spans="1:4" ht="15" customHeight="1" x14ac:dyDescent="0.2">
      <c r="A791" s="155" t="s">
        <v>2019</v>
      </c>
      <c r="B791" s="156">
        <v>300</v>
      </c>
      <c r="C791" s="155" t="s">
        <v>4</v>
      </c>
      <c r="D791" s="157" t="s">
        <v>5</v>
      </c>
    </row>
    <row r="792" spans="1:4" ht="15" customHeight="1" x14ac:dyDescent="0.2">
      <c r="A792" s="155" t="s">
        <v>972</v>
      </c>
      <c r="B792" s="156">
        <v>125</v>
      </c>
      <c r="C792" s="155" t="s">
        <v>4</v>
      </c>
      <c r="D792" s="157" t="s">
        <v>5</v>
      </c>
    </row>
    <row r="793" spans="1:4" ht="15" customHeight="1" x14ac:dyDescent="0.2">
      <c r="A793" s="155" t="s">
        <v>2072</v>
      </c>
      <c r="B793" s="156">
        <v>125</v>
      </c>
      <c r="C793" s="155" t="s">
        <v>4</v>
      </c>
      <c r="D793" s="157" t="s">
        <v>5</v>
      </c>
    </row>
    <row r="794" spans="1:4" ht="15" customHeight="1" x14ac:dyDescent="0.2">
      <c r="A794" s="155" t="s">
        <v>1027</v>
      </c>
      <c r="B794" s="156">
        <v>125</v>
      </c>
      <c r="C794" s="155" t="s">
        <v>4</v>
      </c>
      <c r="D794" s="157" t="s">
        <v>5</v>
      </c>
    </row>
    <row r="795" spans="1:4" ht="15" customHeight="1" x14ac:dyDescent="0.2">
      <c r="A795" s="155" t="s">
        <v>2062</v>
      </c>
      <c r="B795" s="156">
        <v>25</v>
      </c>
      <c r="C795" s="155" t="s">
        <v>4</v>
      </c>
      <c r="D795" s="157" t="s">
        <v>5</v>
      </c>
    </row>
    <row r="796" spans="1:4" ht="15" customHeight="1" x14ac:dyDescent="0.2">
      <c r="A796" s="155" t="s">
        <v>1018</v>
      </c>
      <c r="B796" s="156">
        <v>125</v>
      </c>
      <c r="C796" s="155" t="s">
        <v>4</v>
      </c>
      <c r="D796" s="157" t="s">
        <v>5</v>
      </c>
    </row>
    <row r="797" spans="1:4" ht="15" customHeight="1" x14ac:dyDescent="0.2">
      <c r="A797" s="155" t="s">
        <v>2054</v>
      </c>
      <c r="B797" s="156">
        <v>125</v>
      </c>
      <c r="C797" s="155" t="s">
        <v>4</v>
      </c>
      <c r="D797" s="157" t="s">
        <v>5</v>
      </c>
    </row>
    <row r="798" spans="1:4" ht="15" customHeight="1" x14ac:dyDescent="0.2">
      <c r="A798" s="155" t="s">
        <v>1007</v>
      </c>
      <c r="B798" s="156">
        <v>125</v>
      </c>
      <c r="C798" s="155" t="s">
        <v>4</v>
      </c>
      <c r="D798" s="157" t="s">
        <v>5</v>
      </c>
    </row>
    <row r="799" spans="1:4" ht="15" customHeight="1" x14ac:dyDescent="0.2">
      <c r="A799" s="155" t="s">
        <v>2046</v>
      </c>
      <c r="B799" s="156">
        <v>125</v>
      </c>
      <c r="C799" s="155" t="s">
        <v>4</v>
      </c>
      <c r="D799" s="157" t="s">
        <v>5</v>
      </c>
    </row>
    <row r="800" spans="1:4" ht="15" customHeight="1" x14ac:dyDescent="0.2">
      <c r="A800" s="155" t="s">
        <v>999</v>
      </c>
      <c r="B800" s="156">
        <v>125</v>
      </c>
      <c r="C800" s="155" t="s">
        <v>4</v>
      </c>
      <c r="D800" s="157" t="s">
        <v>5</v>
      </c>
    </row>
    <row r="801" spans="1:4" ht="15" customHeight="1" x14ac:dyDescent="0.2">
      <c r="A801" s="155" t="s">
        <v>23</v>
      </c>
      <c r="B801" s="156">
        <v>25</v>
      </c>
      <c r="C801" s="155" t="s">
        <v>4</v>
      </c>
      <c r="D801" s="157" t="s">
        <v>5</v>
      </c>
    </row>
    <row r="802" spans="1:4" ht="15" customHeight="1" x14ac:dyDescent="0.2">
      <c r="A802" s="155" t="s">
        <v>1060</v>
      </c>
      <c r="B802" s="156">
        <v>25</v>
      </c>
      <c r="C802" s="155" t="s">
        <v>4</v>
      </c>
      <c r="D802" s="157" t="s">
        <v>5</v>
      </c>
    </row>
    <row r="803" spans="1:4" ht="15" customHeight="1" x14ac:dyDescent="0.2">
      <c r="A803" s="155" t="s">
        <v>15</v>
      </c>
      <c r="B803" s="156">
        <v>25</v>
      </c>
      <c r="C803" s="155" t="s">
        <v>4</v>
      </c>
      <c r="D803" s="157" t="s">
        <v>5</v>
      </c>
    </row>
    <row r="804" spans="1:4" ht="15" customHeight="1" x14ac:dyDescent="0.2">
      <c r="A804" s="155" t="s">
        <v>1052</v>
      </c>
      <c r="B804" s="156">
        <v>25</v>
      </c>
      <c r="C804" s="155" t="s">
        <v>4</v>
      </c>
      <c r="D804" s="157" t="s">
        <v>5</v>
      </c>
    </row>
    <row r="805" spans="1:4" ht="15" customHeight="1" x14ac:dyDescent="0.2">
      <c r="A805" s="155" t="s">
        <v>7</v>
      </c>
      <c r="B805" s="156">
        <v>25</v>
      </c>
      <c r="C805" s="155" t="s">
        <v>4</v>
      </c>
      <c r="D805" s="157" t="s">
        <v>5</v>
      </c>
    </row>
    <row r="806" spans="1:4" ht="15" customHeight="1" x14ac:dyDescent="0.2">
      <c r="A806" s="155" t="s">
        <v>1044</v>
      </c>
      <c r="B806" s="156">
        <v>25</v>
      </c>
      <c r="C806" s="155" t="s">
        <v>4</v>
      </c>
      <c r="D806" s="157" t="s">
        <v>5</v>
      </c>
    </row>
    <row r="807" spans="1:4" ht="15" customHeight="1" x14ac:dyDescent="0.2">
      <c r="A807" s="155" t="s">
        <v>2080</v>
      </c>
      <c r="B807" s="156">
        <v>25</v>
      </c>
      <c r="C807" s="155" t="s">
        <v>4</v>
      </c>
      <c r="D807" s="157" t="s">
        <v>5</v>
      </c>
    </row>
    <row r="808" spans="1:4" ht="15" customHeight="1" x14ac:dyDescent="0.2">
      <c r="A808" s="155" t="s">
        <v>1036</v>
      </c>
      <c r="B808" s="156">
        <v>25</v>
      </c>
      <c r="C808" s="155" t="s">
        <v>4</v>
      </c>
      <c r="D808" s="157" t="s">
        <v>5</v>
      </c>
    </row>
    <row r="809" spans="1:4" ht="15" customHeight="1" x14ac:dyDescent="0.2">
      <c r="A809" s="155" t="s">
        <v>59</v>
      </c>
      <c r="B809" s="156">
        <v>25</v>
      </c>
      <c r="C809" s="155" t="s">
        <v>4</v>
      </c>
      <c r="D809" s="157" t="s">
        <v>5</v>
      </c>
    </row>
    <row r="810" spans="1:4" ht="15" customHeight="1" x14ac:dyDescent="0.2">
      <c r="A810" s="155" t="s">
        <v>1095</v>
      </c>
      <c r="B810" s="156">
        <v>25</v>
      </c>
      <c r="C810" s="155" t="s">
        <v>4</v>
      </c>
      <c r="D810" s="157" t="s">
        <v>5</v>
      </c>
    </row>
    <row r="811" spans="1:4" ht="15" customHeight="1" x14ac:dyDescent="0.2">
      <c r="A811" s="155" t="s">
        <v>50</v>
      </c>
      <c r="B811" s="156">
        <v>25</v>
      </c>
      <c r="C811" s="155" t="s">
        <v>4</v>
      </c>
      <c r="D811" s="157" t="s">
        <v>5</v>
      </c>
    </row>
    <row r="812" spans="1:4" ht="15" customHeight="1" x14ac:dyDescent="0.2">
      <c r="A812" s="155" t="s">
        <v>1086</v>
      </c>
      <c r="B812" s="156">
        <v>25</v>
      </c>
      <c r="C812" s="155" t="s">
        <v>4</v>
      </c>
      <c r="D812" s="157" t="s">
        <v>5</v>
      </c>
    </row>
    <row r="813" spans="1:4" ht="15" customHeight="1" x14ac:dyDescent="0.2">
      <c r="A813" s="155" t="s">
        <v>41</v>
      </c>
      <c r="B813" s="156">
        <v>25</v>
      </c>
      <c r="C813" s="155" t="s">
        <v>4</v>
      </c>
      <c r="D813" s="157" t="s">
        <v>5</v>
      </c>
    </row>
    <row r="814" spans="1:4" ht="15" customHeight="1" x14ac:dyDescent="0.2">
      <c r="A814" s="155" t="s">
        <v>1077</v>
      </c>
      <c r="B814" s="156">
        <v>25</v>
      </c>
      <c r="C814" s="155" t="s">
        <v>4</v>
      </c>
      <c r="D814" s="157" t="s">
        <v>5</v>
      </c>
    </row>
    <row r="815" spans="1:4" ht="15" customHeight="1" x14ac:dyDescent="0.2">
      <c r="A815" s="155" t="s">
        <v>32</v>
      </c>
      <c r="B815" s="156">
        <v>25</v>
      </c>
      <c r="C815" s="155" t="s">
        <v>4</v>
      </c>
      <c r="D815" s="157" t="s">
        <v>5</v>
      </c>
    </row>
    <row r="816" spans="1:4" ht="15" customHeight="1" x14ac:dyDescent="0.2">
      <c r="A816" s="155" t="s">
        <v>1068</v>
      </c>
      <c r="B816" s="156">
        <v>25</v>
      </c>
      <c r="C816" s="155" t="s">
        <v>4</v>
      </c>
      <c r="D816" s="157" t="s">
        <v>5</v>
      </c>
    </row>
    <row r="817" spans="1:4" ht="15" customHeight="1" x14ac:dyDescent="0.2">
      <c r="A817" s="155" t="s">
        <v>95</v>
      </c>
      <c r="B817" s="156">
        <v>125</v>
      </c>
      <c r="C817" s="155" t="s">
        <v>4</v>
      </c>
      <c r="D817" s="157" t="s">
        <v>5</v>
      </c>
    </row>
    <row r="818" spans="1:4" ht="15" customHeight="1" x14ac:dyDescent="0.2">
      <c r="A818" s="155" t="s">
        <v>1131</v>
      </c>
      <c r="B818" s="156">
        <v>60</v>
      </c>
      <c r="C818" s="155" t="s">
        <v>4</v>
      </c>
      <c r="D818" s="157" t="s">
        <v>5</v>
      </c>
    </row>
    <row r="819" spans="1:4" ht="15" customHeight="1" x14ac:dyDescent="0.2">
      <c r="A819" s="155" t="s">
        <v>86</v>
      </c>
      <c r="B819" s="156">
        <v>5</v>
      </c>
      <c r="C819" s="155" t="s">
        <v>4</v>
      </c>
      <c r="D819" s="157" t="s">
        <v>5</v>
      </c>
    </row>
    <row r="820" spans="1:4" ht="15" customHeight="1" x14ac:dyDescent="0.2">
      <c r="A820" s="155" t="s">
        <v>1122</v>
      </c>
      <c r="B820" s="156">
        <v>125</v>
      </c>
      <c r="C820" s="155" t="s">
        <v>4</v>
      </c>
      <c r="D820" s="157" t="s">
        <v>5</v>
      </c>
    </row>
    <row r="821" spans="1:4" ht="15" customHeight="1" x14ac:dyDescent="0.2">
      <c r="A821" s="155" t="s">
        <v>77</v>
      </c>
      <c r="B821" s="156">
        <v>125</v>
      </c>
      <c r="C821" s="155" t="s">
        <v>4</v>
      </c>
      <c r="D821" s="157" t="s">
        <v>5</v>
      </c>
    </row>
    <row r="822" spans="1:4" ht="15" customHeight="1" x14ac:dyDescent="0.2">
      <c r="A822" s="155" t="s">
        <v>1113</v>
      </c>
      <c r="B822" s="156">
        <v>125</v>
      </c>
      <c r="C822" s="155" t="s">
        <v>4</v>
      </c>
      <c r="D822" s="157" t="s">
        <v>5</v>
      </c>
    </row>
    <row r="823" spans="1:4" ht="15" customHeight="1" x14ac:dyDescent="0.2">
      <c r="A823" s="155" t="s">
        <v>68</v>
      </c>
      <c r="B823" s="156">
        <v>125</v>
      </c>
      <c r="C823" s="155" t="s">
        <v>4</v>
      </c>
      <c r="D823" s="157" t="s">
        <v>5</v>
      </c>
    </row>
    <row r="824" spans="1:4" ht="15" customHeight="1" x14ac:dyDescent="0.2">
      <c r="A824" s="155" t="s">
        <v>1104</v>
      </c>
      <c r="B824" s="156">
        <v>125</v>
      </c>
      <c r="C824" s="155" t="s">
        <v>4</v>
      </c>
      <c r="D824" s="157" t="s">
        <v>5</v>
      </c>
    </row>
    <row r="825" spans="1:4" ht="15" customHeight="1" x14ac:dyDescent="0.2">
      <c r="A825" s="155" t="s">
        <v>131</v>
      </c>
      <c r="B825" s="158">
        <v>2885.22</v>
      </c>
      <c r="C825" s="155" t="s">
        <v>4</v>
      </c>
      <c r="D825" s="157" t="s">
        <v>5</v>
      </c>
    </row>
    <row r="826" spans="1:4" ht="15" customHeight="1" x14ac:dyDescent="0.2">
      <c r="A826" s="155" t="s">
        <v>1167</v>
      </c>
      <c r="B826" s="156">
        <v>125</v>
      </c>
      <c r="C826" s="155" t="s">
        <v>4</v>
      </c>
      <c r="D826" s="157" t="s">
        <v>5</v>
      </c>
    </row>
    <row r="827" spans="1:4" ht="15" customHeight="1" x14ac:dyDescent="0.2">
      <c r="A827" s="155" t="s">
        <v>122</v>
      </c>
      <c r="B827" s="156">
        <v>125</v>
      </c>
      <c r="C827" s="155" t="s">
        <v>4</v>
      </c>
      <c r="D827" s="157" t="s">
        <v>5</v>
      </c>
    </row>
    <row r="828" spans="1:4" ht="15" customHeight="1" x14ac:dyDescent="0.2">
      <c r="A828" s="155" t="s">
        <v>1158</v>
      </c>
      <c r="B828" s="156">
        <v>4520</v>
      </c>
      <c r="C828" s="155" t="s">
        <v>4</v>
      </c>
      <c r="D828" s="157" t="s">
        <v>5</v>
      </c>
    </row>
    <row r="829" spans="1:4" ht="15" customHeight="1" x14ac:dyDescent="0.2">
      <c r="A829" s="155" t="s">
        <v>113</v>
      </c>
      <c r="B829" s="156">
        <v>25</v>
      </c>
      <c r="C829" s="155" t="s">
        <v>4</v>
      </c>
      <c r="D829" s="157" t="s">
        <v>5</v>
      </c>
    </row>
    <row r="830" spans="1:4" ht="15" customHeight="1" x14ac:dyDescent="0.2">
      <c r="A830" s="155" t="s">
        <v>1149</v>
      </c>
      <c r="B830" s="156">
        <v>25</v>
      </c>
      <c r="C830" s="155" t="s">
        <v>4</v>
      </c>
      <c r="D830" s="157" t="s">
        <v>5</v>
      </c>
    </row>
    <row r="831" spans="1:4" ht="15" customHeight="1" x14ac:dyDescent="0.2">
      <c r="A831" s="155" t="s">
        <v>104</v>
      </c>
      <c r="B831" s="156">
        <v>25</v>
      </c>
      <c r="C831" s="155" t="s">
        <v>4</v>
      </c>
      <c r="D831" s="157" t="s">
        <v>5</v>
      </c>
    </row>
    <row r="832" spans="1:4" ht="15" customHeight="1" x14ac:dyDescent="0.2">
      <c r="A832" s="155" t="s">
        <v>1140</v>
      </c>
      <c r="B832" s="156">
        <v>25</v>
      </c>
      <c r="C832" s="155" t="s">
        <v>4</v>
      </c>
      <c r="D832" s="157" t="s">
        <v>5</v>
      </c>
    </row>
    <row r="833" spans="1:4" ht="15" customHeight="1" x14ac:dyDescent="0.2">
      <c r="A833" s="155" t="s">
        <v>1726</v>
      </c>
      <c r="B833" s="156">
        <v>25</v>
      </c>
      <c r="C833" s="155" t="s">
        <v>4</v>
      </c>
      <c r="D833" s="157" t="s">
        <v>5</v>
      </c>
    </row>
    <row r="834" spans="1:4" ht="15" customHeight="1" x14ac:dyDescent="0.2">
      <c r="A834" s="155" t="s">
        <v>680</v>
      </c>
      <c r="B834" s="156">
        <v>25</v>
      </c>
      <c r="C834" s="155" t="s">
        <v>4</v>
      </c>
      <c r="D834" s="157" t="s">
        <v>5</v>
      </c>
    </row>
    <row r="835" spans="1:4" ht="15" customHeight="1" x14ac:dyDescent="0.2">
      <c r="A835" s="155" t="s">
        <v>1719</v>
      </c>
      <c r="B835" s="156">
        <v>25</v>
      </c>
      <c r="C835" s="155" t="s">
        <v>4</v>
      </c>
      <c r="D835" s="157" t="s">
        <v>5</v>
      </c>
    </row>
    <row r="836" spans="1:4" ht="15" customHeight="1" x14ac:dyDescent="0.2">
      <c r="A836" s="155" t="s">
        <v>672</v>
      </c>
      <c r="B836" s="156">
        <v>80150</v>
      </c>
      <c r="C836" s="155" t="s">
        <v>4</v>
      </c>
      <c r="D836" s="157" t="s">
        <v>5</v>
      </c>
    </row>
    <row r="837" spans="1:4" ht="15" customHeight="1" x14ac:dyDescent="0.2">
      <c r="A837" s="155" t="s">
        <v>1711</v>
      </c>
      <c r="B837" s="156">
        <v>711050</v>
      </c>
      <c r="C837" s="155" t="s">
        <v>4</v>
      </c>
      <c r="D837" s="157" t="s">
        <v>5</v>
      </c>
    </row>
    <row r="838" spans="1:4" ht="15" customHeight="1" x14ac:dyDescent="0.2">
      <c r="A838" s="155" t="s">
        <v>665</v>
      </c>
      <c r="B838" s="156">
        <v>18200</v>
      </c>
      <c r="C838" s="155" t="s">
        <v>4</v>
      </c>
      <c r="D838" s="157" t="s">
        <v>5</v>
      </c>
    </row>
    <row r="839" spans="1:4" ht="15" customHeight="1" x14ac:dyDescent="0.2">
      <c r="A839" s="155" t="s">
        <v>1704</v>
      </c>
      <c r="B839" s="156">
        <v>125</v>
      </c>
      <c r="C839" s="155" t="s">
        <v>4</v>
      </c>
      <c r="D839" s="157" t="s">
        <v>5</v>
      </c>
    </row>
    <row r="840" spans="1:4" ht="15" customHeight="1" x14ac:dyDescent="0.2">
      <c r="A840" s="155" t="s">
        <v>658</v>
      </c>
      <c r="B840" s="156">
        <v>111900</v>
      </c>
      <c r="C840" s="155" t="s">
        <v>4</v>
      </c>
      <c r="D840" s="157" t="s">
        <v>5</v>
      </c>
    </row>
    <row r="841" spans="1:4" ht="15" customHeight="1" x14ac:dyDescent="0.2">
      <c r="A841" s="155" t="s">
        <v>1752</v>
      </c>
      <c r="B841" s="156">
        <v>71000</v>
      </c>
      <c r="C841" s="155" t="s">
        <v>4</v>
      </c>
      <c r="D841" s="157" t="s">
        <v>5</v>
      </c>
    </row>
    <row r="842" spans="1:4" ht="15" customHeight="1" x14ac:dyDescent="0.2">
      <c r="A842" s="155" t="s">
        <v>710</v>
      </c>
      <c r="B842" s="156">
        <v>125</v>
      </c>
      <c r="C842" s="155" t="s">
        <v>4</v>
      </c>
      <c r="D842" s="157" t="s">
        <v>5</v>
      </c>
    </row>
    <row r="843" spans="1:4" ht="15" customHeight="1" x14ac:dyDescent="0.2">
      <c r="A843" s="155" t="s">
        <v>1749</v>
      </c>
      <c r="B843" s="156">
        <v>50</v>
      </c>
      <c r="C843" s="155" t="s">
        <v>4</v>
      </c>
      <c r="D843" s="157" t="s">
        <v>5</v>
      </c>
    </row>
    <row r="844" spans="1:4" ht="15" customHeight="1" x14ac:dyDescent="0.2">
      <c r="A844" s="155" t="s">
        <v>702</v>
      </c>
      <c r="B844" s="156">
        <v>125</v>
      </c>
      <c r="C844" s="155" t="s">
        <v>4</v>
      </c>
      <c r="D844" s="157" t="s">
        <v>5</v>
      </c>
    </row>
    <row r="845" spans="1:4" ht="15" customHeight="1" x14ac:dyDescent="0.2">
      <c r="A845" s="155" t="s">
        <v>1741</v>
      </c>
      <c r="B845" s="156">
        <v>125</v>
      </c>
      <c r="C845" s="155" t="s">
        <v>4</v>
      </c>
      <c r="D845" s="157" t="s">
        <v>5</v>
      </c>
    </row>
    <row r="846" spans="1:4" ht="15" customHeight="1" x14ac:dyDescent="0.2">
      <c r="A846" s="155" t="s">
        <v>694</v>
      </c>
      <c r="B846" s="156">
        <v>125</v>
      </c>
      <c r="C846" s="155" t="s">
        <v>4</v>
      </c>
      <c r="D846" s="157" t="s">
        <v>5</v>
      </c>
    </row>
    <row r="847" spans="1:4" ht="15" customHeight="1" x14ac:dyDescent="0.2">
      <c r="A847" s="155" t="s">
        <v>1733</v>
      </c>
      <c r="B847" s="156">
        <v>125</v>
      </c>
      <c r="C847" s="155" t="s">
        <v>4</v>
      </c>
      <c r="D847" s="157" t="s">
        <v>5</v>
      </c>
    </row>
    <row r="848" spans="1:4" ht="15" customHeight="1" x14ac:dyDescent="0.2">
      <c r="A848" s="155" t="s">
        <v>687</v>
      </c>
      <c r="B848" s="156">
        <v>7600</v>
      </c>
      <c r="C848" s="155" t="s">
        <v>4</v>
      </c>
      <c r="D848" s="157" t="s">
        <v>5</v>
      </c>
    </row>
    <row r="849" spans="1:4" ht="15" customHeight="1" x14ac:dyDescent="0.2">
      <c r="A849" s="155" t="s">
        <v>1784</v>
      </c>
      <c r="B849" s="156">
        <v>3400</v>
      </c>
      <c r="C849" s="155" t="s">
        <v>4</v>
      </c>
      <c r="D849" s="157" t="s">
        <v>5</v>
      </c>
    </row>
    <row r="850" spans="1:4" ht="15" customHeight="1" x14ac:dyDescent="0.2">
      <c r="A850" s="155" t="s">
        <v>737</v>
      </c>
      <c r="B850" s="156">
        <v>75</v>
      </c>
      <c r="C850" s="155" t="s">
        <v>4</v>
      </c>
      <c r="D850" s="157" t="s">
        <v>5</v>
      </c>
    </row>
    <row r="851" spans="1:4" ht="15" customHeight="1" x14ac:dyDescent="0.2">
      <c r="A851" s="155" t="s">
        <v>1776</v>
      </c>
      <c r="B851" s="156">
        <v>2660</v>
      </c>
      <c r="C851" s="155" t="s">
        <v>4</v>
      </c>
      <c r="D851" s="157" t="s">
        <v>5</v>
      </c>
    </row>
    <row r="852" spans="1:4" ht="15" customHeight="1" x14ac:dyDescent="0.2">
      <c r="A852" s="155" t="s">
        <v>729</v>
      </c>
      <c r="B852" s="156">
        <v>125</v>
      </c>
      <c r="C852" s="155" t="s">
        <v>4</v>
      </c>
      <c r="D852" s="157" t="s">
        <v>5</v>
      </c>
    </row>
    <row r="853" spans="1:4" ht="15" customHeight="1" x14ac:dyDescent="0.2">
      <c r="A853" s="155" t="s">
        <v>1768</v>
      </c>
      <c r="B853" s="156">
        <v>125</v>
      </c>
      <c r="C853" s="155" t="s">
        <v>4</v>
      </c>
      <c r="D853" s="157" t="s">
        <v>5</v>
      </c>
    </row>
    <row r="854" spans="1:4" ht="15" customHeight="1" x14ac:dyDescent="0.2">
      <c r="A854" s="155" t="s">
        <v>721</v>
      </c>
      <c r="B854" s="156">
        <v>125</v>
      </c>
      <c r="C854" s="155" t="s">
        <v>4</v>
      </c>
      <c r="D854" s="157" t="s">
        <v>5</v>
      </c>
    </row>
    <row r="855" spans="1:4" ht="15" customHeight="1" x14ac:dyDescent="0.2">
      <c r="A855" s="155" t="s">
        <v>1760</v>
      </c>
      <c r="B855" s="156">
        <v>25</v>
      </c>
      <c r="C855" s="155" t="s">
        <v>4</v>
      </c>
      <c r="D855" s="157" t="s">
        <v>5</v>
      </c>
    </row>
    <row r="856" spans="1:4" ht="15" customHeight="1" x14ac:dyDescent="0.2">
      <c r="A856" s="155" t="s">
        <v>713</v>
      </c>
      <c r="B856" s="156">
        <v>25</v>
      </c>
      <c r="C856" s="155" t="s">
        <v>4</v>
      </c>
      <c r="D856" s="157" t="s">
        <v>5</v>
      </c>
    </row>
    <row r="857" spans="1:4" ht="15" customHeight="1" x14ac:dyDescent="0.2">
      <c r="A857" s="155" t="s">
        <v>1818</v>
      </c>
      <c r="B857" s="156">
        <v>25</v>
      </c>
      <c r="C857" s="155" t="s">
        <v>4</v>
      </c>
      <c r="D857" s="157" t="s">
        <v>5</v>
      </c>
    </row>
    <row r="858" spans="1:4" ht="15" customHeight="1" x14ac:dyDescent="0.2">
      <c r="A858" s="155" t="s">
        <v>771</v>
      </c>
      <c r="B858" s="156">
        <v>25</v>
      </c>
      <c r="C858" s="155" t="s">
        <v>4</v>
      </c>
      <c r="D858" s="157" t="s">
        <v>5</v>
      </c>
    </row>
    <row r="859" spans="1:4" ht="15" customHeight="1" x14ac:dyDescent="0.2">
      <c r="A859" s="155" t="s">
        <v>1810</v>
      </c>
      <c r="B859" s="156">
        <v>25</v>
      </c>
      <c r="C859" s="155" t="s">
        <v>4</v>
      </c>
      <c r="D859" s="157" t="s">
        <v>5</v>
      </c>
    </row>
    <row r="860" spans="1:4" ht="15" customHeight="1" x14ac:dyDescent="0.2">
      <c r="A860" s="155" t="s">
        <v>763</v>
      </c>
      <c r="B860" s="156">
        <v>25</v>
      </c>
      <c r="C860" s="155" t="s">
        <v>4</v>
      </c>
      <c r="D860" s="157" t="s">
        <v>5</v>
      </c>
    </row>
    <row r="861" spans="1:4" ht="15" customHeight="1" x14ac:dyDescent="0.2">
      <c r="A861" s="155" t="s">
        <v>1802</v>
      </c>
      <c r="B861" s="156">
        <v>25</v>
      </c>
      <c r="C861" s="155" t="s">
        <v>4</v>
      </c>
      <c r="D861" s="157" t="s">
        <v>5</v>
      </c>
    </row>
    <row r="862" spans="1:4" ht="15" customHeight="1" x14ac:dyDescent="0.2">
      <c r="A862" s="155" t="s">
        <v>755</v>
      </c>
      <c r="B862" s="156">
        <v>25</v>
      </c>
      <c r="C862" s="155" t="s">
        <v>4</v>
      </c>
      <c r="D862" s="157" t="s">
        <v>5</v>
      </c>
    </row>
    <row r="863" spans="1:4" ht="15" customHeight="1" x14ac:dyDescent="0.2">
      <c r="A863" s="155" t="s">
        <v>1794</v>
      </c>
      <c r="B863" s="156">
        <v>25</v>
      </c>
      <c r="C863" s="155" t="s">
        <v>4</v>
      </c>
      <c r="D863" s="157" t="s">
        <v>5</v>
      </c>
    </row>
    <row r="864" spans="1:4" ht="15" customHeight="1" x14ac:dyDescent="0.2">
      <c r="A864" s="155" t="s">
        <v>746</v>
      </c>
      <c r="B864" s="156">
        <v>25</v>
      </c>
      <c r="C864" s="155" t="s">
        <v>4</v>
      </c>
      <c r="D864" s="157" t="s">
        <v>5</v>
      </c>
    </row>
    <row r="865" spans="1:4" ht="15" customHeight="1" x14ac:dyDescent="0.2">
      <c r="A865" s="155" t="s">
        <v>1851</v>
      </c>
      <c r="B865" s="156">
        <v>25</v>
      </c>
      <c r="C865" s="155" t="s">
        <v>4</v>
      </c>
      <c r="D865" s="157" t="s">
        <v>5</v>
      </c>
    </row>
    <row r="866" spans="1:4" ht="15" customHeight="1" x14ac:dyDescent="0.2">
      <c r="A866" s="155" t="s">
        <v>804</v>
      </c>
      <c r="B866" s="156">
        <v>25</v>
      </c>
      <c r="C866" s="155" t="s">
        <v>4</v>
      </c>
      <c r="D866" s="157" t="s">
        <v>5</v>
      </c>
    </row>
    <row r="867" spans="1:4" ht="15" customHeight="1" x14ac:dyDescent="0.2">
      <c r="A867" s="155" t="s">
        <v>1843</v>
      </c>
      <c r="B867" s="156">
        <v>25</v>
      </c>
      <c r="C867" s="155" t="s">
        <v>4</v>
      </c>
      <c r="D867" s="157" t="s">
        <v>5</v>
      </c>
    </row>
    <row r="868" spans="1:4" ht="15" customHeight="1" x14ac:dyDescent="0.2">
      <c r="A868" s="155" t="s">
        <v>796</v>
      </c>
      <c r="B868" s="156">
        <v>25</v>
      </c>
      <c r="C868" s="155" t="s">
        <v>4</v>
      </c>
      <c r="D868" s="157" t="s">
        <v>5</v>
      </c>
    </row>
    <row r="869" spans="1:4" ht="15" customHeight="1" x14ac:dyDescent="0.2">
      <c r="A869" s="155" t="s">
        <v>1835</v>
      </c>
      <c r="B869" s="156">
        <v>125</v>
      </c>
      <c r="C869" s="155" t="s">
        <v>4</v>
      </c>
      <c r="D869" s="157" t="s">
        <v>5</v>
      </c>
    </row>
    <row r="870" spans="1:4" ht="15" customHeight="1" x14ac:dyDescent="0.2">
      <c r="A870" s="155" t="s">
        <v>787</v>
      </c>
      <c r="B870" s="156">
        <v>125</v>
      </c>
      <c r="C870" s="155" t="s">
        <v>4</v>
      </c>
      <c r="D870" s="157" t="s">
        <v>5</v>
      </c>
    </row>
    <row r="871" spans="1:4" ht="15" customHeight="1" x14ac:dyDescent="0.2">
      <c r="A871" s="155" t="s">
        <v>1826</v>
      </c>
      <c r="B871" s="156">
        <v>125</v>
      </c>
      <c r="C871" s="155" t="s">
        <v>4</v>
      </c>
      <c r="D871" s="157" t="s">
        <v>5</v>
      </c>
    </row>
    <row r="872" spans="1:4" ht="15" customHeight="1" x14ac:dyDescent="0.2">
      <c r="A872" s="155" t="s">
        <v>779</v>
      </c>
      <c r="B872" s="156">
        <v>125</v>
      </c>
      <c r="C872" s="155" t="s">
        <v>4</v>
      </c>
      <c r="D872" s="157" t="s">
        <v>5</v>
      </c>
    </row>
    <row r="873" spans="1:4" ht="15" customHeight="1" x14ac:dyDescent="0.2">
      <c r="A873" s="155" t="s">
        <v>1883</v>
      </c>
      <c r="B873" s="156">
        <v>125</v>
      </c>
      <c r="C873" s="155" t="s">
        <v>4</v>
      </c>
      <c r="D873" s="157" t="s">
        <v>5</v>
      </c>
    </row>
    <row r="874" spans="1:4" ht="15" customHeight="1" x14ac:dyDescent="0.2">
      <c r="A874" s="155" t="s">
        <v>836</v>
      </c>
      <c r="B874" s="156">
        <v>125</v>
      </c>
      <c r="C874" s="155" t="s">
        <v>4</v>
      </c>
      <c r="D874" s="157" t="s">
        <v>5</v>
      </c>
    </row>
    <row r="875" spans="1:4" ht="15" customHeight="1" x14ac:dyDescent="0.2">
      <c r="A875" s="155" t="s">
        <v>1875</v>
      </c>
      <c r="B875" s="156">
        <v>125</v>
      </c>
      <c r="C875" s="155" t="s">
        <v>4</v>
      </c>
      <c r="D875" s="157" t="s">
        <v>5</v>
      </c>
    </row>
    <row r="876" spans="1:4" ht="15" customHeight="1" x14ac:dyDescent="0.2">
      <c r="A876" s="155" t="s">
        <v>828</v>
      </c>
      <c r="B876" s="156">
        <v>125</v>
      </c>
      <c r="C876" s="155" t="s">
        <v>4</v>
      </c>
      <c r="D876" s="157" t="s">
        <v>5</v>
      </c>
    </row>
    <row r="877" spans="1:4" ht="15" customHeight="1" x14ac:dyDescent="0.2">
      <c r="A877" s="155" t="s">
        <v>1867</v>
      </c>
      <c r="B877" s="156">
        <v>50</v>
      </c>
      <c r="C877" s="155" t="s">
        <v>4</v>
      </c>
      <c r="D877" s="157" t="s">
        <v>5</v>
      </c>
    </row>
    <row r="878" spans="1:4" ht="15" customHeight="1" x14ac:dyDescent="0.2">
      <c r="A878" s="155" t="s">
        <v>820</v>
      </c>
      <c r="B878" s="156">
        <v>5</v>
      </c>
      <c r="C878" s="155" t="s">
        <v>4</v>
      </c>
      <c r="D878" s="157" t="s">
        <v>5</v>
      </c>
    </row>
    <row r="879" spans="1:4" ht="15" customHeight="1" x14ac:dyDescent="0.2">
      <c r="A879" s="155" t="s">
        <v>1859</v>
      </c>
      <c r="B879" s="156">
        <v>125</v>
      </c>
      <c r="C879" s="155" t="s">
        <v>4</v>
      </c>
      <c r="D879" s="157" t="s">
        <v>5</v>
      </c>
    </row>
    <row r="880" spans="1:4" ht="15" customHeight="1" x14ac:dyDescent="0.2">
      <c r="A880" s="155" t="s">
        <v>812</v>
      </c>
      <c r="B880" s="156">
        <v>25</v>
      </c>
      <c r="C880" s="155" t="s">
        <v>4</v>
      </c>
      <c r="D880" s="157" t="s">
        <v>5</v>
      </c>
    </row>
    <row r="881" spans="1:4" ht="15" customHeight="1" x14ac:dyDescent="0.2">
      <c r="A881" s="155" t="s">
        <v>1915</v>
      </c>
      <c r="B881" s="156">
        <v>125</v>
      </c>
      <c r="C881" s="155" t="s">
        <v>4</v>
      </c>
      <c r="D881" s="157" t="s">
        <v>5</v>
      </c>
    </row>
    <row r="882" spans="1:4" ht="15" customHeight="1" x14ac:dyDescent="0.2">
      <c r="A882" s="155" t="s">
        <v>868</v>
      </c>
      <c r="B882" s="156">
        <v>125</v>
      </c>
      <c r="C882" s="155" t="s">
        <v>4</v>
      </c>
      <c r="D882" s="157" t="s">
        <v>5</v>
      </c>
    </row>
    <row r="883" spans="1:4" ht="15" customHeight="1" x14ac:dyDescent="0.2">
      <c r="A883" s="155" t="s">
        <v>1907</v>
      </c>
      <c r="B883" s="156">
        <v>50</v>
      </c>
      <c r="C883" s="155" t="s">
        <v>4</v>
      </c>
      <c r="D883" s="157" t="s">
        <v>5</v>
      </c>
    </row>
    <row r="884" spans="1:4" ht="15" customHeight="1" x14ac:dyDescent="0.2">
      <c r="A884" s="155" t="s">
        <v>860</v>
      </c>
      <c r="B884" s="156">
        <v>125</v>
      </c>
      <c r="C884" s="155" t="s">
        <v>4</v>
      </c>
      <c r="D884" s="157" t="s">
        <v>5</v>
      </c>
    </row>
    <row r="885" spans="1:4" ht="15" customHeight="1" x14ac:dyDescent="0.2">
      <c r="A885" s="155" t="s">
        <v>1899</v>
      </c>
      <c r="B885" s="156">
        <v>125</v>
      </c>
      <c r="C885" s="155" t="s">
        <v>4</v>
      </c>
      <c r="D885" s="157" t="s">
        <v>5</v>
      </c>
    </row>
    <row r="886" spans="1:4" ht="15" customHeight="1" x14ac:dyDescent="0.2">
      <c r="A886" s="155" t="s">
        <v>852</v>
      </c>
      <c r="B886" s="156">
        <v>125</v>
      </c>
      <c r="C886" s="155" t="s">
        <v>4</v>
      </c>
      <c r="D886" s="157" t="s">
        <v>5</v>
      </c>
    </row>
    <row r="887" spans="1:4" ht="15" customHeight="1" x14ac:dyDescent="0.2">
      <c r="A887" s="155" t="s">
        <v>1891</v>
      </c>
      <c r="B887" s="156">
        <v>125</v>
      </c>
      <c r="C887" s="155" t="s">
        <v>4</v>
      </c>
      <c r="D887" s="157" t="s">
        <v>5</v>
      </c>
    </row>
    <row r="888" spans="1:4" ht="15" customHeight="1" x14ac:dyDescent="0.2">
      <c r="A888" s="155" t="s">
        <v>844</v>
      </c>
      <c r="B888" s="156">
        <v>125</v>
      </c>
      <c r="C888" s="155" t="s">
        <v>4</v>
      </c>
      <c r="D888" s="157" t="s">
        <v>5</v>
      </c>
    </row>
    <row r="889" spans="1:4" ht="15" customHeight="1" x14ac:dyDescent="0.2">
      <c r="A889" s="155" t="s">
        <v>1947</v>
      </c>
      <c r="B889" s="156">
        <v>50</v>
      </c>
      <c r="C889" s="155" t="s">
        <v>4</v>
      </c>
      <c r="D889" s="157" t="s">
        <v>5</v>
      </c>
    </row>
    <row r="890" spans="1:4" ht="15" customHeight="1" x14ac:dyDescent="0.2">
      <c r="A890" s="155" t="s">
        <v>900</v>
      </c>
      <c r="B890" s="156">
        <v>125</v>
      </c>
      <c r="C890" s="155" t="s">
        <v>4</v>
      </c>
      <c r="D890" s="157" t="s">
        <v>5</v>
      </c>
    </row>
    <row r="891" spans="1:4" ht="15" customHeight="1" x14ac:dyDescent="0.2">
      <c r="A891" s="155" t="s">
        <v>1939</v>
      </c>
      <c r="B891" s="156">
        <v>125</v>
      </c>
      <c r="C891" s="155" t="s">
        <v>4</v>
      </c>
      <c r="D891" s="157" t="s">
        <v>5</v>
      </c>
    </row>
    <row r="892" spans="1:4" ht="15" customHeight="1" x14ac:dyDescent="0.2">
      <c r="A892" s="155" t="s">
        <v>892</v>
      </c>
      <c r="B892" s="156">
        <v>125</v>
      </c>
      <c r="C892" s="155" t="s">
        <v>4</v>
      </c>
      <c r="D892" s="157" t="s">
        <v>5</v>
      </c>
    </row>
    <row r="893" spans="1:4" ht="15" customHeight="1" x14ac:dyDescent="0.2">
      <c r="A893" s="155" t="s">
        <v>1931</v>
      </c>
      <c r="B893" s="156">
        <v>125</v>
      </c>
      <c r="C893" s="155" t="s">
        <v>4</v>
      </c>
      <c r="D893" s="157" t="s">
        <v>5</v>
      </c>
    </row>
    <row r="894" spans="1:4" ht="15" customHeight="1" x14ac:dyDescent="0.2">
      <c r="A894" s="155" t="s">
        <v>884</v>
      </c>
      <c r="B894" s="156">
        <v>125</v>
      </c>
      <c r="C894" s="155" t="s">
        <v>4</v>
      </c>
      <c r="D894" s="157" t="s">
        <v>5</v>
      </c>
    </row>
    <row r="895" spans="1:4" ht="15" customHeight="1" x14ac:dyDescent="0.2">
      <c r="A895" s="155" t="s">
        <v>1923</v>
      </c>
      <c r="B895" s="156">
        <v>275</v>
      </c>
      <c r="C895" s="155" t="s">
        <v>4</v>
      </c>
      <c r="D895" s="157" t="s">
        <v>5</v>
      </c>
    </row>
    <row r="896" spans="1:4" ht="15" customHeight="1" x14ac:dyDescent="0.2">
      <c r="A896" s="155" t="s">
        <v>876</v>
      </c>
      <c r="B896" s="156">
        <v>7400</v>
      </c>
      <c r="C896" s="155" t="s">
        <v>4</v>
      </c>
      <c r="D896" s="157" t="s">
        <v>5</v>
      </c>
    </row>
    <row r="897" spans="1:4" ht="15" customHeight="1" x14ac:dyDescent="0.2">
      <c r="A897" s="155" t="s">
        <v>424</v>
      </c>
      <c r="B897" s="156">
        <v>125</v>
      </c>
      <c r="C897" s="155" t="s">
        <v>4</v>
      </c>
      <c r="D897" s="157" t="s">
        <v>5</v>
      </c>
    </row>
    <row r="898" spans="1:4" ht="15" customHeight="1" x14ac:dyDescent="0.2">
      <c r="A898" s="155" t="s">
        <v>1463</v>
      </c>
      <c r="B898" s="156">
        <v>125</v>
      </c>
      <c r="C898" s="155" t="s">
        <v>4</v>
      </c>
      <c r="D898" s="157" t="s">
        <v>5</v>
      </c>
    </row>
    <row r="899" spans="1:4" ht="15" customHeight="1" x14ac:dyDescent="0.2">
      <c r="A899" s="155" t="s">
        <v>416</v>
      </c>
      <c r="B899" s="156">
        <v>6600</v>
      </c>
      <c r="C899" s="155" t="s">
        <v>4</v>
      </c>
      <c r="D899" s="157" t="s">
        <v>5</v>
      </c>
    </row>
    <row r="900" spans="1:4" ht="15" customHeight="1" x14ac:dyDescent="0.2">
      <c r="A900" s="155" t="s">
        <v>1455</v>
      </c>
      <c r="B900" s="156">
        <v>125</v>
      </c>
      <c r="C900" s="155" t="s">
        <v>4</v>
      </c>
      <c r="D900" s="157" t="s">
        <v>5</v>
      </c>
    </row>
    <row r="901" spans="1:4" ht="15" customHeight="1" x14ac:dyDescent="0.2">
      <c r="A901" s="155" t="s">
        <v>408</v>
      </c>
      <c r="B901" s="156">
        <v>125</v>
      </c>
      <c r="C901" s="155" t="s">
        <v>4</v>
      </c>
      <c r="D901" s="157" t="s">
        <v>5</v>
      </c>
    </row>
    <row r="902" spans="1:4" ht="15" customHeight="1" x14ac:dyDescent="0.2">
      <c r="A902" s="155" t="s">
        <v>1447</v>
      </c>
      <c r="B902" s="156">
        <v>125</v>
      </c>
      <c r="C902" s="155" t="s">
        <v>4</v>
      </c>
      <c r="D902" s="157" t="s">
        <v>5</v>
      </c>
    </row>
    <row r="903" spans="1:4" ht="15" customHeight="1" x14ac:dyDescent="0.2">
      <c r="A903" s="155" t="s">
        <v>400</v>
      </c>
      <c r="B903" s="156">
        <v>6175</v>
      </c>
      <c r="C903" s="155" t="s">
        <v>4</v>
      </c>
      <c r="D903" s="157" t="s">
        <v>5</v>
      </c>
    </row>
    <row r="904" spans="1:4" ht="15" customHeight="1" x14ac:dyDescent="0.2">
      <c r="A904" s="155" t="s">
        <v>1439</v>
      </c>
      <c r="B904" s="156">
        <v>75</v>
      </c>
      <c r="C904" s="155" t="s">
        <v>4</v>
      </c>
      <c r="D904" s="157" t="s">
        <v>5</v>
      </c>
    </row>
    <row r="905" spans="1:4" ht="15" customHeight="1" x14ac:dyDescent="0.2">
      <c r="A905" s="155" t="s">
        <v>457</v>
      </c>
      <c r="B905" s="156">
        <v>2850</v>
      </c>
      <c r="C905" s="155" t="s">
        <v>4</v>
      </c>
      <c r="D905" s="157" t="s">
        <v>5</v>
      </c>
    </row>
    <row r="906" spans="1:4" ht="15" customHeight="1" x14ac:dyDescent="0.2">
      <c r="A906" s="155" t="s">
        <v>1496</v>
      </c>
      <c r="B906" s="156">
        <v>125</v>
      </c>
      <c r="C906" s="155" t="s">
        <v>4</v>
      </c>
      <c r="D906" s="157" t="s">
        <v>5</v>
      </c>
    </row>
    <row r="907" spans="1:4" ht="15" customHeight="1" x14ac:dyDescent="0.2">
      <c r="A907" s="155" t="s">
        <v>449</v>
      </c>
      <c r="B907" s="156">
        <v>125</v>
      </c>
      <c r="C907" s="155" t="s">
        <v>4</v>
      </c>
      <c r="D907" s="157" t="s">
        <v>5</v>
      </c>
    </row>
    <row r="908" spans="1:4" ht="15" customHeight="1" x14ac:dyDescent="0.2">
      <c r="A908" s="155" t="s">
        <v>1488</v>
      </c>
      <c r="B908" s="156">
        <v>2600</v>
      </c>
      <c r="C908" s="155" t="s">
        <v>4</v>
      </c>
      <c r="D908" s="157" t="s">
        <v>5</v>
      </c>
    </row>
    <row r="909" spans="1:4" ht="15" customHeight="1" x14ac:dyDescent="0.2">
      <c r="A909" s="155" t="s">
        <v>440</v>
      </c>
      <c r="B909" s="156">
        <v>1550</v>
      </c>
      <c r="C909" s="155" t="s">
        <v>4</v>
      </c>
      <c r="D909" s="157" t="s">
        <v>5</v>
      </c>
    </row>
    <row r="910" spans="1:4" ht="15" customHeight="1" x14ac:dyDescent="0.2">
      <c r="A910" s="155" t="s">
        <v>1479</v>
      </c>
      <c r="B910" s="156">
        <v>125</v>
      </c>
      <c r="C910" s="155" t="s">
        <v>4</v>
      </c>
      <c r="D910" s="157" t="s">
        <v>5</v>
      </c>
    </row>
    <row r="911" spans="1:4" ht="15" customHeight="1" x14ac:dyDescent="0.2">
      <c r="A911" s="155" t="s">
        <v>432</v>
      </c>
      <c r="B911" s="156">
        <v>125</v>
      </c>
      <c r="C911" s="155" t="s">
        <v>4</v>
      </c>
      <c r="D911" s="157" t="s">
        <v>5</v>
      </c>
    </row>
    <row r="912" spans="1:4" ht="15" customHeight="1" x14ac:dyDescent="0.2">
      <c r="A912" s="155" t="s">
        <v>1471</v>
      </c>
      <c r="B912" s="156">
        <v>200</v>
      </c>
      <c r="C912" s="155" t="s">
        <v>4</v>
      </c>
      <c r="D912" s="157" t="s">
        <v>5</v>
      </c>
    </row>
    <row r="913" spans="1:4" ht="15" customHeight="1" x14ac:dyDescent="0.2">
      <c r="A913" s="155" t="s">
        <v>490</v>
      </c>
      <c r="B913" s="156">
        <v>125</v>
      </c>
      <c r="C913" s="155" t="s">
        <v>4</v>
      </c>
      <c r="D913" s="157" t="s">
        <v>5</v>
      </c>
    </row>
    <row r="914" spans="1:4" ht="15" customHeight="1" x14ac:dyDescent="0.2">
      <c r="A914" s="155" t="s">
        <v>1528</v>
      </c>
      <c r="B914" s="156">
        <v>6375</v>
      </c>
      <c r="C914" s="155" t="s">
        <v>4</v>
      </c>
      <c r="D914" s="157" t="s">
        <v>5</v>
      </c>
    </row>
    <row r="915" spans="1:4" ht="15" customHeight="1" x14ac:dyDescent="0.2">
      <c r="A915" s="155" t="s">
        <v>481</v>
      </c>
      <c r="B915" s="156">
        <v>125</v>
      </c>
      <c r="C915" s="155" t="s">
        <v>4</v>
      </c>
      <c r="D915" s="157" t="s">
        <v>5</v>
      </c>
    </row>
    <row r="916" spans="1:4" ht="15" customHeight="1" x14ac:dyDescent="0.2">
      <c r="A916" s="155" t="s">
        <v>1520</v>
      </c>
      <c r="B916" s="156">
        <v>50</v>
      </c>
      <c r="C916" s="155" t="s">
        <v>4</v>
      </c>
      <c r="D916" s="157" t="s">
        <v>5</v>
      </c>
    </row>
    <row r="917" spans="1:4" ht="15" customHeight="1" x14ac:dyDescent="0.2">
      <c r="A917" s="155" t="s">
        <v>473</v>
      </c>
      <c r="B917" s="156">
        <v>125</v>
      </c>
      <c r="C917" s="155" t="s">
        <v>4</v>
      </c>
      <c r="D917" s="157" t="s">
        <v>5</v>
      </c>
    </row>
    <row r="918" spans="1:4" ht="15" customHeight="1" x14ac:dyDescent="0.2">
      <c r="A918" s="155" t="s">
        <v>1512</v>
      </c>
      <c r="B918" s="156">
        <v>9450</v>
      </c>
      <c r="C918" s="155" t="s">
        <v>4</v>
      </c>
      <c r="D918" s="157" t="s">
        <v>5</v>
      </c>
    </row>
    <row r="919" spans="1:4" ht="15" customHeight="1" x14ac:dyDescent="0.2">
      <c r="A919" s="155" t="s">
        <v>465</v>
      </c>
      <c r="B919" s="156">
        <v>125</v>
      </c>
      <c r="C919" s="155" t="s">
        <v>4</v>
      </c>
      <c r="D919" s="157" t="s">
        <v>5</v>
      </c>
    </row>
    <row r="920" spans="1:4" ht="15" customHeight="1" x14ac:dyDescent="0.2">
      <c r="A920" s="155" t="s">
        <v>1504</v>
      </c>
      <c r="B920" s="156">
        <v>125</v>
      </c>
      <c r="C920" s="155" t="s">
        <v>4</v>
      </c>
      <c r="D920" s="157" t="s">
        <v>5</v>
      </c>
    </row>
    <row r="921" spans="1:4" ht="15" customHeight="1" x14ac:dyDescent="0.2">
      <c r="A921" s="155" t="s">
        <v>522</v>
      </c>
      <c r="B921" s="156">
        <v>219550</v>
      </c>
      <c r="C921" s="155" t="s">
        <v>4</v>
      </c>
      <c r="D921" s="157" t="s">
        <v>5</v>
      </c>
    </row>
    <row r="922" spans="1:4" ht="15" customHeight="1" x14ac:dyDescent="0.2">
      <c r="A922" s="155" t="s">
        <v>1561</v>
      </c>
      <c r="B922" s="156">
        <v>15075</v>
      </c>
      <c r="C922" s="155" t="s">
        <v>4</v>
      </c>
      <c r="D922" s="157" t="s">
        <v>5</v>
      </c>
    </row>
    <row r="923" spans="1:4" ht="15" customHeight="1" x14ac:dyDescent="0.2">
      <c r="A923" s="155" t="s">
        <v>514</v>
      </c>
      <c r="B923" s="156">
        <v>9250</v>
      </c>
      <c r="C923" s="155" t="s">
        <v>4</v>
      </c>
      <c r="D923" s="157" t="s">
        <v>5</v>
      </c>
    </row>
    <row r="924" spans="1:4" ht="15" customHeight="1" x14ac:dyDescent="0.2">
      <c r="A924" s="155" t="s">
        <v>1553</v>
      </c>
      <c r="B924" s="156">
        <v>174575</v>
      </c>
      <c r="C924" s="155" t="s">
        <v>4</v>
      </c>
      <c r="D924" s="157" t="s">
        <v>5</v>
      </c>
    </row>
    <row r="925" spans="1:4" ht="15" customHeight="1" x14ac:dyDescent="0.2">
      <c r="A925" s="155" t="s">
        <v>506</v>
      </c>
      <c r="B925" s="156">
        <v>25</v>
      </c>
      <c r="C925" s="155" t="s">
        <v>4</v>
      </c>
      <c r="D925" s="157" t="s">
        <v>5</v>
      </c>
    </row>
    <row r="926" spans="1:4" ht="15" customHeight="1" x14ac:dyDescent="0.2">
      <c r="A926" s="155" t="s">
        <v>1545</v>
      </c>
      <c r="B926" s="156">
        <v>125</v>
      </c>
      <c r="C926" s="155" t="s">
        <v>4</v>
      </c>
      <c r="D926" s="157" t="s">
        <v>5</v>
      </c>
    </row>
    <row r="927" spans="1:4" ht="15" customHeight="1" x14ac:dyDescent="0.2">
      <c r="A927" s="155" t="s">
        <v>498</v>
      </c>
      <c r="B927" s="156">
        <v>325</v>
      </c>
      <c r="C927" s="155" t="s">
        <v>4</v>
      </c>
      <c r="D927" s="157" t="s">
        <v>5</v>
      </c>
    </row>
    <row r="928" spans="1:4" ht="15" customHeight="1" x14ac:dyDescent="0.2">
      <c r="A928" s="155" t="s">
        <v>1537</v>
      </c>
      <c r="B928" s="156">
        <v>850</v>
      </c>
      <c r="C928" s="155" t="s">
        <v>4</v>
      </c>
      <c r="D928" s="157" t="s">
        <v>5</v>
      </c>
    </row>
    <row r="929" spans="1:4" ht="15" customHeight="1" x14ac:dyDescent="0.2">
      <c r="A929" s="155" t="s">
        <v>549</v>
      </c>
      <c r="B929" s="156">
        <v>50</v>
      </c>
      <c r="C929" s="155" t="s">
        <v>4</v>
      </c>
      <c r="D929" s="157" t="s">
        <v>5</v>
      </c>
    </row>
    <row r="930" spans="1:4" ht="15" customHeight="1" x14ac:dyDescent="0.2">
      <c r="A930" s="155" t="s">
        <v>1588</v>
      </c>
      <c r="B930" s="156">
        <v>100</v>
      </c>
      <c r="C930" s="155" t="s">
        <v>4</v>
      </c>
      <c r="D930" s="157" t="s">
        <v>5</v>
      </c>
    </row>
    <row r="931" spans="1:4" ht="15" customHeight="1" x14ac:dyDescent="0.2">
      <c r="A931" s="155" t="s">
        <v>541</v>
      </c>
      <c r="B931" s="156">
        <v>21700</v>
      </c>
      <c r="C931" s="155" t="s">
        <v>4</v>
      </c>
      <c r="D931" s="157" t="s">
        <v>5</v>
      </c>
    </row>
    <row r="932" spans="1:4" ht="15" customHeight="1" x14ac:dyDescent="0.2">
      <c r="A932" s="155" t="s">
        <v>1580</v>
      </c>
      <c r="B932" s="156">
        <v>125</v>
      </c>
      <c r="C932" s="155" t="s">
        <v>4</v>
      </c>
      <c r="D932" s="157" t="s">
        <v>5</v>
      </c>
    </row>
    <row r="933" spans="1:4" ht="15" customHeight="1" x14ac:dyDescent="0.2">
      <c r="A933" s="155" t="s">
        <v>533</v>
      </c>
      <c r="B933" s="156">
        <v>20</v>
      </c>
      <c r="C933" s="155" t="s">
        <v>4</v>
      </c>
      <c r="D933" s="157" t="s">
        <v>5</v>
      </c>
    </row>
    <row r="934" spans="1:4" ht="15" customHeight="1" x14ac:dyDescent="0.2">
      <c r="A934" s="155" t="s">
        <v>1572</v>
      </c>
      <c r="B934" s="159">
        <v>483.9</v>
      </c>
      <c r="C934" s="155" t="s">
        <v>4</v>
      </c>
      <c r="D934" s="157" t="s">
        <v>5</v>
      </c>
    </row>
    <row r="935" spans="1:4" ht="15" customHeight="1" x14ac:dyDescent="0.2">
      <c r="A935" s="155" t="s">
        <v>525</v>
      </c>
      <c r="B935" s="156">
        <v>125</v>
      </c>
      <c r="C935" s="155" t="s">
        <v>4</v>
      </c>
      <c r="D935" s="157" t="s">
        <v>5</v>
      </c>
    </row>
    <row r="936" spans="1:4" ht="15" customHeight="1" x14ac:dyDescent="0.2">
      <c r="A936" s="155" t="s">
        <v>1564</v>
      </c>
      <c r="B936" s="156">
        <v>1125</v>
      </c>
      <c r="C936" s="155" t="s">
        <v>4</v>
      </c>
      <c r="D936" s="157" t="s">
        <v>5</v>
      </c>
    </row>
    <row r="937" spans="1:4" ht="15" customHeight="1" x14ac:dyDescent="0.2">
      <c r="A937" s="155" t="s">
        <v>583</v>
      </c>
      <c r="B937" s="156">
        <v>47</v>
      </c>
      <c r="C937" s="155" t="s">
        <v>4</v>
      </c>
      <c r="D937" s="157" t="s">
        <v>5</v>
      </c>
    </row>
    <row r="938" spans="1:4" ht="15" customHeight="1" x14ac:dyDescent="0.2">
      <c r="A938" s="155" t="s">
        <v>1622</v>
      </c>
      <c r="B938" s="156">
        <v>125</v>
      </c>
      <c r="C938" s="155" t="s">
        <v>4</v>
      </c>
      <c r="D938" s="157" t="s">
        <v>5</v>
      </c>
    </row>
    <row r="939" spans="1:4" ht="15" customHeight="1" x14ac:dyDescent="0.2">
      <c r="A939" s="155" t="s">
        <v>575</v>
      </c>
      <c r="B939" s="156">
        <v>4875</v>
      </c>
      <c r="C939" s="155" t="s">
        <v>4</v>
      </c>
      <c r="D939" s="157" t="s">
        <v>5</v>
      </c>
    </row>
    <row r="940" spans="1:4" ht="15" customHeight="1" x14ac:dyDescent="0.2">
      <c r="A940" s="155" t="s">
        <v>1614</v>
      </c>
      <c r="B940" s="156">
        <v>4175</v>
      </c>
      <c r="C940" s="155" t="s">
        <v>4</v>
      </c>
      <c r="D940" s="157" t="s">
        <v>5</v>
      </c>
    </row>
    <row r="941" spans="1:4" ht="15" customHeight="1" x14ac:dyDescent="0.2">
      <c r="A941" s="155" t="s">
        <v>567</v>
      </c>
      <c r="B941" s="156">
        <v>125</v>
      </c>
      <c r="C941" s="155" t="s">
        <v>4</v>
      </c>
      <c r="D941" s="157" t="s">
        <v>5</v>
      </c>
    </row>
    <row r="942" spans="1:4" ht="15" customHeight="1" x14ac:dyDescent="0.2">
      <c r="A942" s="155" t="s">
        <v>1605</v>
      </c>
      <c r="B942" s="156">
        <v>29100</v>
      </c>
      <c r="C942" s="155" t="s">
        <v>4</v>
      </c>
      <c r="D942" s="157" t="s">
        <v>5</v>
      </c>
    </row>
    <row r="943" spans="1:4" ht="15" customHeight="1" x14ac:dyDescent="0.2">
      <c r="A943" s="155" t="s">
        <v>557</v>
      </c>
      <c r="B943" s="156">
        <v>125</v>
      </c>
      <c r="C943" s="155" t="s">
        <v>4</v>
      </c>
      <c r="D943" s="157" t="s">
        <v>5</v>
      </c>
    </row>
    <row r="944" spans="1:4" ht="15" customHeight="1" x14ac:dyDescent="0.2">
      <c r="A944" s="155" t="s">
        <v>1596</v>
      </c>
      <c r="B944" s="156">
        <v>125</v>
      </c>
      <c r="C944" s="155" t="s">
        <v>4</v>
      </c>
      <c r="D944" s="157" t="s">
        <v>5</v>
      </c>
    </row>
    <row r="945" spans="1:4" ht="15" customHeight="1" x14ac:dyDescent="0.2">
      <c r="A945" s="155" t="s">
        <v>613</v>
      </c>
      <c r="B945" s="156">
        <v>9420</v>
      </c>
      <c r="C945" s="155" t="s">
        <v>4</v>
      </c>
      <c r="D945" s="157" t="s">
        <v>5</v>
      </c>
    </row>
    <row r="946" spans="1:4" ht="15" customHeight="1" x14ac:dyDescent="0.2">
      <c r="A946" s="155" t="s">
        <v>1652</v>
      </c>
      <c r="B946" s="156">
        <v>200</v>
      </c>
      <c r="C946" s="155" t="s">
        <v>4</v>
      </c>
      <c r="D946" s="157" t="s">
        <v>5</v>
      </c>
    </row>
    <row r="947" spans="1:4" ht="15" customHeight="1" x14ac:dyDescent="0.2">
      <c r="A947" s="155" t="s">
        <v>606</v>
      </c>
      <c r="B947" s="156">
        <v>4075</v>
      </c>
      <c r="C947" s="155" t="s">
        <v>4</v>
      </c>
      <c r="D947" s="157" t="s">
        <v>5</v>
      </c>
    </row>
    <row r="948" spans="1:4" ht="15" customHeight="1" x14ac:dyDescent="0.2">
      <c r="A948" s="155" t="s">
        <v>1644</v>
      </c>
      <c r="B948" s="156">
        <v>125</v>
      </c>
      <c r="C948" s="155" t="s">
        <v>4</v>
      </c>
      <c r="D948" s="157" t="s">
        <v>5</v>
      </c>
    </row>
    <row r="949" spans="1:4" ht="15" customHeight="1" x14ac:dyDescent="0.2">
      <c r="A949" s="155" t="s">
        <v>598</v>
      </c>
      <c r="B949" s="156">
        <v>150</v>
      </c>
      <c r="C949" s="155" t="s">
        <v>4</v>
      </c>
      <c r="D949" s="157" t="s">
        <v>5</v>
      </c>
    </row>
    <row r="950" spans="1:4" ht="15" customHeight="1" x14ac:dyDescent="0.2">
      <c r="A950" s="155" t="s">
        <v>1637</v>
      </c>
      <c r="B950" s="156">
        <v>125</v>
      </c>
      <c r="C950" s="155" t="s">
        <v>4</v>
      </c>
      <c r="D950" s="157" t="s">
        <v>5</v>
      </c>
    </row>
    <row r="951" spans="1:4" ht="15" customHeight="1" x14ac:dyDescent="0.2">
      <c r="A951" s="155" t="s">
        <v>591</v>
      </c>
      <c r="B951" s="156">
        <v>125</v>
      </c>
      <c r="C951" s="155" t="s">
        <v>4</v>
      </c>
      <c r="D951" s="157" t="s">
        <v>5</v>
      </c>
    </row>
    <row r="952" spans="1:4" ht="15" customHeight="1" x14ac:dyDescent="0.2">
      <c r="A952" s="155" t="s">
        <v>1630</v>
      </c>
      <c r="B952" s="156">
        <v>100</v>
      </c>
      <c r="C952" s="155" t="s">
        <v>4</v>
      </c>
      <c r="D952" s="157" t="s">
        <v>5</v>
      </c>
    </row>
    <row r="953" spans="1:4" ht="15" customHeight="1" x14ac:dyDescent="0.2">
      <c r="A953" s="155" t="s">
        <v>641</v>
      </c>
      <c r="B953" s="156">
        <v>25</v>
      </c>
      <c r="C953" s="155" t="s">
        <v>4</v>
      </c>
      <c r="D953" s="157" t="s">
        <v>5</v>
      </c>
    </row>
    <row r="954" spans="1:4" ht="15" customHeight="1" x14ac:dyDescent="0.2">
      <c r="A954" s="155" t="s">
        <v>1680</v>
      </c>
      <c r="B954" s="156">
        <v>14375</v>
      </c>
      <c r="C954" s="155" t="s">
        <v>4</v>
      </c>
      <c r="D954" s="157" t="s">
        <v>5</v>
      </c>
    </row>
    <row r="955" spans="1:4" ht="15" customHeight="1" x14ac:dyDescent="0.2">
      <c r="A955" s="155" t="s">
        <v>634</v>
      </c>
      <c r="B955" s="156">
        <v>50</v>
      </c>
      <c r="C955" s="155" t="s">
        <v>4</v>
      </c>
      <c r="D955" s="157" t="s">
        <v>5</v>
      </c>
    </row>
    <row r="956" spans="1:4" ht="15" customHeight="1" x14ac:dyDescent="0.2">
      <c r="A956" s="155" t="s">
        <v>1673</v>
      </c>
      <c r="B956" s="156">
        <v>425</v>
      </c>
      <c r="C956" s="155" t="s">
        <v>4</v>
      </c>
      <c r="D956" s="157" t="s">
        <v>5</v>
      </c>
    </row>
    <row r="957" spans="1:4" ht="15" customHeight="1" x14ac:dyDescent="0.2">
      <c r="A957" s="155" t="s">
        <v>627</v>
      </c>
      <c r="B957" s="156">
        <v>125</v>
      </c>
      <c r="C957" s="155" t="s">
        <v>4</v>
      </c>
      <c r="D957" s="157" t="s">
        <v>5</v>
      </c>
    </row>
    <row r="958" spans="1:4" ht="15" customHeight="1" x14ac:dyDescent="0.2">
      <c r="A958" s="155" t="s">
        <v>1666</v>
      </c>
      <c r="B958" s="156">
        <v>143</v>
      </c>
      <c r="C958" s="155" t="s">
        <v>4</v>
      </c>
      <c r="D958" s="157" t="s">
        <v>5</v>
      </c>
    </row>
    <row r="959" spans="1:4" ht="15" customHeight="1" x14ac:dyDescent="0.2">
      <c r="A959" s="155" t="s">
        <v>620</v>
      </c>
      <c r="B959" s="156">
        <v>2525</v>
      </c>
      <c r="C959" s="155" t="s">
        <v>4</v>
      </c>
      <c r="D959" s="157" t="s">
        <v>5</v>
      </c>
    </row>
    <row r="960" spans="1:4" ht="15" customHeight="1" x14ac:dyDescent="0.2">
      <c r="A960" s="155" t="s">
        <v>1659</v>
      </c>
      <c r="B960" s="156">
        <v>796</v>
      </c>
      <c r="C960" s="155" t="s">
        <v>4</v>
      </c>
      <c r="D960" s="157" t="s">
        <v>5</v>
      </c>
    </row>
    <row r="961" spans="1:4" ht="15" customHeight="1" x14ac:dyDescent="0.2">
      <c r="A961" s="155" t="s">
        <v>168</v>
      </c>
      <c r="B961" s="156">
        <v>7600</v>
      </c>
      <c r="C961" s="155" t="s">
        <v>4</v>
      </c>
      <c r="D961" s="157" t="s">
        <v>5</v>
      </c>
    </row>
    <row r="962" spans="1:4" ht="15" customHeight="1" x14ac:dyDescent="0.2">
      <c r="A962" s="155" t="s">
        <v>1204</v>
      </c>
      <c r="B962" s="156">
        <v>125</v>
      </c>
      <c r="C962" s="155" t="s">
        <v>4</v>
      </c>
      <c r="D962" s="157" t="s">
        <v>5</v>
      </c>
    </row>
    <row r="963" spans="1:4" ht="15" customHeight="1" x14ac:dyDescent="0.2">
      <c r="A963" s="155" t="s">
        <v>158</v>
      </c>
      <c r="B963" s="156">
        <v>4100</v>
      </c>
      <c r="C963" s="155" t="s">
        <v>4</v>
      </c>
      <c r="D963" s="157" t="s">
        <v>5</v>
      </c>
    </row>
    <row r="964" spans="1:4" ht="15" customHeight="1" x14ac:dyDescent="0.2">
      <c r="A964" s="155" t="s">
        <v>1194</v>
      </c>
      <c r="B964" s="156">
        <v>1100</v>
      </c>
      <c r="C964" s="155" t="s">
        <v>4</v>
      </c>
      <c r="D964" s="157" t="s">
        <v>5</v>
      </c>
    </row>
    <row r="965" spans="1:4" ht="15" customHeight="1" x14ac:dyDescent="0.2">
      <c r="A965" s="155" t="s">
        <v>149</v>
      </c>
      <c r="B965" s="156">
        <v>125</v>
      </c>
      <c r="C965" s="155" t="s">
        <v>4</v>
      </c>
      <c r="D965" s="157" t="s">
        <v>5</v>
      </c>
    </row>
    <row r="966" spans="1:4" ht="15" customHeight="1" x14ac:dyDescent="0.2">
      <c r="A966" s="155" t="s">
        <v>1185</v>
      </c>
      <c r="B966" s="156">
        <v>25</v>
      </c>
      <c r="C966" s="155" t="s">
        <v>4</v>
      </c>
      <c r="D966" s="157" t="s">
        <v>5</v>
      </c>
    </row>
    <row r="967" spans="1:4" ht="15" customHeight="1" x14ac:dyDescent="0.2">
      <c r="A967" s="155" t="s">
        <v>140</v>
      </c>
      <c r="B967" s="156">
        <v>125</v>
      </c>
      <c r="C967" s="155" t="s">
        <v>4</v>
      </c>
      <c r="D967" s="157" t="s">
        <v>5</v>
      </c>
    </row>
    <row r="968" spans="1:4" ht="15" customHeight="1" x14ac:dyDescent="0.2">
      <c r="A968" s="155" t="s">
        <v>1176</v>
      </c>
      <c r="B968" s="156">
        <v>10525</v>
      </c>
      <c r="C968" s="155" t="s">
        <v>4</v>
      </c>
      <c r="D968" s="157" t="s">
        <v>5</v>
      </c>
    </row>
    <row r="969" spans="1:4" ht="15" customHeight="1" x14ac:dyDescent="0.2">
      <c r="A969" s="155" t="s">
        <v>200</v>
      </c>
      <c r="B969" s="156">
        <v>125</v>
      </c>
      <c r="C969" s="155" t="s">
        <v>4</v>
      </c>
      <c r="D969" s="157" t="s">
        <v>5</v>
      </c>
    </row>
    <row r="970" spans="1:4" ht="15" customHeight="1" x14ac:dyDescent="0.2">
      <c r="A970" s="155" t="s">
        <v>1238</v>
      </c>
      <c r="B970" s="156">
        <v>6600</v>
      </c>
      <c r="C970" s="155" t="s">
        <v>4</v>
      </c>
      <c r="D970" s="157" t="s">
        <v>5</v>
      </c>
    </row>
    <row r="971" spans="1:4" ht="15" customHeight="1" x14ac:dyDescent="0.2">
      <c r="A971" s="155" t="s">
        <v>192</v>
      </c>
      <c r="B971" s="156">
        <v>125</v>
      </c>
      <c r="C971" s="155" t="s">
        <v>4</v>
      </c>
      <c r="D971" s="157" t="s">
        <v>5</v>
      </c>
    </row>
    <row r="972" spans="1:4" ht="15" customHeight="1" x14ac:dyDescent="0.2">
      <c r="A972" s="155" t="s">
        <v>1230</v>
      </c>
      <c r="B972" s="156">
        <v>200</v>
      </c>
      <c r="C972" s="155" t="s">
        <v>4</v>
      </c>
      <c r="D972" s="157" t="s">
        <v>5</v>
      </c>
    </row>
    <row r="973" spans="1:4" ht="15" customHeight="1" x14ac:dyDescent="0.2">
      <c r="A973" s="155" t="s">
        <v>184</v>
      </c>
      <c r="B973" s="156">
        <v>125</v>
      </c>
      <c r="C973" s="155" t="s">
        <v>4</v>
      </c>
      <c r="D973" s="157" t="s">
        <v>5</v>
      </c>
    </row>
    <row r="974" spans="1:4" ht="15" customHeight="1" x14ac:dyDescent="0.2">
      <c r="A974" s="155" t="s">
        <v>1222</v>
      </c>
      <c r="B974" s="156">
        <v>25</v>
      </c>
      <c r="C974" s="155" t="s">
        <v>4</v>
      </c>
      <c r="D974" s="157" t="s">
        <v>5</v>
      </c>
    </row>
    <row r="975" spans="1:4" ht="15" customHeight="1" x14ac:dyDescent="0.2">
      <c r="A975" s="155" t="s">
        <v>176</v>
      </c>
      <c r="B975" s="156">
        <v>25</v>
      </c>
      <c r="C975" s="155" t="s">
        <v>4</v>
      </c>
      <c r="D975" s="157" t="s">
        <v>5</v>
      </c>
    </row>
    <row r="976" spans="1:4" ht="15" customHeight="1" x14ac:dyDescent="0.2">
      <c r="A976" s="155" t="s">
        <v>1213</v>
      </c>
      <c r="B976" s="156">
        <v>25</v>
      </c>
      <c r="C976" s="155" t="s">
        <v>4</v>
      </c>
      <c r="D976" s="157" t="s">
        <v>5</v>
      </c>
    </row>
    <row r="977" spans="1:4" ht="15" customHeight="1" x14ac:dyDescent="0.2">
      <c r="A977" s="155" t="s">
        <v>234</v>
      </c>
      <c r="B977" s="156">
        <v>25</v>
      </c>
      <c r="C977" s="155" t="s">
        <v>4</v>
      </c>
      <c r="D977" s="157" t="s">
        <v>5</v>
      </c>
    </row>
    <row r="978" spans="1:4" ht="15" customHeight="1" x14ac:dyDescent="0.2">
      <c r="A978" s="155" t="s">
        <v>1273</v>
      </c>
      <c r="B978" s="156">
        <v>25</v>
      </c>
      <c r="C978" s="155" t="s">
        <v>4</v>
      </c>
      <c r="D978" s="157" t="s">
        <v>5</v>
      </c>
    </row>
    <row r="979" spans="1:4" ht="15" customHeight="1" x14ac:dyDescent="0.2">
      <c r="A979" s="155" t="s">
        <v>226</v>
      </c>
      <c r="B979" s="156">
        <v>25</v>
      </c>
      <c r="C979" s="155" t="s">
        <v>4</v>
      </c>
      <c r="D979" s="157" t="s">
        <v>5</v>
      </c>
    </row>
    <row r="980" spans="1:4" ht="15" customHeight="1" x14ac:dyDescent="0.2">
      <c r="A980" s="155" t="s">
        <v>1265</v>
      </c>
      <c r="B980" s="156">
        <v>25</v>
      </c>
      <c r="C980" s="155" t="s">
        <v>4</v>
      </c>
      <c r="D980" s="157" t="s">
        <v>5</v>
      </c>
    </row>
    <row r="981" spans="1:4" ht="15" customHeight="1" x14ac:dyDescent="0.2">
      <c r="A981" s="155" t="s">
        <v>218</v>
      </c>
      <c r="B981" s="156">
        <v>100</v>
      </c>
      <c r="C981" s="155" t="s">
        <v>4</v>
      </c>
      <c r="D981" s="157" t="s">
        <v>5</v>
      </c>
    </row>
    <row r="982" spans="1:4" ht="15" customHeight="1" x14ac:dyDescent="0.2">
      <c r="A982" s="155" t="s">
        <v>1257</v>
      </c>
      <c r="B982" s="156">
        <v>575</v>
      </c>
      <c r="C982" s="155" t="s">
        <v>4</v>
      </c>
      <c r="D982" s="157" t="s">
        <v>5</v>
      </c>
    </row>
    <row r="983" spans="1:4" ht="15" customHeight="1" x14ac:dyDescent="0.2">
      <c r="A983" s="155" t="s">
        <v>210</v>
      </c>
      <c r="B983" s="156">
        <v>125</v>
      </c>
      <c r="C983" s="155" t="s">
        <v>4</v>
      </c>
      <c r="D983" s="157" t="s">
        <v>5</v>
      </c>
    </row>
    <row r="984" spans="1:4" ht="15" customHeight="1" x14ac:dyDescent="0.2">
      <c r="A984" s="155" t="s">
        <v>1247</v>
      </c>
      <c r="B984" s="156">
        <v>125</v>
      </c>
      <c r="C984" s="155" t="s">
        <v>4</v>
      </c>
      <c r="D984" s="157" t="s">
        <v>5</v>
      </c>
    </row>
    <row r="985" spans="1:4" ht="15" customHeight="1" x14ac:dyDescent="0.2">
      <c r="A985" s="155" t="s">
        <v>261</v>
      </c>
      <c r="B985" s="156">
        <v>125</v>
      </c>
      <c r="C985" s="155" t="s">
        <v>4</v>
      </c>
      <c r="D985" s="157" t="s">
        <v>5</v>
      </c>
    </row>
    <row r="986" spans="1:4" ht="15" customHeight="1" x14ac:dyDescent="0.2">
      <c r="A986" s="155" t="s">
        <v>1300</v>
      </c>
      <c r="B986" s="156">
        <v>10</v>
      </c>
      <c r="C986" s="155" t="s">
        <v>4</v>
      </c>
      <c r="D986" s="157" t="s">
        <v>5</v>
      </c>
    </row>
    <row r="987" spans="1:4" ht="15" customHeight="1" x14ac:dyDescent="0.2">
      <c r="A987" s="155" t="s">
        <v>253</v>
      </c>
      <c r="B987" s="156">
        <v>125</v>
      </c>
      <c r="C987" s="155" t="s">
        <v>4</v>
      </c>
      <c r="D987" s="157" t="s">
        <v>5</v>
      </c>
    </row>
    <row r="988" spans="1:4" ht="15" customHeight="1" x14ac:dyDescent="0.2">
      <c r="A988" s="155" t="s">
        <v>1292</v>
      </c>
      <c r="B988" s="156">
        <v>125</v>
      </c>
      <c r="C988" s="155" t="s">
        <v>4</v>
      </c>
      <c r="D988" s="157" t="s">
        <v>5</v>
      </c>
    </row>
    <row r="989" spans="1:4" ht="15" customHeight="1" x14ac:dyDescent="0.2">
      <c r="A989" s="155" t="s">
        <v>245</v>
      </c>
      <c r="B989" s="156">
        <v>125</v>
      </c>
      <c r="C989" s="155" t="s">
        <v>4</v>
      </c>
      <c r="D989" s="157" t="s">
        <v>5</v>
      </c>
    </row>
    <row r="990" spans="1:4" ht="15" customHeight="1" x14ac:dyDescent="0.2">
      <c r="A990" s="155" t="s">
        <v>1284</v>
      </c>
      <c r="B990" s="156">
        <v>50</v>
      </c>
      <c r="C990" s="155" t="s">
        <v>4</v>
      </c>
      <c r="D990" s="157" t="s">
        <v>5</v>
      </c>
    </row>
    <row r="991" spans="1:4" ht="15" customHeight="1" x14ac:dyDescent="0.2">
      <c r="A991" s="155" t="s">
        <v>242</v>
      </c>
      <c r="B991" s="156">
        <v>125</v>
      </c>
      <c r="C991" s="155" t="s">
        <v>4</v>
      </c>
      <c r="D991" s="157" t="s">
        <v>5</v>
      </c>
    </row>
    <row r="992" spans="1:4" ht="15" customHeight="1" x14ac:dyDescent="0.2">
      <c r="A992" s="155" t="s">
        <v>1281</v>
      </c>
      <c r="B992" s="159">
        <v>26.5</v>
      </c>
      <c r="C992" s="155" t="s">
        <v>4</v>
      </c>
      <c r="D992" s="157" t="s">
        <v>5</v>
      </c>
    </row>
    <row r="993" spans="1:4" ht="15" customHeight="1" x14ac:dyDescent="0.2">
      <c r="A993" s="155" t="s">
        <v>295</v>
      </c>
      <c r="B993" s="156">
        <v>125</v>
      </c>
      <c r="C993" s="155" t="s">
        <v>4</v>
      </c>
      <c r="D993" s="157" t="s">
        <v>5</v>
      </c>
    </row>
    <row r="994" spans="1:4" ht="15" customHeight="1" x14ac:dyDescent="0.2">
      <c r="A994" s="155" t="s">
        <v>1334</v>
      </c>
      <c r="B994" s="156">
        <v>250</v>
      </c>
      <c r="C994" s="155" t="s">
        <v>4</v>
      </c>
      <c r="D994" s="157" t="s">
        <v>5</v>
      </c>
    </row>
    <row r="995" spans="1:4" ht="15" customHeight="1" x14ac:dyDescent="0.2">
      <c r="A995" s="155" t="s">
        <v>287</v>
      </c>
      <c r="B995" s="156">
        <v>125</v>
      </c>
      <c r="C995" s="155" t="s">
        <v>4</v>
      </c>
      <c r="D995" s="157" t="s">
        <v>5</v>
      </c>
    </row>
    <row r="996" spans="1:4" ht="15" customHeight="1" x14ac:dyDescent="0.2">
      <c r="A996" s="155" t="s">
        <v>1325</v>
      </c>
      <c r="B996" s="156">
        <v>125</v>
      </c>
      <c r="C996" s="155" t="s">
        <v>4</v>
      </c>
      <c r="D996" s="157" t="s">
        <v>5</v>
      </c>
    </row>
    <row r="997" spans="1:4" ht="15" customHeight="1" x14ac:dyDescent="0.2">
      <c r="A997" s="155" t="s">
        <v>277</v>
      </c>
      <c r="B997" s="156">
        <v>125</v>
      </c>
      <c r="C997" s="155" t="s">
        <v>4</v>
      </c>
      <c r="D997" s="157" t="s">
        <v>5</v>
      </c>
    </row>
    <row r="998" spans="1:4" ht="15" customHeight="1" x14ac:dyDescent="0.2">
      <c r="A998" s="155" t="s">
        <v>1316</v>
      </c>
      <c r="B998" s="156">
        <v>125</v>
      </c>
      <c r="C998" s="155" t="s">
        <v>4</v>
      </c>
      <c r="D998" s="157" t="s">
        <v>5</v>
      </c>
    </row>
    <row r="999" spans="1:4" ht="15" customHeight="1" x14ac:dyDescent="0.2">
      <c r="A999" s="155" t="s">
        <v>269</v>
      </c>
      <c r="B999" s="156">
        <v>10</v>
      </c>
      <c r="C999" s="155" t="s">
        <v>4</v>
      </c>
      <c r="D999" s="157" t="s">
        <v>5</v>
      </c>
    </row>
    <row r="1000" spans="1:4" ht="15" customHeight="1" x14ac:dyDescent="0.2">
      <c r="A1000" s="155" t="s">
        <v>1308</v>
      </c>
      <c r="B1000" s="156">
        <v>125</v>
      </c>
      <c r="C1000" s="155" t="s">
        <v>4</v>
      </c>
      <c r="D1000" s="157" t="s">
        <v>5</v>
      </c>
    </row>
    <row r="1001" spans="1:4" ht="15" customHeight="1" x14ac:dyDescent="0.2">
      <c r="A1001" s="155" t="s">
        <v>328</v>
      </c>
      <c r="B1001" s="156">
        <v>25</v>
      </c>
      <c r="C1001" s="155" t="s">
        <v>4</v>
      </c>
      <c r="D1001" s="157" t="s">
        <v>5</v>
      </c>
    </row>
    <row r="1002" spans="1:4" ht="15" customHeight="1" x14ac:dyDescent="0.2">
      <c r="A1002" s="155" t="s">
        <v>1366</v>
      </c>
      <c r="B1002" s="156">
        <v>125</v>
      </c>
      <c r="C1002" s="155" t="s">
        <v>4</v>
      </c>
      <c r="D1002" s="157" t="s">
        <v>5</v>
      </c>
    </row>
    <row r="1003" spans="1:4" ht="15" customHeight="1" x14ac:dyDescent="0.2">
      <c r="A1003" s="155" t="s">
        <v>319</v>
      </c>
      <c r="B1003" s="156">
        <v>25</v>
      </c>
      <c r="C1003" s="155" t="s">
        <v>4</v>
      </c>
      <c r="D1003" s="157" t="s">
        <v>5</v>
      </c>
    </row>
    <row r="1004" spans="1:4" ht="15" customHeight="1" x14ac:dyDescent="0.2">
      <c r="A1004" s="155" t="s">
        <v>1358</v>
      </c>
      <c r="B1004" s="156">
        <v>125</v>
      </c>
      <c r="C1004" s="155" t="s">
        <v>4</v>
      </c>
      <c r="D1004" s="157" t="s">
        <v>5</v>
      </c>
    </row>
    <row r="1005" spans="1:4" ht="15" customHeight="1" x14ac:dyDescent="0.2">
      <c r="A1005" s="155" t="s">
        <v>311</v>
      </c>
      <c r="B1005" s="156">
        <v>125</v>
      </c>
      <c r="C1005" s="155" t="s">
        <v>4</v>
      </c>
      <c r="D1005" s="157" t="s">
        <v>5</v>
      </c>
    </row>
    <row r="1006" spans="1:4" ht="15" customHeight="1" x14ac:dyDescent="0.2">
      <c r="A1006" s="155" t="s">
        <v>1350</v>
      </c>
      <c r="B1006" s="156">
        <v>125</v>
      </c>
      <c r="C1006" s="155" t="s">
        <v>4</v>
      </c>
      <c r="D1006" s="157" t="s">
        <v>5</v>
      </c>
    </row>
    <row r="1007" spans="1:4" ht="15" customHeight="1" x14ac:dyDescent="0.2">
      <c r="A1007" s="155" t="s">
        <v>303</v>
      </c>
      <c r="B1007" s="156">
        <v>5850</v>
      </c>
      <c r="C1007" s="155" t="s">
        <v>4</v>
      </c>
      <c r="D1007" s="157" t="s">
        <v>5</v>
      </c>
    </row>
    <row r="1008" spans="1:4" ht="15" customHeight="1" x14ac:dyDescent="0.2">
      <c r="A1008" s="155" t="s">
        <v>1342</v>
      </c>
      <c r="B1008" s="156">
        <v>125</v>
      </c>
      <c r="C1008" s="155" t="s">
        <v>4</v>
      </c>
      <c r="D1008" s="157" t="s">
        <v>5</v>
      </c>
    </row>
    <row r="1009" spans="1:4" ht="15" customHeight="1" x14ac:dyDescent="0.2">
      <c r="A1009" s="155" t="s">
        <v>360</v>
      </c>
      <c r="B1009" s="156">
        <v>125</v>
      </c>
      <c r="C1009" s="155" t="s">
        <v>4</v>
      </c>
      <c r="D1009" s="157" t="s">
        <v>5</v>
      </c>
    </row>
    <row r="1010" spans="1:4" ht="15" customHeight="1" x14ac:dyDescent="0.2">
      <c r="A1010" s="155" t="s">
        <v>1399</v>
      </c>
      <c r="B1010" s="156">
        <v>125</v>
      </c>
      <c r="C1010" s="155" t="s">
        <v>4</v>
      </c>
      <c r="D1010" s="157" t="s">
        <v>5</v>
      </c>
    </row>
    <row r="1011" spans="1:4" ht="15" customHeight="1" x14ac:dyDescent="0.2">
      <c r="A1011" s="155" t="s">
        <v>352</v>
      </c>
      <c r="B1011" s="156">
        <v>125</v>
      </c>
      <c r="C1011" s="155" t="s">
        <v>4</v>
      </c>
      <c r="D1011" s="157" t="s">
        <v>5</v>
      </c>
    </row>
    <row r="1012" spans="1:4" ht="15" customHeight="1" x14ac:dyDescent="0.2">
      <c r="A1012" s="155" t="s">
        <v>1391</v>
      </c>
      <c r="B1012" s="156">
        <v>125</v>
      </c>
      <c r="C1012" s="155" t="s">
        <v>4</v>
      </c>
      <c r="D1012" s="157" t="s">
        <v>5</v>
      </c>
    </row>
    <row r="1013" spans="1:4" ht="15" customHeight="1" x14ac:dyDescent="0.2">
      <c r="A1013" s="155" t="s">
        <v>344</v>
      </c>
      <c r="B1013" s="156">
        <v>125</v>
      </c>
      <c r="C1013" s="155" t="s">
        <v>4</v>
      </c>
      <c r="D1013" s="157" t="s">
        <v>5</v>
      </c>
    </row>
    <row r="1014" spans="1:4" ht="15" customHeight="1" x14ac:dyDescent="0.2">
      <c r="A1014" s="155" t="s">
        <v>1383</v>
      </c>
      <c r="B1014" s="156">
        <v>5</v>
      </c>
      <c r="C1014" s="155" t="s">
        <v>4</v>
      </c>
      <c r="D1014" s="157" t="s">
        <v>5</v>
      </c>
    </row>
    <row r="1015" spans="1:4" ht="15" customHeight="1" x14ac:dyDescent="0.2">
      <c r="A1015" s="155" t="s">
        <v>336</v>
      </c>
      <c r="B1015" s="156">
        <v>125</v>
      </c>
      <c r="C1015" s="155" t="s">
        <v>4</v>
      </c>
      <c r="D1015" s="157" t="s">
        <v>5</v>
      </c>
    </row>
    <row r="1016" spans="1:4" ht="15" customHeight="1" x14ac:dyDescent="0.2">
      <c r="A1016" s="155" t="s">
        <v>1375</v>
      </c>
      <c r="B1016" s="156">
        <v>125</v>
      </c>
      <c r="C1016" s="155" t="s">
        <v>4</v>
      </c>
      <c r="D1016" s="157" t="s">
        <v>5</v>
      </c>
    </row>
    <row r="1017" spans="1:4" ht="15" customHeight="1" x14ac:dyDescent="0.2">
      <c r="A1017" s="155" t="s">
        <v>392</v>
      </c>
      <c r="B1017" s="156">
        <v>125</v>
      </c>
      <c r="C1017" s="155" t="s">
        <v>4</v>
      </c>
      <c r="D1017" s="157" t="s">
        <v>5</v>
      </c>
    </row>
    <row r="1018" spans="1:4" ht="15" customHeight="1" x14ac:dyDescent="0.2">
      <c r="A1018" s="155" t="s">
        <v>1431</v>
      </c>
      <c r="B1018" s="156">
        <v>125</v>
      </c>
      <c r="C1018" s="155" t="s">
        <v>4</v>
      </c>
      <c r="D1018" s="157" t="s">
        <v>5</v>
      </c>
    </row>
    <row r="1019" spans="1:4" ht="15" customHeight="1" x14ac:dyDescent="0.2">
      <c r="A1019" s="155" t="s">
        <v>384</v>
      </c>
      <c r="B1019" s="156">
        <v>25</v>
      </c>
      <c r="C1019" s="155" t="s">
        <v>4</v>
      </c>
      <c r="D1019" s="157" t="s">
        <v>5</v>
      </c>
    </row>
    <row r="1020" spans="1:4" ht="15" customHeight="1" x14ac:dyDescent="0.2">
      <c r="A1020" s="155" t="s">
        <v>1423</v>
      </c>
      <c r="B1020" s="156">
        <v>75</v>
      </c>
      <c r="C1020" s="155" t="s">
        <v>4</v>
      </c>
      <c r="D1020" s="157" t="s">
        <v>5</v>
      </c>
    </row>
    <row r="1021" spans="1:4" ht="15" customHeight="1" x14ac:dyDescent="0.2">
      <c r="A1021" s="155" t="s">
        <v>376</v>
      </c>
      <c r="B1021" s="156">
        <v>240</v>
      </c>
      <c r="C1021" s="155" t="s">
        <v>4</v>
      </c>
      <c r="D1021" s="157" t="s">
        <v>5</v>
      </c>
    </row>
    <row r="1022" spans="1:4" ht="15" customHeight="1" x14ac:dyDescent="0.2">
      <c r="A1022" s="155" t="s">
        <v>1415</v>
      </c>
      <c r="B1022" s="156">
        <v>125</v>
      </c>
      <c r="C1022" s="155" t="s">
        <v>4</v>
      </c>
      <c r="D1022" s="157" t="s">
        <v>5</v>
      </c>
    </row>
    <row r="1023" spans="1:4" ht="15" customHeight="1" x14ac:dyDescent="0.2">
      <c r="A1023" s="155" t="s">
        <v>368</v>
      </c>
      <c r="B1023" s="156">
        <v>2514</v>
      </c>
      <c r="C1023" s="155" t="s">
        <v>4</v>
      </c>
      <c r="D1023" s="157" t="s">
        <v>5</v>
      </c>
    </row>
    <row r="1024" spans="1:4" ht="15" customHeight="1" x14ac:dyDescent="0.2">
      <c r="A1024" s="155" t="s">
        <v>1407</v>
      </c>
      <c r="B1024" s="156">
        <v>800</v>
      </c>
      <c r="C1024" s="155" t="s">
        <v>4</v>
      </c>
      <c r="D1024" s="157" t="s">
        <v>5</v>
      </c>
    </row>
    <row r="1025" spans="1:4" ht="15" customHeight="1" x14ac:dyDescent="0.2">
      <c r="A1025" s="155" t="s">
        <v>921</v>
      </c>
      <c r="B1025" s="156">
        <v>125</v>
      </c>
      <c r="C1025" s="155" t="s">
        <v>4</v>
      </c>
      <c r="D1025" s="157" t="s">
        <v>5</v>
      </c>
    </row>
    <row r="1026" spans="1:4" ht="15" customHeight="1" x14ac:dyDescent="0.2">
      <c r="A1026" s="155" t="s">
        <v>1960</v>
      </c>
      <c r="B1026" s="156">
        <v>450</v>
      </c>
      <c r="C1026" s="155" t="s">
        <v>4</v>
      </c>
      <c r="D1026" s="157" t="s">
        <v>5</v>
      </c>
    </row>
    <row r="1027" spans="1:4" ht="15" customHeight="1" x14ac:dyDescent="0.2">
      <c r="A1027" s="155" t="s">
        <v>913</v>
      </c>
      <c r="B1027" s="158">
        <v>1069.3599999999999</v>
      </c>
      <c r="C1027" s="155" t="s">
        <v>4</v>
      </c>
      <c r="D1027" s="157" t="s">
        <v>5</v>
      </c>
    </row>
    <row r="1028" spans="1:4" ht="15" customHeight="1" x14ac:dyDescent="0.2">
      <c r="A1028" s="155" t="s">
        <v>1952</v>
      </c>
      <c r="B1028" s="159">
        <v>2084.4</v>
      </c>
      <c r="C1028" s="155" t="s">
        <v>4</v>
      </c>
      <c r="D1028" s="157" t="s">
        <v>5</v>
      </c>
    </row>
    <row r="1029" spans="1:4" ht="15" customHeight="1" x14ac:dyDescent="0.2">
      <c r="A1029" s="155" t="s">
        <v>905</v>
      </c>
      <c r="B1029" s="156">
        <v>25</v>
      </c>
      <c r="C1029" s="155" t="s">
        <v>4</v>
      </c>
      <c r="D1029" s="157" t="s">
        <v>5</v>
      </c>
    </row>
    <row r="1030" spans="1:4" ht="15" customHeight="1" x14ac:dyDescent="0.2">
      <c r="A1030" s="155" t="s">
        <v>1944</v>
      </c>
      <c r="B1030" s="156">
        <v>125</v>
      </c>
      <c r="C1030" s="155" t="s">
        <v>4</v>
      </c>
      <c r="D1030" s="157" t="s">
        <v>5</v>
      </c>
    </row>
    <row r="1031" spans="1:4" ht="15" customHeight="1" x14ac:dyDescent="0.2">
      <c r="A1031" s="155" t="s">
        <v>897</v>
      </c>
      <c r="B1031" s="156">
        <v>125</v>
      </c>
      <c r="C1031" s="155" t="s">
        <v>4</v>
      </c>
      <c r="D1031" s="157" t="s">
        <v>5</v>
      </c>
    </row>
    <row r="1032" spans="1:4" ht="15" customHeight="1" x14ac:dyDescent="0.2">
      <c r="A1032" s="155" t="s">
        <v>1936</v>
      </c>
      <c r="B1032" s="156">
        <v>100</v>
      </c>
      <c r="C1032" s="155" t="s">
        <v>4</v>
      </c>
      <c r="D1032" s="157" t="s">
        <v>5</v>
      </c>
    </row>
    <row r="1033" spans="1:4" ht="15" customHeight="1" x14ac:dyDescent="0.2">
      <c r="A1033" s="155" t="s">
        <v>953</v>
      </c>
      <c r="B1033" s="156">
        <v>350</v>
      </c>
      <c r="C1033" s="155" t="s">
        <v>4</v>
      </c>
      <c r="D1033" s="157" t="s">
        <v>5</v>
      </c>
    </row>
    <row r="1034" spans="1:4" ht="15" customHeight="1" x14ac:dyDescent="0.2">
      <c r="A1034" s="155" t="s">
        <v>1992</v>
      </c>
      <c r="B1034" s="156">
        <v>125</v>
      </c>
      <c r="C1034" s="155" t="s">
        <v>4</v>
      </c>
      <c r="D1034" s="157" t="s">
        <v>5</v>
      </c>
    </row>
    <row r="1035" spans="1:4" ht="15" customHeight="1" x14ac:dyDescent="0.2">
      <c r="A1035" s="155" t="s">
        <v>945</v>
      </c>
      <c r="B1035" s="156">
        <v>8650</v>
      </c>
      <c r="C1035" s="155" t="s">
        <v>4</v>
      </c>
      <c r="D1035" s="157" t="s">
        <v>5</v>
      </c>
    </row>
    <row r="1036" spans="1:4" ht="15" customHeight="1" x14ac:dyDescent="0.2">
      <c r="A1036" s="155" t="s">
        <v>1984</v>
      </c>
      <c r="B1036" s="156">
        <v>125</v>
      </c>
      <c r="C1036" s="155" t="s">
        <v>4</v>
      </c>
      <c r="D1036" s="157" t="s">
        <v>5</v>
      </c>
    </row>
    <row r="1037" spans="1:4" ht="15" customHeight="1" x14ac:dyDescent="0.2">
      <c r="A1037" s="155" t="s">
        <v>937</v>
      </c>
      <c r="B1037" s="156">
        <v>25</v>
      </c>
      <c r="C1037" s="155" t="s">
        <v>4</v>
      </c>
      <c r="D1037" s="157" t="s">
        <v>5</v>
      </c>
    </row>
    <row r="1038" spans="1:4" ht="15" customHeight="1" x14ac:dyDescent="0.2">
      <c r="A1038" s="155" t="s">
        <v>1976</v>
      </c>
      <c r="B1038" s="156">
        <v>5325</v>
      </c>
      <c r="C1038" s="155" t="s">
        <v>4</v>
      </c>
      <c r="D1038" s="157" t="s">
        <v>5</v>
      </c>
    </row>
    <row r="1039" spans="1:4" ht="15" customHeight="1" x14ac:dyDescent="0.2">
      <c r="A1039" s="155" t="s">
        <v>929</v>
      </c>
      <c r="B1039" s="156">
        <v>125</v>
      </c>
      <c r="C1039" s="155" t="s">
        <v>4</v>
      </c>
      <c r="D1039" s="157" t="s">
        <v>5</v>
      </c>
    </row>
    <row r="1040" spans="1:4" ht="15" customHeight="1" x14ac:dyDescent="0.2">
      <c r="A1040" s="155" t="s">
        <v>1968</v>
      </c>
      <c r="B1040" s="156">
        <v>134</v>
      </c>
      <c r="C1040" s="155" t="s">
        <v>4</v>
      </c>
      <c r="D1040" s="157" t="s">
        <v>5</v>
      </c>
    </row>
    <row r="1041" spans="1:4" ht="15" customHeight="1" x14ac:dyDescent="0.2">
      <c r="A1041" s="155" t="s">
        <v>983</v>
      </c>
      <c r="B1041" s="156">
        <v>125</v>
      </c>
      <c r="C1041" s="155" t="s">
        <v>4</v>
      </c>
      <c r="D1041" s="157" t="s">
        <v>5</v>
      </c>
    </row>
    <row r="1042" spans="1:4" ht="15" customHeight="1" x14ac:dyDescent="0.2">
      <c r="A1042" s="155" t="s">
        <v>2022</v>
      </c>
      <c r="B1042" s="156">
        <v>125</v>
      </c>
      <c r="C1042" s="155" t="s">
        <v>4</v>
      </c>
      <c r="D1042" s="157" t="s">
        <v>5</v>
      </c>
    </row>
    <row r="1043" spans="1:4" ht="15" customHeight="1" x14ac:dyDescent="0.2">
      <c r="A1043" s="155" t="s">
        <v>975</v>
      </c>
      <c r="B1043" s="156">
        <v>1075</v>
      </c>
      <c r="C1043" s="155" t="s">
        <v>4</v>
      </c>
      <c r="D1043" s="157" t="s">
        <v>5</v>
      </c>
    </row>
    <row r="1044" spans="1:4" ht="15" customHeight="1" x14ac:dyDescent="0.2">
      <c r="A1044" s="155" t="s">
        <v>2014</v>
      </c>
      <c r="B1044" s="156">
        <v>125</v>
      </c>
      <c r="C1044" s="155" t="s">
        <v>4</v>
      </c>
      <c r="D1044" s="157" t="s">
        <v>5</v>
      </c>
    </row>
    <row r="1045" spans="1:4" ht="15" customHeight="1" x14ac:dyDescent="0.2">
      <c r="A1045" s="155" t="s">
        <v>967</v>
      </c>
      <c r="B1045" s="156">
        <v>125</v>
      </c>
      <c r="C1045" s="155" t="s">
        <v>4</v>
      </c>
      <c r="D1045" s="157" t="s">
        <v>5</v>
      </c>
    </row>
    <row r="1046" spans="1:4" ht="15" customHeight="1" x14ac:dyDescent="0.2">
      <c r="A1046" s="155" t="s">
        <v>2006</v>
      </c>
      <c r="B1046" s="156">
        <v>125</v>
      </c>
      <c r="C1046" s="155" t="s">
        <v>4</v>
      </c>
      <c r="D1046" s="157" t="s">
        <v>5</v>
      </c>
    </row>
    <row r="1047" spans="1:4" ht="15" customHeight="1" x14ac:dyDescent="0.2">
      <c r="A1047" s="155" t="s">
        <v>960</v>
      </c>
      <c r="B1047" s="156">
        <v>5075</v>
      </c>
      <c r="C1047" s="155" t="s">
        <v>4</v>
      </c>
      <c r="D1047" s="157" t="s">
        <v>5</v>
      </c>
    </row>
    <row r="1048" spans="1:4" ht="15" customHeight="1" x14ac:dyDescent="0.2">
      <c r="A1048" s="155" t="s">
        <v>1999</v>
      </c>
      <c r="B1048" s="156">
        <v>50</v>
      </c>
      <c r="C1048" s="155" t="s">
        <v>4</v>
      </c>
      <c r="D1048" s="157" t="s">
        <v>5</v>
      </c>
    </row>
    <row r="1049" spans="1:4" ht="15" customHeight="1" x14ac:dyDescent="0.2">
      <c r="A1049" s="155" t="s">
        <v>1019</v>
      </c>
      <c r="B1049" s="156">
        <v>125</v>
      </c>
      <c r="C1049" s="155" t="s">
        <v>4</v>
      </c>
      <c r="D1049" s="157" t="s">
        <v>5</v>
      </c>
    </row>
    <row r="1050" spans="1:4" ht="15" customHeight="1" x14ac:dyDescent="0.2">
      <c r="A1050" s="155" t="s">
        <v>2055</v>
      </c>
      <c r="B1050" s="156">
        <v>125</v>
      </c>
      <c r="C1050" s="155" t="s">
        <v>4</v>
      </c>
      <c r="D1050" s="157" t="s">
        <v>5</v>
      </c>
    </row>
    <row r="1051" spans="1:4" ht="15" customHeight="1" x14ac:dyDescent="0.2">
      <c r="A1051" s="155" t="s">
        <v>1008</v>
      </c>
      <c r="B1051" s="156">
        <v>125</v>
      </c>
      <c r="C1051" s="155" t="s">
        <v>4</v>
      </c>
      <c r="D1051" s="157" t="s">
        <v>5</v>
      </c>
    </row>
    <row r="1052" spans="1:4" ht="15" customHeight="1" x14ac:dyDescent="0.2">
      <c r="A1052" s="155" t="s">
        <v>2047</v>
      </c>
      <c r="B1052" s="156">
        <v>100</v>
      </c>
      <c r="C1052" s="155" t="s">
        <v>4</v>
      </c>
      <c r="D1052" s="157" t="s">
        <v>5</v>
      </c>
    </row>
    <row r="1053" spans="1:4" ht="15" customHeight="1" x14ac:dyDescent="0.2">
      <c r="A1053" s="155" t="s">
        <v>1000</v>
      </c>
      <c r="B1053" s="156">
        <v>125</v>
      </c>
      <c r="C1053" s="155" t="s">
        <v>4</v>
      </c>
      <c r="D1053" s="157" t="s">
        <v>5</v>
      </c>
    </row>
    <row r="1054" spans="1:4" ht="15" customHeight="1" x14ac:dyDescent="0.2">
      <c r="A1054" s="155" t="s">
        <v>2039</v>
      </c>
      <c r="B1054" s="156">
        <v>125</v>
      </c>
      <c r="C1054" s="155" t="s">
        <v>4</v>
      </c>
      <c r="D1054" s="157" t="s">
        <v>5</v>
      </c>
    </row>
    <row r="1055" spans="1:4" ht="15" customHeight="1" x14ac:dyDescent="0.2">
      <c r="A1055" s="155" t="s">
        <v>992</v>
      </c>
      <c r="B1055" s="156">
        <v>125</v>
      </c>
      <c r="C1055" s="155" t="s">
        <v>4</v>
      </c>
      <c r="D1055" s="157" t="s">
        <v>5</v>
      </c>
    </row>
    <row r="1056" spans="1:4" ht="15" customHeight="1" x14ac:dyDescent="0.2">
      <c r="A1056" s="155" t="s">
        <v>2031</v>
      </c>
      <c r="B1056" s="156">
        <v>125</v>
      </c>
      <c r="C1056" s="155" t="s">
        <v>4</v>
      </c>
      <c r="D1056" s="157" t="s">
        <v>5</v>
      </c>
    </row>
    <row r="1057" spans="1:4" ht="15" customHeight="1" x14ac:dyDescent="0.2">
      <c r="A1057" s="155" t="s">
        <v>1053</v>
      </c>
      <c r="B1057" s="156">
        <v>125</v>
      </c>
      <c r="C1057" s="155" t="s">
        <v>4</v>
      </c>
      <c r="D1057" s="157" t="s">
        <v>5</v>
      </c>
    </row>
    <row r="1058" spans="1:4" ht="15" customHeight="1" x14ac:dyDescent="0.2">
      <c r="A1058" s="155" t="s">
        <v>8</v>
      </c>
      <c r="B1058" s="156">
        <v>125</v>
      </c>
      <c r="C1058" s="155" t="s">
        <v>4</v>
      </c>
      <c r="D1058" s="157" t="s">
        <v>5</v>
      </c>
    </row>
    <row r="1059" spans="1:4" ht="15" customHeight="1" x14ac:dyDescent="0.2">
      <c r="A1059" s="155" t="s">
        <v>1045</v>
      </c>
      <c r="B1059" s="156">
        <v>125</v>
      </c>
      <c r="C1059" s="155" t="s">
        <v>4</v>
      </c>
      <c r="D1059" s="157" t="s">
        <v>5</v>
      </c>
    </row>
    <row r="1060" spans="1:4" ht="15" customHeight="1" x14ac:dyDescent="0.2">
      <c r="A1060" s="155" t="s">
        <v>2081</v>
      </c>
      <c r="B1060" s="156">
        <v>10</v>
      </c>
      <c r="C1060" s="155" t="s">
        <v>4</v>
      </c>
      <c r="D1060" s="157" t="s">
        <v>5</v>
      </c>
    </row>
    <row r="1061" spans="1:4" ht="15" customHeight="1" x14ac:dyDescent="0.2">
      <c r="A1061" s="155" t="s">
        <v>1037</v>
      </c>
      <c r="B1061" s="156">
        <v>125</v>
      </c>
      <c r="C1061" s="155" t="s">
        <v>4</v>
      </c>
      <c r="D1061" s="157" t="s">
        <v>5</v>
      </c>
    </row>
    <row r="1062" spans="1:4" ht="15" customHeight="1" x14ac:dyDescent="0.2">
      <c r="A1062" s="155" t="s">
        <v>2073</v>
      </c>
      <c r="B1062" s="156">
        <v>125</v>
      </c>
      <c r="C1062" s="155" t="s">
        <v>4</v>
      </c>
      <c r="D1062" s="157" t="s">
        <v>5</v>
      </c>
    </row>
    <row r="1063" spans="1:4" ht="15" customHeight="1" x14ac:dyDescent="0.2">
      <c r="A1063" s="155" t="s">
        <v>1028</v>
      </c>
      <c r="B1063" s="156">
        <v>125</v>
      </c>
      <c r="C1063" s="155" t="s">
        <v>4</v>
      </c>
      <c r="D1063" s="157" t="s">
        <v>5</v>
      </c>
    </row>
    <row r="1064" spans="1:4" ht="15" customHeight="1" x14ac:dyDescent="0.2">
      <c r="A1064" s="155" t="s">
        <v>2063</v>
      </c>
      <c r="B1064" s="156">
        <v>125</v>
      </c>
      <c r="C1064" s="155" t="s">
        <v>4</v>
      </c>
      <c r="D1064" s="157" t="s">
        <v>5</v>
      </c>
    </row>
    <row r="1065" spans="1:4" ht="15" customHeight="1" x14ac:dyDescent="0.2">
      <c r="A1065" s="155" t="s">
        <v>1081</v>
      </c>
      <c r="B1065" s="156">
        <v>125</v>
      </c>
      <c r="C1065" s="155" t="s">
        <v>4</v>
      </c>
      <c r="D1065" s="157" t="s">
        <v>5</v>
      </c>
    </row>
    <row r="1066" spans="1:4" ht="15" customHeight="1" x14ac:dyDescent="0.2">
      <c r="A1066" s="155" t="s">
        <v>36</v>
      </c>
      <c r="B1066" s="156">
        <v>125</v>
      </c>
      <c r="C1066" s="155" t="s">
        <v>4</v>
      </c>
      <c r="D1066" s="157" t="s">
        <v>5</v>
      </c>
    </row>
    <row r="1067" spans="1:4" ht="15" customHeight="1" x14ac:dyDescent="0.2">
      <c r="A1067" s="155" t="s">
        <v>1072</v>
      </c>
      <c r="B1067" s="156">
        <v>125</v>
      </c>
      <c r="C1067" s="155" t="s">
        <v>4</v>
      </c>
      <c r="D1067" s="157" t="s">
        <v>5</v>
      </c>
    </row>
    <row r="1068" spans="1:4" ht="15" customHeight="1" x14ac:dyDescent="0.2">
      <c r="A1068" s="155" t="s">
        <v>27</v>
      </c>
      <c r="B1068" s="156">
        <v>50</v>
      </c>
      <c r="C1068" s="155" t="s">
        <v>4</v>
      </c>
      <c r="D1068" s="157" t="s">
        <v>5</v>
      </c>
    </row>
    <row r="1069" spans="1:4" ht="15" customHeight="1" x14ac:dyDescent="0.2">
      <c r="A1069" s="155" t="s">
        <v>1069</v>
      </c>
      <c r="B1069" s="156">
        <v>125</v>
      </c>
      <c r="C1069" s="155" t="s">
        <v>4</v>
      </c>
      <c r="D1069" s="157" t="s">
        <v>5</v>
      </c>
    </row>
    <row r="1070" spans="1:4" ht="15" customHeight="1" x14ac:dyDescent="0.2">
      <c r="A1070" s="155" t="s">
        <v>24</v>
      </c>
      <c r="B1070" s="156">
        <v>125</v>
      </c>
      <c r="C1070" s="155" t="s">
        <v>4</v>
      </c>
      <c r="D1070" s="157" t="s">
        <v>5</v>
      </c>
    </row>
    <row r="1071" spans="1:4" ht="15" customHeight="1" x14ac:dyDescent="0.2">
      <c r="A1071" s="155" t="s">
        <v>1061</v>
      </c>
      <c r="B1071" s="156">
        <v>125</v>
      </c>
      <c r="C1071" s="155" t="s">
        <v>4</v>
      </c>
      <c r="D1071" s="157" t="s">
        <v>5</v>
      </c>
    </row>
    <row r="1072" spans="1:4" ht="15" customHeight="1" x14ac:dyDescent="0.2">
      <c r="A1072" s="155" t="s">
        <v>16</v>
      </c>
      <c r="B1072" s="156">
        <v>125</v>
      </c>
      <c r="C1072" s="155" t="s">
        <v>4</v>
      </c>
      <c r="D1072" s="157" t="s">
        <v>5</v>
      </c>
    </row>
    <row r="1073" spans="1:4" ht="15" customHeight="1" x14ac:dyDescent="0.2">
      <c r="A1073" s="155" t="s">
        <v>1118</v>
      </c>
      <c r="B1073" s="156">
        <v>125</v>
      </c>
      <c r="C1073" s="155" t="s">
        <v>4</v>
      </c>
      <c r="D1073" s="157" t="s">
        <v>5</v>
      </c>
    </row>
    <row r="1074" spans="1:4" ht="15" customHeight="1" x14ac:dyDescent="0.2">
      <c r="A1074" s="155" t="s">
        <v>73</v>
      </c>
      <c r="B1074" s="156">
        <v>125</v>
      </c>
      <c r="C1074" s="155" t="s">
        <v>4</v>
      </c>
      <c r="D1074" s="157" t="s">
        <v>5</v>
      </c>
    </row>
    <row r="1075" spans="1:4" ht="15" customHeight="1" x14ac:dyDescent="0.2">
      <c r="A1075" s="155" t="s">
        <v>1108</v>
      </c>
      <c r="B1075" s="156">
        <v>125</v>
      </c>
      <c r="C1075" s="155" t="s">
        <v>4</v>
      </c>
      <c r="D1075" s="157" t="s">
        <v>5</v>
      </c>
    </row>
    <row r="1076" spans="1:4" ht="15" customHeight="1" x14ac:dyDescent="0.2">
      <c r="A1076" s="155" t="s">
        <v>63</v>
      </c>
      <c r="B1076" s="156">
        <v>22</v>
      </c>
      <c r="C1076" s="155" t="s">
        <v>4</v>
      </c>
      <c r="D1076" s="157" t="s">
        <v>5</v>
      </c>
    </row>
    <row r="1077" spans="1:4" ht="15" customHeight="1" x14ac:dyDescent="0.2">
      <c r="A1077" s="155" t="s">
        <v>1099</v>
      </c>
      <c r="B1077" s="158">
        <v>18737.63</v>
      </c>
      <c r="C1077" s="155" t="s">
        <v>4</v>
      </c>
      <c r="D1077" s="157" t="s">
        <v>5</v>
      </c>
    </row>
    <row r="1078" spans="1:4" ht="15" customHeight="1" x14ac:dyDescent="0.2">
      <c r="A1078" s="155" t="s">
        <v>54</v>
      </c>
      <c r="B1078" s="156">
        <v>125</v>
      </c>
      <c r="C1078" s="155" t="s">
        <v>4</v>
      </c>
      <c r="D1078" s="157" t="s">
        <v>5</v>
      </c>
    </row>
    <row r="1079" spans="1:4" ht="15" customHeight="1" x14ac:dyDescent="0.2">
      <c r="A1079" s="155" t="s">
        <v>1090</v>
      </c>
      <c r="B1079" s="156">
        <v>125</v>
      </c>
      <c r="C1079" s="155" t="s">
        <v>4</v>
      </c>
      <c r="D1079" s="157" t="s">
        <v>5</v>
      </c>
    </row>
    <row r="1080" spans="1:4" ht="15" customHeight="1" x14ac:dyDescent="0.2">
      <c r="A1080" s="155" t="s">
        <v>45</v>
      </c>
      <c r="B1080" s="156">
        <v>125</v>
      </c>
      <c r="C1080" s="155" t="s">
        <v>4</v>
      </c>
      <c r="D1080" s="157" t="s">
        <v>5</v>
      </c>
    </row>
    <row r="1081" spans="1:4" ht="15" customHeight="1" x14ac:dyDescent="0.2">
      <c r="A1081" s="155" t="s">
        <v>1154</v>
      </c>
      <c r="B1081" s="163">
        <v>-4.4310799999999997</v>
      </c>
      <c r="C1081" s="155" t="s">
        <v>4</v>
      </c>
      <c r="D1081" s="157" t="s">
        <v>5</v>
      </c>
    </row>
    <row r="1082" spans="1:4" ht="15" customHeight="1" x14ac:dyDescent="0.2">
      <c r="A1082" s="155" t="s">
        <v>109</v>
      </c>
      <c r="B1082" s="156">
        <v>125</v>
      </c>
      <c r="C1082" s="155" t="s">
        <v>4</v>
      </c>
      <c r="D1082" s="157" t="s">
        <v>5</v>
      </c>
    </row>
    <row r="1083" spans="1:4" ht="15" customHeight="1" x14ac:dyDescent="0.2">
      <c r="A1083" s="155" t="s">
        <v>1145</v>
      </c>
      <c r="B1083" s="156">
        <v>25</v>
      </c>
      <c r="C1083" s="155" t="s">
        <v>4</v>
      </c>
      <c r="D1083" s="157" t="s">
        <v>5</v>
      </c>
    </row>
    <row r="1084" spans="1:4" ht="15" customHeight="1" x14ac:dyDescent="0.2">
      <c r="A1084" s="155" t="s">
        <v>100</v>
      </c>
      <c r="B1084" s="156">
        <v>25</v>
      </c>
      <c r="C1084" s="155" t="s">
        <v>4</v>
      </c>
      <c r="D1084" s="157" t="s">
        <v>5</v>
      </c>
    </row>
    <row r="1085" spans="1:4" ht="15" customHeight="1" x14ac:dyDescent="0.2">
      <c r="A1085" s="155" t="s">
        <v>1136</v>
      </c>
      <c r="B1085" s="156">
        <v>25</v>
      </c>
      <c r="C1085" s="155" t="s">
        <v>4</v>
      </c>
      <c r="D1085" s="157" t="s">
        <v>5</v>
      </c>
    </row>
    <row r="1086" spans="1:4" ht="15" customHeight="1" x14ac:dyDescent="0.2">
      <c r="A1086" s="155" t="s">
        <v>91</v>
      </c>
      <c r="B1086" s="156">
        <v>25</v>
      </c>
      <c r="C1086" s="155" t="s">
        <v>4</v>
      </c>
      <c r="D1086" s="157" t="s">
        <v>5</v>
      </c>
    </row>
    <row r="1087" spans="1:4" ht="15" customHeight="1" x14ac:dyDescent="0.2">
      <c r="A1087" s="155" t="s">
        <v>1127</v>
      </c>
      <c r="B1087" s="156">
        <v>25</v>
      </c>
      <c r="C1087" s="155" t="s">
        <v>4</v>
      </c>
      <c r="D1087" s="157" t="s">
        <v>5</v>
      </c>
    </row>
    <row r="1088" spans="1:4" ht="15" customHeight="1" x14ac:dyDescent="0.2">
      <c r="A1088" s="155" t="s">
        <v>82</v>
      </c>
      <c r="B1088" s="156">
        <v>25</v>
      </c>
      <c r="C1088" s="155" t="s">
        <v>4</v>
      </c>
      <c r="D1088" s="157" t="s">
        <v>5</v>
      </c>
    </row>
    <row r="1089" spans="1:4" ht="15" customHeight="1" x14ac:dyDescent="0.2">
      <c r="A1089" s="155" t="s">
        <v>669</v>
      </c>
      <c r="B1089" s="156">
        <v>25</v>
      </c>
      <c r="C1089" s="155" t="s">
        <v>4</v>
      </c>
      <c r="D1089" s="157" t="s">
        <v>5</v>
      </c>
    </row>
    <row r="1090" spans="1:4" ht="15" customHeight="1" x14ac:dyDescent="0.2">
      <c r="A1090" s="155" t="s">
        <v>1708</v>
      </c>
      <c r="B1090" s="156">
        <v>25</v>
      </c>
      <c r="C1090" s="155" t="s">
        <v>4</v>
      </c>
      <c r="D1090" s="157" t="s">
        <v>5</v>
      </c>
    </row>
    <row r="1091" spans="1:4" ht="15" customHeight="1" x14ac:dyDescent="0.2">
      <c r="A1091" s="155" t="s">
        <v>662</v>
      </c>
      <c r="B1091" s="156">
        <v>25</v>
      </c>
      <c r="C1091" s="155" t="s">
        <v>4</v>
      </c>
      <c r="D1091" s="157" t="s">
        <v>5</v>
      </c>
    </row>
    <row r="1092" spans="1:4" ht="15" customHeight="1" x14ac:dyDescent="0.2">
      <c r="A1092" s="155" t="s">
        <v>1701</v>
      </c>
      <c r="B1092" s="156">
        <v>25</v>
      </c>
      <c r="C1092" s="155" t="s">
        <v>4</v>
      </c>
      <c r="D1092" s="157" t="s">
        <v>5</v>
      </c>
    </row>
    <row r="1093" spans="1:4" ht="15" customHeight="1" x14ac:dyDescent="0.2">
      <c r="A1093" s="155" t="s">
        <v>655</v>
      </c>
      <c r="B1093" s="156">
        <v>25</v>
      </c>
      <c r="C1093" s="155" t="s">
        <v>4</v>
      </c>
      <c r="D1093" s="157" t="s">
        <v>5</v>
      </c>
    </row>
    <row r="1094" spans="1:4" ht="15" customHeight="1" x14ac:dyDescent="0.2">
      <c r="A1094" s="155" t="s">
        <v>1694</v>
      </c>
      <c r="B1094" s="156">
        <v>25</v>
      </c>
      <c r="C1094" s="155" t="s">
        <v>4</v>
      </c>
      <c r="D1094" s="157" t="s">
        <v>5</v>
      </c>
    </row>
    <row r="1095" spans="1:4" ht="15" customHeight="1" x14ac:dyDescent="0.2">
      <c r="A1095" s="155" t="s">
        <v>648</v>
      </c>
      <c r="B1095" s="156">
        <v>25</v>
      </c>
      <c r="C1095" s="155" t="s">
        <v>4</v>
      </c>
      <c r="D1095" s="157" t="s">
        <v>5</v>
      </c>
    </row>
    <row r="1096" spans="1:4" ht="15" customHeight="1" x14ac:dyDescent="0.2">
      <c r="A1096" s="155" t="s">
        <v>1687</v>
      </c>
      <c r="B1096" s="156">
        <v>25</v>
      </c>
      <c r="C1096" s="155" t="s">
        <v>4</v>
      </c>
      <c r="D1096" s="157" t="s">
        <v>5</v>
      </c>
    </row>
    <row r="1097" spans="1:4" ht="15" customHeight="1" x14ac:dyDescent="0.2">
      <c r="A1097" s="155" t="s">
        <v>697</v>
      </c>
      <c r="B1097" s="156">
        <v>25</v>
      </c>
      <c r="C1097" s="155" t="s">
        <v>4</v>
      </c>
      <c r="D1097" s="157" t="s">
        <v>5</v>
      </c>
    </row>
    <row r="1098" spans="1:4" ht="15" customHeight="1" x14ac:dyDescent="0.2">
      <c r="A1098" s="155" t="s">
        <v>1736</v>
      </c>
      <c r="B1098" s="156">
        <v>125</v>
      </c>
      <c r="C1098" s="155" t="s">
        <v>4</v>
      </c>
      <c r="D1098" s="157" t="s">
        <v>5</v>
      </c>
    </row>
    <row r="1099" spans="1:4" ht="15" customHeight="1" x14ac:dyDescent="0.2">
      <c r="A1099" s="155" t="s">
        <v>690</v>
      </c>
      <c r="B1099" s="156">
        <v>125</v>
      </c>
      <c r="C1099" s="155" t="s">
        <v>4</v>
      </c>
      <c r="D1099" s="157" t="s">
        <v>5</v>
      </c>
    </row>
    <row r="1100" spans="1:4" ht="15" customHeight="1" x14ac:dyDescent="0.2">
      <c r="A1100" s="155" t="s">
        <v>1729</v>
      </c>
      <c r="B1100" s="156">
        <v>125</v>
      </c>
      <c r="C1100" s="155" t="s">
        <v>4</v>
      </c>
      <c r="D1100" s="157" t="s">
        <v>5</v>
      </c>
    </row>
    <row r="1101" spans="1:4" ht="15" customHeight="1" x14ac:dyDescent="0.2">
      <c r="A1101" s="155" t="s">
        <v>683</v>
      </c>
      <c r="B1101" s="156">
        <v>75</v>
      </c>
      <c r="C1101" s="155" t="s">
        <v>4</v>
      </c>
      <c r="D1101" s="157" t="s">
        <v>5</v>
      </c>
    </row>
    <row r="1102" spans="1:4" ht="15" customHeight="1" x14ac:dyDescent="0.2">
      <c r="A1102" s="155" t="s">
        <v>1722</v>
      </c>
      <c r="B1102" s="156">
        <v>125</v>
      </c>
      <c r="C1102" s="155" t="s">
        <v>4</v>
      </c>
      <c r="D1102" s="157" t="s">
        <v>5</v>
      </c>
    </row>
    <row r="1103" spans="1:4" ht="15" customHeight="1" x14ac:dyDescent="0.2">
      <c r="A1103" s="155" t="s">
        <v>676</v>
      </c>
      <c r="B1103" s="156">
        <v>125</v>
      </c>
      <c r="C1103" s="155" t="s">
        <v>4</v>
      </c>
      <c r="D1103" s="157" t="s">
        <v>5</v>
      </c>
    </row>
    <row r="1104" spans="1:4" ht="15" customHeight="1" x14ac:dyDescent="0.2">
      <c r="A1104" s="155" t="s">
        <v>1715</v>
      </c>
      <c r="B1104" s="156">
        <v>125</v>
      </c>
      <c r="C1104" s="155" t="s">
        <v>4</v>
      </c>
      <c r="D1104" s="157" t="s">
        <v>5</v>
      </c>
    </row>
    <row r="1105" spans="1:4" ht="15" customHeight="1" x14ac:dyDescent="0.2">
      <c r="A1105" s="155" t="s">
        <v>730</v>
      </c>
      <c r="B1105" s="156">
        <v>125</v>
      </c>
      <c r="C1105" s="155" t="s">
        <v>4</v>
      </c>
      <c r="D1105" s="157" t="s">
        <v>5</v>
      </c>
    </row>
    <row r="1106" spans="1:4" ht="15" customHeight="1" x14ac:dyDescent="0.2">
      <c r="A1106" s="155" t="s">
        <v>1769</v>
      </c>
      <c r="B1106" s="156">
        <v>125</v>
      </c>
      <c r="C1106" s="155" t="s">
        <v>4</v>
      </c>
      <c r="D1106" s="157" t="s">
        <v>5</v>
      </c>
    </row>
    <row r="1107" spans="1:4" ht="15" customHeight="1" x14ac:dyDescent="0.2">
      <c r="A1107" s="155" t="s">
        <v>722</v>
      </c>
      <c r="B1107" s="163">
        <v>67.11327</v>
      </c>
      <c r="C1107" s="155" t="s">
        <v>4</v>
      </c>
      <c r="D1107" s="157" t="s">
        <v>5</v>
      </c>
    </row>
    <row r="1108" spans="1:4" ht="15" customHeight="1" x14ac:dyDescent="0.2">
      <c r="A1108" s="155" t="s">
        <v>1761</v>
      </c>
      <c r="B1108" s="159">
        <v>332.9</v>
      </c>
      <c r="C1108" s="155" t="s">
        <v>4</v>
      </c>
      <c r="D1108" s="157" t="s">
        <v>5</v>
      </c>
    </row>
    <row r="1109" spans="1:4" ht="15" customHeight="1" x14ac:dyDescent="0.2">
      <c r="A1109" s="155" t="s">
        <v>714</v>
      </c>
      <c r="B1109" s="156">
        <v>340</v>
      </c>
      <c r="C1109" s="155" t="s">
        <v>4</v>
      </c>
      <c r="D1109" s="157" t="s">
        <v>5</v>
      </c>
    </row>
    <row r="1110" spans="1:4" ht="15" customHeight="1" x14ac:dyDescent="0.2">
      <c r="A1110" s="155" t="s">
        <v>1753</v>
      </c>
      <c r="B1110" s="156">
        <v>50</v>
      </c>
      <c r="C1110" s="155" t="s">
        <v>4</v>
      </c>
      <c r="D1110" s="157" t="s">
        <v>5</v>
      </c>
    </row>
    <row r="1111" spans="1:4" ht="15" customHeight="1" x14ac:dyDescent="0.2">
      <c r="A1111" s="155" t="s">
        <v>705</v>
      </c>
      <c r="B1111" s="156">
        <v>125</v>
      </c>
      <c r="C1111" s="155" t="s">
        <v>4</v>
      </c>
      <c r="D1111" s="157" t="s">
        <v>5</v>
      </c>
    </row>
    <row r="1112" spans="1:4" ht="15" customHeight="1" x14ac:dyDescent="0.2">
      <c r="A1112" s="155" t="s">
        <v>1744</v>
      </c>
      <c r="B1112" s="156">
        <v>125</v>
      </c>
      <c r="C1112" s="155" t="s">
        <v>4</v>
      </c>
      <c r="D1112" s="157" t="s">
        <v>5</v>
      </c>
    </row>
    <row r="1113" spans="1:4" ht="15" customHeight="1" x14ac:dyDescent="0.2">
      <c r="A1113" s="155" t="s">
        <v>764</v>
      </c>
      <c r="B1113" s="156">
        <v>125</v>
      </c>
      <c r="C1113" s="155" t="s">
        <v>4</v>
      </c>
      <c r="D1113" s="157" t="s">
        <v>5</v>
      </c>
    </row>
    <row r="1114" spans="1:4" ht="15" customHeight="1" x14ac:dyDescent="0.2">
      <c r="A1114" s="155" t="s">
        <v>1803</v>
      </c>
      <c r="B1114" s="156">
        <v>125</v>
      </c>
      <c r="C1114" s="155" t="s">
        <v>4</v>
      </c>
      <c r="D1114" s="157" t="s">
        <v>5</v>
      </c>
    </row>
    <row r="1115" spans="1:4" ht="15" customHeight="1" x14ac:dyDescent="0.2">
      <c r="A1115" s="155" t="s">
        <v>756</v>
      </c>
      <c r="B1115" s="156">
        <v>125</v>
      </c>
      <c r="C1115" s="155" t="s">
        <v>4</v>
      </c>
      <c r="D1115" s="157" t="s">
        <v>5</v>
      </c>
    </row>
    <row r="1116" spans="1:4" ht="15" customHeight="1" x14ac:dyDescent="0.2">
      <c r="A1116" s="155" t="s">
        <v>1795</v>
      </c>
      <c r="B1116" s="156">
        <v>400</v>
      </c>
      <c r="C1116" s="155" t="s">
        <v>4</v>
      </c>
      <c r="D1116" s="157" t="s">
        <v>5</v>
      </c>
    </row>
    <row r="1117" spans="1:4" ht="15" customHeight="1" x14ac:dyDescent="0.2">
      <c r="A1117" s="155" t="s">
        <v>747</v>
      </c>
      <c r="B1117" s="156">
        <v>125</v>
      </c>
      <c r="C1117" s="155" t="s">
        <v>4</v>
      </c>
      <c r="D1117" s="157" t="s">
        <v>5</v>
      </c>
    </row>
    <row r="1118" spans="1:4" ht="15" customHeight="1" x14ac:dyDescent="0.2">
      <c r="A1118" s="155" t="s">
        <v>1785</v>
      </c>
      <c r="B1118" s="156">
        <v>4325</v>
      </c>
      <c r="C1118" s="155" t="s">
        <v>4</v>
      </c>
      <c r="D1118" s="157" t="s">
        <v>5</v>
      </c>
    </row>
    <row r="1119" spans="1:4" ht="15" customHeight="1" x14ac:dyDescent="0.2">
      <c r="A1119" s="155" t="s">
        <v>738</v>
      </c>
      <c r="B1119" s="156">
        <v>125</v>
      </c>
      <c r="C1119" s="155" t="s">
        <v>4</v>
      </c>
      <c r="D1119" s="157" t="s">
        <v>5</v>
      </c>
    </row>
    <row r="1120" spans="1:4" ht="15" customHeight="1" x14ac:dyDescent="0.2">
      <c r="A1120" s="155" t="s">
        <v>1777</v>
      </c>
      <c r="B1120" s="156">
        <v>100</v>
      </c>
      <c r="C1120" s="155" t="s">
        <v>4</v>
      </c>
      <c r="D1120" s="157" t="s">
        <v>5</v>
      </c>
    </row>
    <row r="1121" spans="1:4" ht="15" customHeight="1" x14ac:dyDescent="0.2">
      <c r="A1121" s="155" t="s">
        <v>791</v>
      </c>
      <c r="B1121" s="156">
        <v>140</v>
      </c>
      <c r="C1121" s="155" t="s">
        <v>4</v>
      </c>
      <c r="D1121" s="157" t="s">
        <v>5</v>
      </c>
    </row>
    <row r="1122" spans="1:4" ht="15" customHeight="1" x14ac:dyDescent="0.2">
      <c r="A1122" s="155" t="s">
        <v>1830</v>
      </c>
      <c r="B1122" s="156">
        <v>125</v>
      </c>
      <c r="C1122" s="155" t="s">
        <v>4</v>
      </c>
      <c r="D1122" s="157" t="s">
        <v>5</v>
      </c>
    </row>
    <row r="1123" spans="1:4" ht="15" customHeight="1" x14ac:dyDescent="0.2">
      <c r="A1123" s="155" t="s">
        <v>788</v>
      </c>
      <c r="B1123" s="156">
        <v>50</v>
      </c>
      <c r="C1123" s="155" t="s">
        <v>4</v>
      </c>
      <c r="D1123" s="157" t="s">
        <v>5</v>
      </c>
    </row>
    <row r="1124" spans="1:4" ht="15" customHeight="1" x14ac:dyDescent="0.2">
      <c r="A1124" s="155" t="s">
        <v>1827</v>
      </c>
      <c r="B1124" s="156">
        <v>50</v>
      </c>
      <c r="C1124" s="155" t="s">
        <v>4</v>
      </c>
      <c r="D1124" s="157" t="s">
        <v>5</v>
      </c>
    </row>
    <row r="1125" spans="1:4" ht="15" customHeight="1" x14ac:dyDescent="0.2">
      <c r="A1125" s="155" t="s">
        <v>780</v>
      </c>
      <c r="B1125" s="156">
        <v>50</v>
      </c>
      <c r="C1125" s="155" t="s">
        <v>4</v>
      </c>
      <c r="D1125" s="157" t="s">
        <v>5</v>
      </c>
    </row>
    <row r="1126" spans="1:4" ht="15" customHeight="1" x14ac:dyDescent="0.2">
      <c r="A1126" s="155" t="s">
        <v>1819</v>
      </c>
      <c r="B1126" s="156">
        <v>50</v>
      </c>
      <c r="C1126" s="155" t="s">
        <v>4</v>
      </c>
      <c r="D1126" s="157" t="s">
        <v>5</v>
      </c>
    </row>
    <row r="1127" spans="1:4" ht="15" customHeight="1" x14ac:dyDescent="0.2">
      <c r="A1127" s="155" t="s">
        <v>772</v>
      </c>
      <c r="B1127" s="156">
        <v>50</v>
      </c>
      <c r="C1127" s="155" t="s">
        <v>4</v>
      </c>
      <c r="D1127" s="157" t="s">
        <v>5</v>
      </c>
    </row>
    <row r="1128" spans="1:4" ht="15" customHeight="1" x14ac:dyDescent="0.2">
      <c r="A1128" s="155" t="s">
        <v>1811</v>
      </c>
      <c r="B1128" s="156">
        <v>50</v>
      </c>
      <c r="C1128" s="155" t="s">
        <v>4</v>
      </c>
      <c r="D1128" s="157" t="s">
        <v>5</v>
      </c>
    </row>
    <row r="1129" spans="1:4" ht="15" customHeight="1" x14ac:dyDescent="0.2">
      <c r="A1129" s="155" t="s">
        <v>823</v>
      </c>
      <c r="B1129" s="156">
        <v>25</v>
      </c>
      <c r="C1129" s="155" t="s">
        <v>4</v>
      </c>
      <c r="D1129" s="157" t="s">
        <v>5</v>
      </c>
    </row>
    <row r="1130" spans="1:4" ht="15" customHeight="1" x14ac:dyDescent="0.2">
      <c r="A1130" s="155" t="s">
        <v>1862</v>
      </c>
      <c r="B1130" s="156">
        <v>125</v>
      </c>
      <c r="C1130" s="155" t="s">
        <v>4</v>
      </c>
      <c r="D1130" s="157" t="s">
        <v>5</v>
      </c>
    </row>
    <row r="1131" spans="1:4" ht="15" customHeight="1" x14ac:dyDescent="0.2">
      <c r="A1131" s="155" t="s">
        <v>815</v>
      </c>
      <c r="B1131" s="156">
        <v>30</v>
      </c>
      <c r="C1131" s="155" t="s">
        <v>4</v>
      </c>
      <c r="D1131" s="157" t="s">
        <v>5</v>
      </c>
    </row>
    <row r="1132" spans="1:4" ht="15" customHeight="1" x14ac:dyDescent="0.2">
      <c r="A1132" s="155" t="s">
        <v>1854</v>
      </c>
      <c r="B1132" s="156">
        <v>50</v>
      </c>
      <c r="C1132" s="155" t="s">
        <v>4</v>
      </c>
      <c r="D1132" s="157" t="s">
        <v>5</v>
      </c>
    </row>
    <row r="1133" spans="1:4" ht="15" customHeight="1" x14ac:dyDescent="0.2">
      <c r="A1133" s="155" t="s">
        <v>807</v>
      </c>
      <c r="B1133" s="156">
        <v>50</v>
      </c>
      <c r="C1133" s="155" t="s">
        <v>4</v>
      </c>
      <c r="D1133" s="157" t="s">
        <v>5</v>
      </c>
    </row>
    <row r="1134" spans="1:4" ht="15" customHeight="1" x14ac:dyDescent="0.2">
      <c r="A1134" s="155" t="s">
        <v>1846</v>
      </c>
      <c r="B1134" s="156">
        <v>50</v>
      </c>
      <c r="C1134" s="155" t="s">
        <v>4</v>
      </c>
      <c r="D1134" s="157" t="s">
        <v>5</v>
      </c>
    </row>
    <row r="1135" spans="1:4" ht="15" customHeight="1" x14ac:dyDescent="0.2">
      <c r="A1135" s="155" t="s">
        <v>799</v>
      </c>
      <c r="B1135" s="156">
        <v>125</v>
      </c>
      <c r="C1135" s="155" t="s">
        <v>4</v>
      </c>
      <c r="D1135" s="157" t="s">
        <v>5</v>
      </c>
    </row>
    <row r="1136" spans="1:4" ht="15" customHeight="1" x14ac:dyDescent="0.2">
      <c r="A1136" s="155" t="s">
        <v>1838</v>
      </c>
      <c r="B1136" s="156">
        <v>42</v>
      </c>
      <c r="C1136" s="155" t="s">
        <v>4</v>
      </c>
      <c r="D1136" s="157" t="s">
        <v>5</v>
      </c>
    </row>
    <row r="1137" spans="1:4" ht="15" customHeight="1" x14ac:dyDescent="0.2">
      <c r="A1137" s="155" t="s">
        <v>856</v>
      </c>
      <c r="B1137" s="159">
        <v>299.2</v>
      </c>
      <c r="C1137" s="155" t="s">
        <v>4</v>
      </c>
      <c r="D1137" s="157" t="s">
        <v>5</v>
      </c>
    </row>
    <row r="1138" spans="1:4" ht="15" customHeight="1" x14ac:dyDescent="0.2">
      <c r="A1138" s="155" t="s">
        <v>1895</v>
      </c>
      <c r="B1138" s="156">
        <v>125</v>
      </c>
      <c r="C1138" s="155" t="s">
        <v>4</v>
      </c>
      <c r="D1138" s="157" t="s">
        <v>5</v>
      </c>
    </row>
    <row r="1139" spans="1:4" ht="15" customHeight="1" x14ac:dyDescent="0.2">
      <c r="A1139" s="155" t="s">
        <v>848</v>
      </c>
      <c r="B1139" s="156">
        <v>125</v>
      </c>
      <c r="C1139" s="155" t="s">
        <v>4</v>
      </c>
      <c r="D1139" s="157" t="s">
        <v>5</v>
      </c>
    </row>
    <row r="1140" spans="1:4" ht="15" customHeight="1" x14ac:dyDescent="0.2">
      <c r="A1140" s="155" t="s">
        <v>1887</v>
      </c>
      <c r="B1140" s="156">
        <v>125</v>
      </c>
      <c r="C1140" s="155" t="s">
        <v>4</v>
      </c>
      <c r="D1140" s="157" t="s">
        <v>5</v>
      </c>
    </row>
    <row r="1141" spans="1:4" ht="15" customHeight="1" x14ac:dyDescent="0.2">
      <c r="A1141" s="155" t="s">
        <v>840</v>
      </c>
      <c r="B1141" s="156">
        <v>125</v>
      </c>
      <c r="C1141" s="155" t="s">
        <v>4</v>
      </c>
      <c r="D1141" s="157" t="s">
        <v>5</v>
      </c>
    </row>
    <row r="1142" spans="1:4" ht="15" customHeight="1" x14ac:dyDescent="0.2">
      <c r="A1142" s="155" t="s">
        <v>1879</v>
      </c>
      <c r="B1142" s="156">
        <v>125</v>
      </c>
      <c r="C1142" s="155" t="s">
        <v>4</v>
      </c>
      <c r="D1142" s="157" t="s">
        <v>5</v>
      </c>
    </row>
    <row r="1143" spans="1:4" ht="15" customHeight="1" x14ac:dyDescent="0.2">
      <c r="A1143" s="155" t="s">
        <v>832</v>
      </c>
      <c r="B1143" s="156">
        <v>25</v>
      </c>
      <c r="C1143" s="155" t="s">
        <v>4</v>
      </c>
      <c r="D1143" s="157" t="s">
        <v>5</v>
      </c>
    </row>
    <row r="1144" spans="1:4" ht="15" customHeight="1" x14ac:dyDescent="0.2">
      <c r="A1144" s="155" t="s">
        <v>1871</v>
      </c>
      <c r="B1144" s="156">
        <v>125</v>
      </c>
      <c r="C1144" s="155" t="s">
        <v>4</v>
      </c>
      <c r="D1144" s="157" t="s">
        <v>5</v>
      </c>
    </row>
    <row r="1145" spans="1:4" ht="15" customHeight="1" x14ac:dyDescent="0.2">
      <c r="A1145" s="155" t="s">
        <v>889</v>
      </c>
      <c r="B1145" s="156">
        <v>125</v>
      </c>
      <c r="C1145" s="155" t="s">
        <v>4</v>
      </c>
      <c r="D1145" s="157" t="s">
        <v>5</v>
      </c>
    </row>
    <row r="1146" spans="1:4" ht="15" customHeight="1" x14ac:dyDescent="0.2">
      <c r="A1146" s="155" t="s">
        <v>1928</v>
      </c>
      <c r="B1146" s="156">
        <v>125</v>
      </c>
      <c r="C1146" s="155" t="s">
        <v>4</v>
      </c>
      <c r="D1146" s="157" t="s">
        <v>5</v>
      </c>
    </row>
    <row r="1147" spans="1:4" ht="15" customHeight="1" x14ac:dyDescent="0.2">
      <c r="A1147" s="155" t="s">
        <v>881</v>
      </c>
      <c r="B1147" s="156">
        <v>125</v>
      </c>
      <c r="C1147" s="155" t="s">
        <v>4</v>
      </c>
      <c r="D1147" s="157" t="s">
        <v>5</v>
      </c>
    </row>
    <row r="1148" spans="1:4" ht="15" customHeight="1" x14ac:dyDescent="0.2">
      <c r="A1148" s="155" t="s">
        <v>1920</v>
      </c>
      <c r="B1148" s="156">
        <v>50</v>
      </c>
      <c r="C1148" s="155" t="s">
        <v>4</v>
      </c>
      <c r="D1148" s="157" t="s">
        <v>5</v>
      </c>
    </row>
    <row r="1149" spans="1:4" ht="15" customHeight="1" x14ac:dyDescent="0.2">
      <c r="A1149" s="155" t="s">
        <v>873</v>
      </c>
      <c r="B1149" s="156">
        <v>125</v>
      </c>
      <c r="C1149" s="155" t="s">
        <v>4</v>
      </c>
      <c r="D1149" s="157" t="s">
        <v>5</v>
      </c>
    </row>
    <row r="1150" spans="1:4" ht="15" customHeight="1" x14ac:dyDescent="0.2">
      <c r="A1150" s="155" t="s">
        <v>1911</v>
      </c>
      <c r="B1150" s="156">
        <v>125</v>
      </c>
      <c r="C1150" s="155" t="s">
        <v>4</v>
      </c>
      <c r="D1150" s="157" t="s">
        <v>5</v>
      </c>
    </row>
    <row r="1151" spans="1:4" ht="15" customHeight="1" x14ac:dyDescent="0.2">
      <c r="A1151" s="155" t="s">
        <v>864</v>
      </c>
      <c r="B1151" s="156">
        <v>200</v>
      </c>
      <c r="C1151" s="155" t="s">
        <v>4</v>
      </c>
      <c r="D1151" s="157" t="s">
        <v>5</v>
      </c>
    </row>
    <row r="1152" spans="1:4" ht="15" customHeight="1" x14ac:dyDescent="0.2">
      <c r="A1152" s="155" t="s">
        <v>1903</v>
      </c>
      <c r="B1152" s="156">
        <v>25</v>
      </c>
      <c r="C1152" s="155" t="s">
        <v>4</v>
      </c>
      <c r="D1152" s="157" t="s">
        <v>5</v>
      </c>
    </row>
    <row r="1153" spans="1:4" ht="15" customHeight="1" x14ac:dyDescent="0.2">
      <c r="A1153" s="155" t="s">
        <v>1452</v>
      </c>
      <c r="B1153" s="156">
        <v>125</v>
      </c>
      <c r="C1153" s="155" t="s">
        <v>4</v>
      </c>
      <c r="D1153" s="157" t="s">
        <v>5</v>
      </c>
    </row>
    <row r="1154" spans="1:4" ht="15" customHeight="1" x14ac:dyDescent="0.2">
      <c r="A1154" s="155" t="s">
        <v>404</v>
      </c>
      <c r="B1154" s="156">
        <v>125</v>
      </c>
      <c r="C1154" s="155" t="s">
        <v>4</v>
      </c>
      <c r="D1154" s="157" t="s">
        <v>5</v>
      </c>
    </row>
    <row r="1155" spans="1:4" ht="15" customHeight="1" x14ac:dyDescent="0.2">
      <c r="A1155" s="155" t="s">
        <v>1443</v>
      </c>
      <c r="B1155" s="156">
        <v>125</v>
      </c>
      <c r="C1155" s="155" t="s">
        <v>4</v>
      </c>
      <c r="D1155" s="157" t="s">
        <v>5</v>
      </c>
    </row>
    <row r="1156" spans="1:4" ht="15" customHeight="1" x14ac:dyDescent="0.2">
      <c r="A1156" s="155" t="s">
        <v>396</v>
      </c>
      <c r="B1156" s="156">
        <v>150</v>
      </c>
      <c r="C1156" s="155" t="s">
        <v>4</v>
      </c>
      <c r="D1156" s="157" t="s">
        <v>5</v>
      </c>
    </row>
    <row r="1157" spans="1:4" ht="15" customHeight="1" x14ac:dyDescent="0.2">
      <c r="A1157" s="155" t="s">
        <v>1435</v>
      </c>
      <c r="B1157" s="156">
        <v>125</v>
      </c>
      <c r="C1157" s="155" t="s">
        <v>4</v>
      </c>
      <c r="D1157" s="157" t="s">
        <v>5</v>
      </c>
    </row>
    <row r="1158" spans="1:4" ht="15" customHeight="1" x14ac:dyDescent="0.2">
      <c r="A1158" s="155" t="s">
        <v>388</v>
      </c>
      <c r="B1158" s="156">
        <v>100</v>
      </c>
      <c r="C1158" s="155" t="s">
        <v>4</v>
      </c>
      <c r="D1158" s="157" t="s">
        <v>5</v>
      </c>
    </row>
    <row r="1159" spans="1:4" ht="15" customHeight="1" x14ac:dyDescent="0.2">
      <c r="A1159" s="155" t="s">
        <v>1427</v>
      </c>
      <c r="B1159" s="156">
        <v>1025</v>
      </c>
      <c r="C1159" s="155" t="s">
        <v>4</v>
      </c>
      <c r="D1159" s="157" t="s">
        <v>5</v>
      </c>
    </row>
    <row r="1160" spans="1:4" ht="15" customHeight="1" x14ac:dyDescent="0.2">
      <c r="A1160" s="155" t="s">
        <v>380</v>
      </c>
      <c r="B1160" s="156">
        <v>125</v>
      </c>
      <c r="C1160" s="155" t="s">
        <v>4</v>
      </c>
      <c r="D1160" s="157" t="s">
        <v>5</v>
      </c>
    </row>
    <row r="1161" spans="1:4" ht="15" customHeight="1" x14ac:dyDescent="0.2">
      <c r="A1161" s="155" t="s">
        <v>1484</v>
      </c>
      <c r="B1161" s="156">
        <v>125</v>
      </c>
      <c r="C1161" s="155" t="s">
        <v>4</v>
      </c>
      <c r="D1161" s="157" t="s">
        <v>5</v>
      </c>
    </row>
    <row r="1162" spans="1:4" ht="15" customHeight="1" x14ac:dyDescent="0.2">
      <c r="A1162" s="155" t="s">
        <v>437</v>
      </c>
      <c r="B1162" s="156">
        <v>100</v>
      </c>
      <c r="C1162" s="155" t="s">
        <v>4</v>
      </c>
      <c r="D1162" s="157" t="s">
        <v>5</v>
      </c>
    </row>
    <row r="1163" spans="1:4" ht="15" customHeight="1" x14ac:dyDescent="0.2">
      <c r="A1163" s="155" t="s">
        <v>1476</v>
      </c>
      <c r="B1163" s="156">
        <v>75</v>
      </c>
      <c r="C1163" s="155" t="s">
        <v>4</v>
      </c>
      <c r="D1163" s="157" t="s">
        <v>5</v>
      </c>
    </row>
    <row r="1164" spans="1:4" ht="15" customHeight="1" x14ac:dyDescent="0.2">
      <c r="A1164" s="155" t="s">
        <v>429</v>
      </c>
      <c r="B1164" s="156">
        <v>125</v>
      </c>
      <c r="C1164" s="155" t="s">
        <v>4</v>
      </c>
      <c r="D1164" s="157" t="s">
        <v>5</v>
      </c>
    </row>
    <row r="1165" spans="1:4" ht="15" customHeight="1" x14ac:dyDescent="0.2">
      <c r="A1165" s="155" t="s">
        <v>1468</v>
      </c>
      <c r="B1165" s="156">
        <v>125</v>
      </c>
      <c r="C1165" s="155" t="s">
        <v>4</v>
      </c>
      <c r="D1165" s="157" t="s">
        <v>5</v>
      </c>
    </row>
    <row r="1166" spans="1:4" ht="15" customHeight="1" x14ac:dyDescent="0.2">
      <c r="A1166" s="155" t="s">
        <v>421</v>
      </c>
      <c r="B1166" s="156">
        <v>75</v>
      </c>
      <c r="C1166" s="155" t="s">
        <v>4</v>
      </c>
      <c r="D1166" s="157" t="s">
        <v>5</v>
      </c>
    </row>
    <row r="1167" spans="1:4" ht="15" customHeight="1" x14ac:dyDescent="0.2">
      <c r="A1167" s="155" t="s">
        <v>1460</v>
      </c>
      <c r="B1167" s="156">
        <v>125</v>
      </c>
      <c r="C1167" s="155" t="s">
        <v>4</v>
      </c>
      <c r="D1167" s="157" t="s">
        <v>5</v>
      </c>
    </row>
    <row r="1168" spans="1:4" ht="15" customHeight="1" x14ac:dyDescent="0.2">
      <c r="A1168" s="155" t="s">
        <v>413</v>
      </c>
      <c r="B1168" s="156">
        <v>125</v>
      </c>
      <c r="C1168" s="155" t="s">
        <v>4</v>
      </c>
      <c r="D1168" s="157" t="s">
        <v>5</v>
      </c>
    </row>
    <row r="1169" spans="1:4" ht="15" customHeight="1" x14ac:dyDescent="0.2">
      <c r="A1169" s="155" t="s">
        <v>1516</v>
      </c>
      <c r="B1169" s="156">
        <v>125</v>
      </c>
      <c r="C1169" s="155" t="s">
        <v>4</v>
      </c>
      <c r="D1169" s="157" t="s">
        <v>5</v>
      </c>
    </row>
    <row r="1170" spans="1:4" ht="15" customHeight="1" x14ac:dyDescent="0.2">
      <c r="A1170" s="155" t="s">
        <v>469</v>
      </c>
      <c r="B1170" s="156">
        <v>125</v>
      </c>
      <c r="C1170" s="155" t="s">
        <v>4</v>
      </c>
      <c r="D1170" s="157" t="s">
        <v>5</v>
      </c>
    </row>
    <row r="1171" spans="1:4" ht="15" customHeight="1" x14ac:dyDescent="0.2">
      <c r="A1171" s="155" t="s">
        <v>1508</v>
      </c>
      <c r="B1171" s="156">
        <v>50</v>
      </c>
      <c r="C1171" s="155" t="s">
        <v>4</v>
      </c>
      <c r="D1171" s="157" t="s">
        <v>5</v>
      </c>
    </row>
    <row r="1172" spans="1:4" ht="15" customHeight="1" x14ac:dyDescent="0.2">
      <c r="A1172" s="155" t="s">
        <v>461</v>
      </c>
      <c r="B1172" s="156">
        <v>600</v>
      </c>
      <c r="C1172" s="155" t="s">
        <v>4</v>
      </c>
      <c r="D1172" s="157" t="s">
        <v>5</v>
      </c>
    </row>
    <row r="1173" spans="1:4" ht="15" customHeight="1" x14ac:dyDescent="0.2">
      <c r="A1173" s="155" t="s">
        <v>1500</v>
      </c>
      <c r="B1173" s="156">
        <v>125</v>
      </c>
      <c r="C1173" s="155" t="s">
        <v>4</v>
      </c>
      <c r="D1173" s="157" t="s">
        <v>5</v>
      </c>
    </row>
    <row r="1174" spans="1:4" ht="15" customHeight="1" x14ac:dyDescent="0.2">
      <c r="A1174" s="155" t="s">
        <v>453</v>
      </c>
      <c r="B1174" s="156">
        <v>6050</v>
      </c>
      <c r="C1174" s="155" t="s">
        <v>4</v>
      </c>
      <c r="D1174" s="157" t="s">
        <v>5</v>
      </c>
    </row>
    <row r="1175" spans="1:4" ht="15" customHeight="1" x14ac:dyDescent="0.2">
      <c r="A1175" s="155" t="s">
        <v>1492</v>
      </c>
      <c r="B1175" s="156">
        <v>17375</v>
      </c>
      <c r="C1175" s="155" t="s">
        <v>4</v>
      </c>
      <c r="D1175" s="157" t="s">
        <v>5</v>
      </c>
    </row>
    <row r="1176" spans="1:4" ht="15" customHeight="1" x14ac:dyDescent="0.2">
      <c r="A1176" s="155" t="s">
        <v>445</v>
      </c>
      <c r="B1176" s="156">
        <v>125</v>
      </c>
      <c r="C1176" s="155" t="s">
        <v>4</v>
      </c>
      <c r="D1176" s="157" t="s">
        <v>5</v>
      </c>
    </row>
    <row r="1177" spans="1:4" ht="15" customHeight="1" x14ac:dyDescent="0.2">
      <c r="A1177" s="155" t="s">
        <v>1548</v>
      </c>
      <c r="B1177" s="156">
        <v>2325</v>
      </c>
      <c r="C1177" s="155" t="s">
        <v>4</v>
      </c>
      <c r="D1177" s="157" t="s">
        <v>5</v>
      </c>
    </row>
    <row r="1178" spans="1:4" ht="15" customHeight="1" x14ac:dyDescent="0.2">
      <c r="A1178" s="155" t="s">
        <v>501</v>
      </c>
      <c r="B1178" s="156">
        <v>750</v>
      </c>
      <c r="C1178" s="155" t="s">
        <v>4</v>
      </c>
      <c r="D1178" s="157" t="s">
        <v>5</v>
      </c>
    </row>
    <row r="1179" spans="1:4" ht="15" customHeight="1" x14ac:dyDescent="0.2">
      <c r="A1179" s="155" t="s">
        <v>1540</v>
      </c>
      <c r="B1179" s="156">
        <v>125</v>
      </c>
      <c r="C1179" s="155" t="s">
        <v>4</v>
      </c>
      <c r="D1179" s="157" t="s">
        <v>5</v>
      </c>
    </row>
    <row r="1180" spans="1:4" ht="15" customHeight="1" x14ac:dyDescent="0.2">
      <c r="A1180" s="155" t="s">
        <v>493</v>
      </c>
      <c r="B1180" s="156">
        <v>125</v>
      </c>
      <c r="C1180" s="155" t="s">
        <v>4</v>
      </c>
      <c r="D1180" s="157" t="s">
        <v>5</v>
      </c>
    </row>
    <row r="1181" spans="1:4" ht="15" customHeight="1" x14ac:dyDescent="0.2">
      <c r="A1181" s="155" t="s">
        <v>1532</v>
      </c>
      <c r="B1181" s="156">
        <v>125</v>
      </c>
      <c r="C1181" s="155" t="s">
        <v>4</v>
      </c>
      <c r="D1181" s="157" t="s">
        <v>5</v>
      </c>
    </row>
    <row r="1182" spans="1:4" ht="15" customHeight="1" x14ac:dyDescent="0.2">
      <c r="A1182" s="155" t="s">
        <v>485</v>
      </c>
      <c r="B1182" s="156">
        <v>125</v>
      </c>
      <c r="C1182" s="155" t="s">
        <v>4</v>
      </c>
      <c r="D1182" s="157" t="s">
        <v>5</v>
      </c>
    </row>
    <row r="1183" spans="1:4" ht="15" customHeight="1" x14ac:dyDescent="0.2">
      <c r="A1183" s="155" t="s">
        <v>1524</v>
      </c>
      <c r="B1183" s="156">
        <v>125</v>
      </c>
      <c r="C1183" s="155" t="s">
        <v>4</v>
      </c>
      <c r="D1183" s="157" t="s">
        <v>5</v>
      </c>
    </row>
    <row r="1184" spans="1:4" ht="15" customHeight="1" x14ac:dyDescent="0.2">
      <c r="A1184" s="155" t="s">
        <v>477</v>
      </c>
      <c r="B1184" s="156">
        <v>125</v>
      </c>
      <c r="C1184" s="155" t="s">
        <v>4</v>
      </c>
      <c r="D1184" s="157" t="s">
        <v>5</v>
      </c>
    </row>
    <row r="1185" spans="1:4" ht="15" customHeight="1" x14ac:dyDescent="0.2">
      <c r="A1185" s="155" t="s">
        <v>1581</v>
      </c>
      <c r="B1185" s="156">
        <v>125</v>
      </c>
      <c r="C1185" s="155" t="s">
        <v>4</v>
      </c>
      <c r="D1185" s="157" t="s">
        <v>5</v>
      </c>
    </row>
    <row r="1186" spans="1:4" ht="15" customHeight="1" x14ac:dyDescent="0.2">
      <c r="A1186" s="155" t="s">
        <v>534</v>
      </c>
      <c r="B1186" s="156">
        <v>125</v>
      </c>
      <c r="C1186" s="155" t="s">
        <v>4</v>
      </c>
      <c r="D1186" s="157" t="s">
        <v>5</v>
      </c>
    </row>
    <row r="1187" spans="1:4" ht="15" customHeight="1" x14ac:dyDescent="0.2">
      <c r="A1187" s="155" t="s">
        <v>1573</v>
      </c>
      <c r="B1187" s="156">
        <v>125</v>
      </c>
      <c r="C1187" s="155" t="s">
        <v>4</v>
      </c>
      <c r="D1187" s="157" t="s">
        <v>5</v>
      </c>
    </row>
    <row r="1188" spans="1:4" ht="15" customHeight="1" x14ac:dyDescent="0.2">
      <c r="A1188" s="155" t="s">
        <v>526</v>
      </c>
      <c r="B1188" s="156">
        <v>125</v>
      </c>
      <c r="C1188" s="155" t="s">
        <v>4</v>
      </c>
      <c r="D1188" s="157" t="s">
        <v>5</v>
      </c>
    </row>
    <row r="1189" spans="1:4" ht="15" customHeight="1" x14ac:dyDescent="0.2">
      <c r="A1189" s="155" t="s">
        <v>1565</v>
      </c>
      <c r="B1189" s="163">
        <v>25.02327</v>
      </c>
      <c r="C1189" s="155" t="s">
        <v>4</v>
      </c>
      <c r="D1189" s="157" t="s">
        <v>5</v>
      </c>
    </row>
    <row r="1190" spans="1:4" ht="15" customHeight="1" x14ac:dyDescent="0.2">
      <c r="A1190" s="155" t="s">
        <v>517</v>
      </c>
      <c r="B1190" s="156">
        <v>125</v>
      </c>
      <c r="C1190" s="155" t="s">
        <v>4</v>
      </c>
      <c r="D1190" s="157" t="s">
        <v>5</v>
      </c>
    </row>
    <row r="1191" spans="1:4" ht="15" customHeight="1" x14ac:dyDescent="0.2">
      <c r="A1191" s="155" t="s">
        <v>1556</v>
      </c>
      <c r="B1191" s="156">
        <v>50</v>
      </c>
      <c r="C1191" s="155" t="s">
        <v>4</v>
      </c>
      <c r="D1191" s="157" t="s">
        <v>5</v>
      </c>
    </row>
    <row r="1192" spans="1:4" ht="15" customHeight="1" x14ac:dyDescent="0.2">
      <c r="A1192" s="155" t="s">
        <v>509</v>
      </c>
      <c r="B1192" s="156">
        <v>50</v>
      </c>
      <c r="C1192" s="155" t="s">
        <v>4</v>
      </c>
      <c r="D1192" s="157" t="s">
        <v>5</v>
      </c>
    </row>
    <row r="1193" spans="1:4" ht="15" customHeight="1" x14ac:dyDescent="0.2">
      <c r="A1193" s="155" t="s">
        <v>1615</v>
      </c>
      <c r="B1193" s="156">
        <v>50</v>
      </c>
      <c r="C1193" s="155" t="s">
        <v>4</v>
      </c>
      <c r="D1193" s="157" t="s">
        <v>5</v>
      </c>
    </row>
    <row r="1194" spans="1:4" ht="15" customHeight="1" x14ac:dyDescent="0.2">
      <c r="A1194" s="155" t="s">
        <v>568</v>
      </c>
      <c r="B1194" s="156">
        <v>50</v>
      </c>
      <c r="C1194" s="155" t="s">
        <v>4</v>
      </c>
      <c r="D1194" s="157" t="s">
        <v>5</v>
      </c>
    </row>
    <row r="1195" spans="1:4" ht="15" customHeight="1" x14ac:dyDescent="0.2">
      <c r="A1195" s="155" t="s">
        <v>1606</v>
      </c>
      <c r="B1195" s="156">
        <v>50</v>
      </c>
      <c r="C1195" s="155" t="s">
        <v>4</v>
      </c>
      <c r="D1195" s="157" t="s">
        <v>5</v>
      </c>
    </row>
    <row r="1196" spans="1:4" ht="15" customHeight="1" x14ac:dyDescent="0.2">
      <c r="A1196" s="155" t="s">
        <v>558</v>
      </c>
      <c r="B1196" s="156">
        <v>50</v>
      </c>
      <c r="C1196" s="155" t="s">
        <v>4</v>
      </c>
      <c r="D1196" s="157" t="s">
        <v>5</v>
      </c>
    </row>
    <row r="1197" spans="1:4" ht="15" customHeight="1" x14ac:dyDescent="0.2">
      <c r="A1197" s="155" t="s">
        <v>1597</v>
      </c>
      <c r="B1197" s="156">
        <v>75</v>
      </c>
      <c r="C1197" s="155" t="s">
        <v>4</v>
      </c>
      <c r="D1197" s="157" t="s">
        <v>5</v>
      </c>
    </row>
    <row r="1198" spans="1:4" ht="15" customHeight="1" x14ac:dyDescent="0.2">
      <c r="A1198" s="155" t="s">
        <v>550</v>
      </c>
      <c r="B1198" s="156">
        <v>100</v>
      </c>
      <c r="C1198" s="155" t="s">
        <v>4</v>
      </c>
      <c r="D1198" s="157" t="s">
        <v>5</v>
      </c>
    </row>
    <row r="1199" spans="1:4" ht="15" customHeight="1" x14ac:dyDescent="0.2">
      <c r="A1199" s="155" t="s">
        <v>1589</v>
      </c>
      <c r="B1199" s="156">
        <v>125</v>
      </c>
      <c r="C1199" s="155" t="s">
        <v>4</v>
      </c>
      <c r="D1199" s="157" t="s">
        <v>5</v>
      </c>
    </row>
    <row r="1200" spans="1:4" ht="15" customHeight="1" x14ac:dyDescent="0.2">
      <c r="A1200" s="155" t="s">
        <v>542</v>
      </c>
      <c r="B1200" s="156">
        <v>125</v>
      </c>
      <c r="C1200" s="155" t="s">
        <v>4</v>
      </c>
      <c r="D1200" s="157" t="s">
        <v>5</v>
      </c>
    </row>
    <row r="1201" spans="1:4" ht="15" customHeight="1" x14ac:dyDescent="0.2">
      <c r="A1201" s="155" t="s">
        <v>1645</v>
      </c>
      <c r="B1201" s="156">
        <v>125</v>
      </c>
      <c r="C1201" s="155" t="s">
        <v>4</v>
      </c>
      <c r="D1201" s="157" t="s">
        <v>5</v>
      </c>
    </row>
    <row r="1202" spans="1:4" ht="15" customHeight="1" x14ac:dyDescent="0.2">
      <c r="A1202" s="155" t="s">
        <v>599</v>
      </c>
      <c r="B1202" s="156">
        <v>125</v>
      </c>
      <c r="C1202" s="155" t="s">
        <v>4</v>
      </c>
      <c r="D1202" s="157" t="s">
        <v>5</v>
      </c>
    </row>
    <row r="1203" spans="1:4" ht="15" customHeight="1" x14ac:dyDescent="0.2">
      <c r="A1203" s="155" t="s">
        <v>1638</v>
      </c>
      <c r="B1203" s="156">
        <v>125</v>
      </c>
      <c r="C1203" s="155" t="s">
        <v>4</v>
      </c>
      <c r="D1203" s="157" t="s">
        <v>5</v>
      </c>
    </row>
    <row r="1204" spans="1:4" ht="15" customHeight="1" x14ac:dyDescent="0.2">
      <c r="A1204" s="155" t="s">
        <v>592</v>
      </c>
      <c r="B1204" s="156">
        <v>125</v>
      </c>
      <c r="C1204" s="155" t="s">
        <v>4</v>
      </c>
      <c r="D1204" s="157" t="s">
        <v>5</v>
      </c>
    </row>
    <row r="1205" spans="1:4" ht="15" customHeight="1" x14ac:dyDescent="0.2">
      <c r="A1205" s="155" t="s">
        <v>1631</v>
      </c>
      <c r="B1205" s="156">
        <v>125</v>
      </c>
      <c r="C1205" s="155" t="s">
        <v>4</v>
      </c>
      <c r="D1205" s="157" t="s">
        <v>5</v>
      </c>
    </row>
    <row r="1206" spans="1:4" ht="15" customHeight="1" x14ac:dyDescent="0.2">
      <c r="A1206" s="155" t="s">
        <v>584</v>
      </c>
      <c r="B1206" s="156">
        <v>150</v>
      </c>
      <c r="C1206" s="155" t="s">
        <v>4</v>
      </c>
      <c r="D1206" s="157" t="s">
        <v>5</v>
      </c>
    </row>
    <row r="1207" spans="1:4" ht="15" customHeight="1" x14ac:dyDescent="0.2">
      <c r="A1207" s="155" t="s">
        <v>1623</v>
      </c>
      <c r="B1207" s="156">
        <v>250</v>
      </c>
      <c r="C1207" s="155" t="s">
        <v>4</v>
      </c>
      <c r="D1207" s="157" t="s">
        <v>5</v>
      </c>
    </row>
    <row r="1208" spans="1:4" ht="15" customHeight="1" x14ac:dyDescent="0.2">
      <c r="A1208" s="155" t="s">
        <v>576</v>
      </c>
      <c r="B1208" s="156">
        <v>125</v>
      </c>
      <c r="C1208" s="155" t="s">
        <v>4</v>
      </c>
      <c r="D1208" s="157" t="s">
        <v>5</v>
      </c>
    </row>
    <row r="1209" spans="1:4" ht="15" customHeight="1" x14ac:dyDescent="0.2">
      <c r="A1209" s="155" t="s">
        <v>1669</v>
      </c>
      <c r="B1209" s="156">
        <v>125</v>
      </c>
      <c r="C1209" s="155" t="s">
        <v>4</v>
      </c>
      <c r="D1209" s="157" t="s">
        <v>5</v>
      </c>
    </row>
    <row r="1210" spans="1:4" ht="15" customHeight="1" x14ac:dyDescent="0.2">
      <c r="A1210" s="155" t="s">
        <v>623</v>
      </c>
      <c r="B1210" s="156">
        <v>125</v>
      </c>
      <c r="C1210" s="155" t="s">
        <v>4</v>
      </c>
      <c r="D1210" s="157" t="s">
        <v>5</v>
      </c>
    </row>
    <row r="1211" spans="1:4" ht="15" customHeight="1" x14ac:dyDescent="0.2">
      <c r="A1211" s="155" t="s">
        <v>1662</v>
      </c>
      <c r="B1211" s="156">
        <v>125</v>
      </c>
      <c r="C1211" s="155" t="s">
        <v>4</v>
      </c>
      <c r="D1211" s="157" t="s">
        <v>5</v>
      </c>
    </row>
    <row r="1212" spans="1:4" ht="15" customHeight="1" x14ac:dyDescent="0.2">
      <c r="A1212" s="155" t="s">
        <v>616</v>
      </c>
      <c r="B1212" s="156">
        <v>125</v>
      </c>
      <c r="C1212" s="155" t="s">
        <v>4</v>
      </c>
      <c r="D1212" s="157" t="s">
        <v>5</v>
      </c>
    </row>
    <row r="1213" spans="1:4" ht="15" customHeight="1" x14ac:dyDescent="0.2">
      <c r="A1213" s="155" t="s">
        <v>1655</v>
      </c>
      <c r="B1213" s="156">
        <v>125</v>
      </c>
      <c r="C1213" s="155" t="s">
        <v>4</v>
      </c>
      <c r="D1213" s="157" t="s">
        <v>5</v>
      </c>
    </row>
    <row r="1214" spans="1:4" ht="15" customHeight="1" x14ac:dyDescent="0.2">
      <c r="A1214" s="155" t="s">
        <v>609</v>
      </c>
      <c r="B1214" s="156">
        <v>125</v>
      </c>
      <c r="C1214" s="155" t="s">
        <v>4</v>
      </c>
      <c r="D1214" s="157" t="s">
        <v>5</v>
      </c>
    </row>
    <row r="1215" spans="1:4" ht="15" customHeight="1" x14ac:dyDescent="0.2">
      <c r="A1215" s="155" t="s">
        <v>1648</v>
      </c>
      <c r="B1215" s="156">
        <v>125</v>
      </c>
      <c r="C1215" s="155" t="s">
        <v>4</v>
      </c>
      <c r="D1215" s="157" t="s">
        <v>5</v>
      </c>
    </row>
    <row r="1216" spans="1:4" ht="15" customHeight="1" x14ac:dyDescent="0.2">
      <c r="A1216" s="155" t="s">
        <v>602</v>
      </c>
      <c r="B1216" s="156">
        <v>125</v>
      </c>
      <c r="C1216" s="155" t="s">
        <v>4</v>
      </c>
      <c r="D1216" s="157" t="s">
        <v>5</v>
      </c>
    </row>
    <row r="1217" spans="1:4" ht="15" customHeight="1" x14ac:dyDescent="0.2">
      <c r="A1217" s="155" t="s">
        <v>1191</v>
      </c>
      <c r="B1217" s="156">
        <v>125</v>
      </c>
      <c r="C1217" s="155" t="s">
        <v>4</v>
      </c>
      <c r="D1217" s="157" t="s">
        <v>5</v>
      </c>
    </row>
    <row r="1218" spans="1:4" ht="15" customHeight="1" x14ac:dyDescent="0.2">
      <c r="A1218" s="155" t="s">
        <v>146</v>
      </c>
      <c r="B1218" s="156">
        <v>250</v>
      </c>
      <c r="C1218" s="155" t="s">
        <v>4</v>
      </c>
      <c r="D1218" s="157" t="s">
        <v>5</v>
      </c>
    </row>
    <row r="1219" spans="1:4" ht="15" customHeight="1" x14ac:dyDescent="0.2">
      <c r="A1219" s="155" t="s">
        <v>1182</v>
      </c>
      <c r="B1219" s="156">
        <v>125</v>
      </c>
      <c r="C1219" s="155" t="s">
        <v>4</v>
      </c>
      <c r="D1219" s="157" t="s">
        <v>5</v>
      </c>
    </row>
    <row r="1220" spans="1:4" ht="15" customHeight="1" x14ac:dyDescent="0.2">
      <c r="A1220" s="155" t="s">
        <v>137</v>
      </c>
      <c r="B1220" s="156">
        <v>50</v>
      </c>
      <c r="C1220" s="155" t="s">
        <v>4</v>
      </c>
      <c r="D1220" s="157" t="s">
        <v>5</v>
      </c>
    </row>
    <row r="1221" spans="1:4" ht="15" customHeight="1" x14ac:dyDescent="0.2">
      <c r="A1221" s="155" t="s">
        <v>1173</v>
      </c>
      <c r="B1221" s="156">
        <v>50</v>
      </c>
      <c r="C1221" s="155" t="s">
        <v>4</v>
      </c>
      <c r="D1221" s="157" t="s">
        <v>5</v>
      </c>
    </row>
    <row r="1222" spans="1:4" ht="15" customHeight="1" x14ac:dyDescent="0.2">
      <c r="A1222" s="155" t="s">
        <v>128</v>
      </c>
      <c r="B1222" s="156">
        <v>50</v>
      </c>
      <c r="C1222" s="155" t="s">
        <v>4</v>
      </c>
      <c r="D1222" s="157" t="s">
        <v>5</v>
      </c>
    </row>
    <row r="1223" spans="1:4" ht="15" customHeight="1" x14ac:dyDescent="0.2">
      <c r="A1223" s="155" t="s">
        <v>1164</v>
      </c>
      <c r="B1223" s="156">
        <v>50</v>
      </c>
      <c r="C1223" s="155" t="s">
        <v>4</v>
      </c>
      <c r="D1223" s="157" t="s">
        <v>5</v>
      </c>
    </row>
    <row r="1224" spans="1:4" ht="15" customHeight="1" x14ac:dyDescent="0.2">
      <c r="A1224" s="155" t="s">
        <v>118</v>
      </c>
      <c r="B1224" s="156">
        <v>50</v>
      </c>
      <c r="C1224" s="155" t="s">
        <v>4</v>
      </c>
      <c r="D1224" s="157" t="s">
        <v>5</v>
      </c>
    </row>
    <row r="1225" spans="1:4" ht="15" customHeight="1" x14ac:dyDescent="0.2">
      <c r="A1225" s="155" t="s">
        <v>1226</v>
      </c>
      <c r="B1225" s="156">
        <v>50</v>
      </c>
      <c r="C1225" s="155" t="s">
        <v>4</v>
      </c>
      <c r="D1225" s="157" t="s">
        <v>5</v>
      </c>
    </row>
    <row r="1226" spans="1:4" ht="15" customHeight="1" x14ac:dyDescent="0.2">
      <c r="A1226" s="155" t="s">
        <v>180</v>
      </c>
      <c r="B1226" s="156">
        <v>50</v>
      </c>
      <c r="C1226" s="155" t="s">
        <v>4</v>
      </c>
      <c r="D1226" s="157" t="s">
        <v>5</v>
      </c>
    </row>
    <row r="1227" spans="1:4" ht="15" customHeight="1" x14ac:dyDescent="0.2">
      <c r="A1227" s="155" t="s">
        <v>1218</v>
      </c>
      <c r="B1227" s="156">
        <v>50</v>
      </c>
      <c r="C1227" s="155" t="s">
        <v>4</v>
      </c>
      <c r="D1227" s="157" t="s">
        <v>5</v>
      </c>
    </row>
    <row r="1228" spans="1:4" ht="15" customHeight="1" x14ac:dyDescent="0.2">
      <c r="A1228" s="155" t="s">
        <v>9345</v>
      </c>
      <c r="B1228" s="156">
        <v>50</v>
      </c>
      <c r="C1228" s="155" t="s">
        <v>4</v>
      </c>
      <c r="D1228" s="157" t="s">
        <v>5</v>
      </c>
    </row>
    <row r="1229" spans="1:4" ht="15" customHeight="1" x14ac:dyDescent="0.2">
      <c r="A1229" s="155" t="s">
        <v>1209</v>
      </c>
      <c r="B1229" s="156">
        <v>50</v>
      </c>
      <c r="C1229" s="155" t="s">
        <v>4</v>
      </c>
      <c r="D1229" s="157" t="s">
        <v>5</v>
      </c>
    </row>
    <row r="1230" spans="1:4" ht="15" customHeight="1" x14ac:dyDescent="0.2">
      <c r="A1230" s="155" t="s">
        <v>164</v>
      </c>
      <c r="B1230" s="156">
        <v>175</v>
      </c>
      <c r="C1230" s="155" t="s">
        <v>4</v>
      </c>
      <c r="D1230" s="157" t="s">
        <v>5</v>
      </c>
    </row>
    <row r="1231" spans="1:4" ht="15" customHeight="1" x14ac:dyDescent="0.2">
      <c r="A1231" s="155" t="s">
        <v>1200</v>
      </c>
      <c r="B1231" s="156">
        <v>125</v>
      </c>
      <c r="C1231" s="155" t="s">
        <v>4</v>
      </c>
      <c r="D1231" s="157" t="s">
        <v>5</v>
      </c>
    </row>
    <row r="1232" spans="1:4" ht="15" customHeight="1" x14ac:dyDescent="0.2">
      <c r="A1232" s="155" t="s">
        <v>155</v>
      </c>
      <c r="B1232" s="156">
        <v>125</v>
      </c>
      <c r="C1232" s="155" t="s">
        <v>4</v>
      </c>
      <c r="D1232" s="157" t="s">
        <v>5</v>
      </c>
    </row>
    <row r="1233" spans="1:4" ht="15" customHeight="1" x14ac:dyDescent="0.2">
      <c r="A1233" s="155" t="s">
        <v>1260</v>
      </c>
      <c r="B1233" s="156">
        <v>125</v>
      </c>
      <c r="C1233" s="155" t="s">
        <v>4</v>
      </c>
      <c r="D1233" s="157" t="s">
        <v>5</v>
      </c>
    </row>
    <row r="1234" spans="1:4" ht="15" customHeight="1" x14ac:dyDescent="0.2">
      <c r="A1234" s="155" t="s">
        <v>213</v>
      </c>
      <c r="B1234" s="159">
        <v>2.5</v>
      </c>
      <c r="C1234" s="155" t="s">
        <v>4</v>
      </c>
      <c r="D1234" s="157" t="s">
        <v>5</v>
      </c>
    </row>
    <row r="1235" spans="1:4" ht="15" customHeight="1" x14ac:dyDescent="0.2">
      <c r="A1235" s="155" t="s">
        <v>1252</v>
      </c>
      <c r="B1235" s="156">
        <v>125</v>
      </c>
      <c r="C1235" s="155" t="s">
        <v>4</v>
      </c>
      <c r="D1235" s="157" t="s">
        <v>5</v>
      </c>
    </row>
    <row r="1236" spans="1:4" ht="15" customHeight="1" x14ac:dyDescent="0.2">
      <c r="A1236" s="155" t="s">
        <v>205</v>
      </c>
      <c r="B1236" s="156">
        <v>125</v>
      </c>
      <c r="C1236" s="155" t="s">
        <v>4</v>
      </c>
      <c r="D1236" s="157" t="s">
        <v>5</v>
      </c>
    </row>
    <row r="1237" spans="1:4" ht="15" customHeight="1" x14ac:dyDescent="0.2">
      <c r="A1237" s="155" t="s">
        <v>1243</v>
      </c>
      <c r="B1237" s="156">
        <v>125</v>
      </c>
      <c r="C1237" s="155" t="s">
        <v>4</v>
      </c>
      <c r="D1237" s="157" t="s">
        <v>5</v>
      </c>
    </row>
    <row r="1238" spans="1:4" ht="15" customHeight="1" x14ac:dyDescent="0.2">
      <c r="A1238" s="155" t="s">
        <v>196</v>
      </c>
      <c r="B1238" s="156">
        <v>50</v>
      </c>
      <c r="C1238" s="155" t="s">
        <v>4</v>
      </c>
      <c r="D1238" s="157" t="s">
        <v>5</v>
      </c>
    </row>
    <row r="1239" spans="1:4" ht="15" customHeight="1" x14ac:dyDescent="0.2">
      <c r="A1239" s="155" t="s">
        <v>1234</v>
      </c>
      <c r="B1239" s="156">
        <v>125</v>
      </c>
      <c r="C1239" s="155" t="s">
        <v>4</v>
      </c>
      <c r="D1239" s="157" t="s">
        <v>5</v>
      </c>
    </row>
    <row r="1240" spans="1:4" ht="15" customHeight="1" x14ac:dyDescent="0.2">
      <c r="A1240" s="155" t="s">
        <v>188</v>
      </c>
      <c r="B1240" s="158">
        <v>23.64</v>
      </c>
      <c r="C1240" s="155" t="s">
        <v>4</v>
      </c>
      <c r="D1240" s="157" t="s">
        <v>5</v>
      </c>
    </row>
    <row r="1241" spans="1:4" ht="15" customHeight="1" x14ac:dyDescent="0.2">
      <c r="A1241" s="155" t="s">
        <v>1293</v>
      </c>
      <c r="B1241" s="156">
        <v>50</v>
      </c>
      <c r="C1241" s="155" t="s">
        <v>4</v>
      </c>
      <c r="D1241" s="157" t="s">
        <v>5</v>
      </c>
    </row>
    <row r="1242" spans="1:4" ht="15" customHeight="1" x14ac:dyDescent="0.2">
      <c r="A1242" s="155" t="s">
        <v>246</v>
      </c>
      <c r="B1242" s="156">
        <v>50</v>
      </c>
      <c r="C1242" s="155" t="s">
        <v>4</v>
      </c>
      <c r="D1242" s="157" t="s">
        <v>5</v>
      </c>
    </row>
    <row r="1243" spans="1:4" ht="15" customHeight="1" x14ac:dyDescent="0.2">
      <c r="A1243" s="155" t="s">
        <v>1285</v>
      </c>
      <c r="B1243" s="156">
        <v>50</v>
      </c>
      <c r="C1243" s="155" t="s">
        <v>4</v>
      </c>
      <c r="D1243" s="157" t="s">
        <v>5</v>
      </c>
    </row>
    <row r="1244" spans="1:4" ht="15" customHeight="1" x14ac:dyDescent="0.2">
      <c r="A1244" s="155" t="s">
        <v>237</v>
      </c>
      <c r="B1244" s="156">
        <v>50</v>
      </c>
      <c r="C1244" s="155" t="s">
        <v>4</v>
      </c>
      <c r="D1244" s="157" t="s">
        <v>5</v>
      </c>
    </row>
    <row r="1245" spans="1:4" ht="15" customHeight="1" x14ac:dyDescent="0.2">
      <c r="A1245" s="155" t="s">
        <v>1276</v>
      </c>
      <c r="B1245" s="156">
        <v>50</v>
      </c>
      <c r="C1245" s="155" t="s">
        <v>4</v>
      </c>
      <c r="D1245" s="157" t="s">
        <v>5</v>
      </c>
    </row>
    <row r="1246" spans="1:4" ht="15" customHeight="1" x14ac:dyDescent="0.2">
      <c r="A1246" s="155" t="s">
        <v>229</v>
      </c>
      <c r="B1246" s="156">
        <v>50</v>
      </c>
      <c r="C1246" s="155" t="s">
        <v>4</v>
      </c>
      <c r="D1246" s="157" t="s">
        <v>5</v>
      </c>
    </row>
    <row r="1247" spans="1:4" ht="15" customHeight="1" x14ac:dyDescent="0.2">
      <c r="A1247" s="155" t="s">
        <v>1268</v>
      </c>
      <c r="B1247" s="156">
        <v>50</v>
      </c>
      <c r="C1247" s="155" t="s">
        <v>4</v>
      </c>
      <c r="D1247" s="157" t="s">
        <v>5</v>
      </c>
    </row>
    <row r="1248" spans="1:4" ht="15" customHeight="1" x14ac:dyDescent="0.2">
      <c r="A1248" s="155" t="s">
        <v>221</v>
      </c>
      <c r="B1248" s="156">
        <v>50</v>
      </c>
      <c r="C1248" s="155" t="s">
        <v>4</v>
      </c>
      <c r="D1248" s="157" t="s">
        <v>5</v>
      </c>
    </row>
    <row r="1249" spans="1:4" ht="15" customHeight="1" x14ac:dyDescent="0.2">
      <c r="A1249" s="155" t="s">
        <v>1326</v>
      </c>
      <c r="B1249" s="156">
        <v>50</v>
      </c>
      <c r="C1249" s="155" t="s">
        <v>4</v>
      </c>
      <c r="D1249" s="157" t="s">
        <v>5</v>
      </c>
    </row>
    <row r="1250" spans="1:4" ht="15" customHeight="1" x14ac:dyDescent="0.2">
      <c r="A1250" s="155" t="s">
        <v>278</v>
      </c>
      <c r="B1250" s="156">
        <v>50</v>
      </c>
      <c r="C1250" s="155" t="s">
        <v>4</v>
      </c>
      <c r="D1250" s="157" t="s">
        <v>5</v>
      </c>
    </row>
    <row r="1251" spans="1:4" ht="15" customHeight="1" x14ac:dyDescent="0.2">
      <c r="A1251" s="155" t="s">
        <v>1317</v>
      </c>
      <c r="B1251" s="156">
        <v>20</v>
      </c>
      <c r="C1251" s="155" t="s">
        <v>4</v>
      </c>
      <c r="D1251" s="157" t="s">
        <v>5</v>
      </c>
    </row>
    <row r="1252" spans="1:4" ht="15" customHeight="1" x14ac:dyDescent="0.2">
      <c r="A1252" s="155" t="s">
        <v>270</v>
      </c>
      <c r="B1252" s="156">
        <v>125</v>
      </c>
      <c r="C1252" s="155" t="s">
        <v>4</v>
      </c>
      <c r="D1252" s="157" t="s">
        <v>5</v>
      </c>
    </row>
    <row r="1253" spans="1:4" ht="15" customHeight="1" x14ac:dyDescent="0.2">
      <c r="A1253" s="155" t="s">
        <v>1309</v>
      </c>
      <c r="B1253" s="156">
        <v>125</v>
      </c>
      <c r="C1253" s="155" t="s">
        <v>4</v>
      </c>
      <c r="D1253" s="157" t="s">
        <v>5</v>
      </c>
    </row>
    <row r="1254" spans="1:4" ht="15" customHeight="1" x14ac:dyDescent="0.2">
      <c r="A1254" s="155" t="s">
        <v>262</v>
      </c>
      <c r="B1254" s="156">
        <v>125</v>
      </c>
      <c r="C1254" s="155" t="s">
        <v>4</v>
      </c>
      <c r="D1254" s="157" t="s">
        <v>5</v>
      </c>
    </row>
    <row r="1255" spans="1:4" ht="15" customHeight="1" x14ac:dyDescent="0.2">
      <c r="A1255" s="155" t="s">
        <v>1301</v>
      </c>
      <c r="B1255" s="156">
        <v>125</v>
      </c>
      <c r="C1255" s="155" t="s">
        <v>4</v>
      </c>
      <c r="D1255" s="157" t="s">
        <v>5</v>
      </c>
    </row>
    <row r="1256" spans="1:4" ht="15" customHeight="1" x14ac:dyDescent="0.2">
      <c r="A1256" s="155" t="s">
        <v>254</v>
      </c>
      <c r="B1256" s="156">
        <v>125</v>
      </c>
      <c r="C1256" s="155" t="s">
        <v>4</v>
      </c>
      <c r="D1256" s="157" t="s">
        <v>5</v>
      </c>
    </row>
    <row r="1257" spans="1:4" ht="15" customHeight="1" x14ac:dyDescent="0.2">
      <c r="A1257" s="155" t="s">
        <v>1359</v>
      </c>
      <c r="B1257" s="156">
        <v>125</v>
      </c>
      <c r="C1257" s="155" t="s">
        <v>4</v>
      </c>
      <c r="D1257" s="157" t="s">
        <v>5</v>
      </c>
    </row>
    <row r="1258" spans="1:4" ht="15" customHeight="1" x14ac:dyDescent="0.2">
      <c r="A1258" s="155" t="s">
        <v>312</v>
      </c>
      <c r="B1258" s="156">
        <v>125</v>
      </c>
      <c r="C1258" s="155" t="s">
        <v>4</v>
      </c>
      <c r="D1258" s="157" t="s">
        <v>5</v>
      </c>
    </row>
    <row r="1259" spans="1:4" ht="15" customHeight="1" x14ac:dyDescent="0.2">
      <c r="A1259" s="155" t="s">
        <v>1351</v>
      </c>
      <c r="B1259" s="156">
        <v>125</v>
      </c>
      <c r="C1259" s="155" t="s">
        <v>4</v>
      </c>
      <c r="D1259" s="157" t="s">
        <v>5</v>
      </c>
    </row>
    <row r="1260" spans="1:4" ht="15" customHeight="1" x14ac:dyDescent="0.2">
      <c r="A1260" s="155" t="s">
        <v>304</v>
      </c>
      <c r="B1260" s="156">
        <v>125</v>
      </c>
      <c r="C1260" s="155" t="s">
        <v>4</v>
      </c>
      <c r="D1260" s="157" t="s">
        <v>5</v>
      </c>
    </row>
    <row r="1261" spans="1:4" ht="15" customHeight="1" x14ac:dyDescent="0.2">
      <c r="A1261" s="155" t="s">
        <v>1343</v>
      </c>
      <c r="B1261" s="156">
        <v>1000</v>
      </c>
      <c r="C1261" s="155" t="s">
        <v>4</v>
      </c>
      <c r="D1261" s="157" t="s">
        <v>5</v>
      </c>
    </row>
    <row r="1262" spans="1:4" ht="15" customHeight="1" x14ac:dyDescent="0.2">
      <c r="A1262" s="155" t="s">
        <v>296</v>
      </c>
      <c r="B1262" s="156">
        <v>125</v>
      </c>
      <c r="C1262" s="155" t="s">
        <v>4</v>
      </c>
      <c r="D1262" s="157" t="s">
        <v>5</v>
      </c>
    </row>
    <row r="1263" spans="1:4" ht="15" customHeight="1" x14ac:dyDescent="0.2">
      <c r="A1263" s="155" t="s">
        <v>1335</v>
      </c>
      <c r="B1263" s="156">
        <v>125</v>
      </c>
      <c r="C1263" s="155" t="s">
        <v>4</v>
      </c>
      <c r="D1263" s="157" t="s">
        <v>5</v>
      </c>
    </row>
    <row r="1264" spans="1:4" ht="15" customHeight="1" x14ac:dyDescent="0.2">
      <c r="A1264" s="155" t="s">
        <v>288</v>
      </c>
      <c r="B1264" s="156">
        <v>100</v>
      </c>
      <c r="C1264" s="155" t="s">
        <v>4</v>
      </c>
      <c r="D1264" s="157" t="s">
        <v>5</v>
      </c>
    </row>
    <row r="1265" spans="1:4" ht="15" customHeight="1" x14ac:dyDescent="0.2">
      <c r="A1265" s="155" t="s">
        <v>1386</v>
      </c>
      <c r="B1265" s="156">
        <v>125</v>
      </c>
      <c r="C1265" s="155" t="s">
        <v>4</v>
      </c>
      <c r="D1265" s="157" t="s">
        <v>5</v>
      </c>
    </row>
    <row r="1266" spans="1:4" ht="15" customHeight="1" x14ac:dyDescent="0.2">
      <c r="A1266" s="155" t="s">
        <v>339</v>
      </c>
      <c r="B1266" s="156">
        <v>125</v>
      </c>
      <c r="C1266" s="155" t="s">
        <v>4</v>
      </c>
      <c r="D1266" s="157" t="s">
        <v>5</v>
      </c>
    </row>
    <row r="1267" spans="1:4" ht="15" customHeight="1" x14ac:dyDescent="0.2">
      <c r="A1267" s="155" t="s">
        <v>1378</v>
      </c>
      <c r="B1267" s="156">
        <v>125</v>
      </c>
      <c r="C1267" s="155" t="s">
        <v>4</v>
      </c>
      <c r="D1267" s="157" t="s">
        <v>5</v>
      </c>
    </row>
    <row r="1268" spans="1:4" ht="15" customHeight="1" x14ac:dyDescent="0.2">
      <c r="A1268" s="155" t="s">
        <v>331</v>
      </c>
      <c r="B1268" s="156">
        <v>125</v>
      </c>
      <c r="C1268" s="155" t="s">
        <v>4</v>
      </c>
      <c r="D1268" s="157" t="s">
        <v>5</v>
      </c>
    </row>
    <row r="1269" spans="1:4" ht="15" customHeight="1" x14ac:dyDescent="0.2">
      <c r="A1269" s="155" t="s">
        <v>1370</v>
      </c>
      <c r="B1269" s="156">
        <v>125</v>
      </c>
      <c r="C1269" s="155" t="s">
        <v>4</v>
      </c>
      <c r="D1269" s="157" t="s">
        <v>5</v>
      </c>
    </row>
    <row r="1270" spans="1:4" ht="15" customHeight="1" x14ac:dyDescent="0.2">
      <c r="A1270" s="155" t="s">
        <v>323</v>
      </c>
      <c r="B1270" s="156">
        <v>125</v>
      </c>
      <c r="C1270" s="155" t="s">
        <v>4</v>
      </c>
      <c r="D1270" s="157" t="s">
        <v>5</v>
      </c>
    </row>
    <row r="1271" spans="1:4" ht="15" customHeight="1" x14ac:dyDescent="0.2">
      <c r="A1271" s="155" t="s">
        <v>1367</v>
      </c>
      <c r="B1271" s="156">
        <v>300</v>
      </c>
      <c r="C1271" s="155" t="s">
        <v>4</v>
      </c>
      <c r="D1271" s="157" t="s">
        <v>5</v>
      </c>
    </row>
    <row r="1272" spans="1:4" ht="15" customHeight="1" x14ac:dyDescent="0.2">
      <c r="A1272" s="155" t="s">
        <v>320</v>
      </c>
      <c r="B1272" s="156">
        <v>50</v>
      </c>
      <c r="C1272" s="155" t="s">
        <v>4</v>
      </c>
      <c r="D1272" s="157" t="s">
        <v>5</v>
      </c>
    </row>
    <row r="1273" spans="1:4" ht="15" customHeight="1" x14ac:dyDescent="0.2">
      <c r="A1273" s="155" t="s">
        <v>1419</v>
      </c>
      <c r="B1273" s="156">
        <v>50</v>
      </c>
      <c r="C1273" s="155" t="s">
        <v>4</v>
      </c>
      <c r="D1273" s="157" t="s">
        <v>5</v>
      </c>
    </row>
    <row r="1274" spans="1:4" ht="15" customHeight="1" x14ac:dyDescent="0.2">
      <c r="A1274" s="155" t="s">
        <v>372</v>
      </c>
      <c r="B1274" s="156">
        <v>50</v>
      </c>
      <c r="C1274" s="155" t="s">
        <v>4</v>
      </c>
      <c r="D1274" s="157" t="s">
        <v>5</v>
      </c>
    </row>
    <row r="1275" spans="1:4" ht="15" customHeight="1" x14ac:dyDescent="0.2">
      <c r="A1275" s="155" t="s">
        <v>1411</v>
      </c>
      <c r="B1275" s="156">
        <v>50</v>
      </c>
      <c r="C1275" s="155" t="s">
        <v>4</v>
      </c>
      <c r="D1275" s="157" t="s">
        <v>5</v>
      </c>
    </row>
    <row r="1276" spans="1:4" ht="15" customHeight="1" x14ac:dyDescent="0.2">
      <c r="A1276" s="155" t="s">
        <v>364</v>
      </c>
      <c r="B1276" s="156">
        <v>50</v>
      </c>
      <c r="C1276" s="155" t="s">
        <v>4</v>
      </c>
      <c r="D1276" s="157" t="s">
        <v>5</v>
      </c>
    </row>
    <row r="1277" spans="1:4" ht="15" customHeight="1" x14ac:dyDescent="0.2">
      <c r="A1277" s="155" t="s">
        <v>1402</v>
      </c>
      <c r="B1277" s="156">
        <v>50</v>
      </c>
      <c r="C1277" s="155" t="s">
        <v>4</v>
      </c>
      <c r="D1277" s="157" t="s">
        <v>5</v>
      </c>
    </row>
    <row r="1278" spans="1:4" ht="15" customHeight="1" x14ac:dyDescent="0.2">
      <c r="A1278" s="155" t="s">
        <v>355</v>
      </c>
      <c r="B1278" s="156">
        <v>50</v>
      </c>
      <c r="C1278" s="155" t="s">
        <v>4</v>
      </c>
      <c r="D1278" s="157" t="s">
        <v>5</v>
      </c>
    </row>
    <row r="1279" spans="1:4" ht="15" customHeight="1" x14ac:dyDescent="0.2">
      <c r="A1279" s="155" t="s">
        <v>1394</v>
      </c>
      <c r="B1279" s="156">
        <v>50</v>
      </c>
      <c r="C1279" s="155" t="s">
        <v>4</v>
      </c>
      <c r="D1279" s="157" t="s">
        <v>5</v>
      </c>
    </row>
    <row r="1280" spans="1:4" ht="15" customHeight="1" x14ac:dyDescent="0.2">
      <c r="A1280" s="155" t="s">
        <v>347</v>
      </c>
      <c r="B1280" s="156">
        <v>50</v>
      </c>
      <c r="C1280" s="155" t="s">
        <v>4</v>
      </c>
      <c r="D1280" s="157" t="s">
        <v>5</v>
      </c>
    </row>
    <row r="1281" spans="1:4" ht="15" customHeight="1" x14ac:dyDescent="0.2">
      <c r="A1281" s="155" t="s">
        <v>1948</v>
      </c>
      <c r="B1281" s="156">
        <v>50</v>
      </c>
      <c r="C1281" s="155" t="s">
        <v>4</v>
      </c>
      <c r="D1281" s="157" t="s">
        <v>5</v>
      </c>
    </row>
    <row r="1282" spans="1:4" ht="15" customHeight="1" x14ac:dyDescent="0.2">
      <c r="A1282" s="155" t="s">
        <v>901</v>
      </c>
      <c r="B1282" s="156">
        <v>50</v>
      </c>
      <c r="C1282" s="155" t="s">
        <v>4</v>
      </c>
      <c r="D1282" s="157" t="s">
        <v>5</v>
      </c>
    </row>
    <row r="1283" spans="1:4" ht="15" customHeight="1" x14ac:dyDescent="0.2">
      <c r="A1283" s="155" t="s">
        <v>1940</v>
      </c>
      <c r="B1283" s="156">
        <v>50</v>
      </c>
      <c r="C1283" s="155" t="s">
        <v>4</v>
      </c>
      <c r="D1283" s="157" t="s">
        <v>5</v>
      </c>
    </row>
    <row r="1284" spans="1:4" ht="15" customHeight="1" x14ac:dyDescent="0.2">
      <c r="A1284" s="155" t="s">
        <v>893</v>
      </c>
      <c r="B1284" s="156">
        <v>125</v>
      </c>
      <c r="C1284" s="155" t="s">
        <v>4</v>
      </c>
      <c r="D1284" s="157" t="s">
        <v>5</v>
      </c>
    </row>
    <row r="1285" spans="1:4" ht="15" customHeight="1" x14ac:dyDescent="0.2">
      <c r="A1285" s="155" t="s">
        <v>1932</v>
      </c>
      <c r="B1285" s="156">
        <v>125</v>
      </c>
      <c r="C1285" s="155" t="s">
        <v>4</v>
      </c>
      <c r="D1285" s="157" t="s">
        <v>5</v>
      </c>
    </row>
    <row r="1286" spans="1:4" ht="15" customHeight="1" x14ac:dyDescent="0.2">
      <c r="A1286" s="155" t="s">
        <v>885</v>
      </c>
      <c r="B1286" s="156">
        <v>125</v>
      </c>
      <c r="C1286" s="155" t="s">
        <v>4</v>
      </c>
      <c r="D1286" s="157" t="s">
        <v>5</v>
      </c>
    </row>
    <row r="1287" spans="1:4" ht="15" customHeight="1" x14ac:dyDescent="0.2">
      <c r="A1287" s="155" t="s">
        <v>1924</v>
      </c>
      <c r="B1287" s="156">
        <v>125</v>
      </c>
      <c r="C1287" s="155" t="s">
        <v>4</v>
      </c>
      <c r="D1287" s="157" t="s">
        <v>5</v>
      </c>
    </row>
    <row r="1288" spans="1:4" ht="15" customHeight="1" x14ac:dyDescent="0.2">
      <c r="A1288" s="155" t="s">
        <v>877</v>
      </c>
      <c r="B1288" s="156">
        <v>25</v>
      </c>
      <c r="C1288" s="155" t="s">
        <v>4</v>
      </c>
      <c r="D1288" s="157" t="s">
        <v>5</v>
      </c>
    </row>
    <row r="1289" spans="1:4" ht="15" customHeight="1" x14ac:dyDescent="0.2">
      <c r="A1289" s="155" t="s">
        <v>1981</v>
      </c>
      <c r="B1289" s="156">
        <v>125</v>
      </c>
      <c r="C1289" s="155" t="s">
        <v>4</v>
      </c>
      <c r="D1289" s="157" t="s">
        <v>5</v>
      </c>
    </row>
    <row r="1290" spans="1:4" ht="15" customHeight="1" x14ac:dyDescent="0.2">
      <c r="A1290" s="155" t="s">
        <v>934</v>
      </c>
      <c r="B1290" s="156">
        <v>125</v>
      </c>
      <c r="C1290" s="155" t="s">
        <v>4</v>
      </c>
      <c r="D1290" s="157" t="s">
        <v>5</v>
      </c>
    </row>
    <row r="1291" spans="1:4" ht="15" customHeight="1" x14ac:dyDescent="0.2">
      <c r="A1291" s="155" t="s">
        <v>1973</v>
      </c>
      <c r="B1291" s="156">
        <v>125</v>
      </c>
      <c r="C1291" s="155" t="s">
        <v>4</v>
      </c>
      <c r="D1291" s="157" t="s">
        <v>5</v>
      </c>
    </row>
    <row r="1292" spans="1:4" ht="15" customHeight="1" x14ac:dyDescent="0.2">
      <c r="A1292" s="155" t="s">
        <v>926</v>
      </c>
      <c r="B1292" s="156">
        <v>125</v>
      </c>
      <c r="C1292" s="155" t="s">
        <v>4</v>
      </c>
      <c r="D1292" s="157" t="s">
        <v>5</v>
      </c>
    </row>
    <row r="1293" spans="1:4" ht="15" customHeight="1" x14ac:dyDescent="0.2">
      <c r="A1293" s="155" t="s">
        <v>1965</v>
      </c>
      <c r="B1293" s="156">
        <v>125</v>
      </c>
      <c r="C1293" s="155" t="s">
        <v>4</v>
      </c>
      <c r="D1293" s="157" t="s">
        <v>5</v>
      </c>
    </row>
    <row r="1294" spans="1:4" ht="15" customHeight="1" x14ac:dyDescent="0.2">
      <c r="A1294" s="155" t="s">
        <v>918</v>
      </c>
      <c r="B1294" s="156">
        <v>125</v>
      </c>
      <c r="C1294" s="155" t="s">
        <v>4</v>
      </c>
      <c r="D1294" s="157" t="s">
        <v>5</v>
      </c>
    </row>
    <row r="1295" spans="1:4" ht="15" customHeight="1" x14ac:dyDescent="0.2">
      <c r="A1295" s="155" t="s">
        <v>1957</v>
      </c>
      <c r="B1295" s="156">
        <v>125</v>
      </c>
      <c r="C1295" s="155" t="s">
        <v>4</v>
      </c>
      <c r="D1295" s="157" t="s">
        <v>5</v>
      </c>
    </row>
    <row r="1296" spans="1:4" ht="15" customHeight="1" x14ac:dyDescent="0.2">
      <c r="A1296" s="155" t="s">
        <v>910</v>
      </c>
      <c r="B1296" s="156">
        <v>125</v>
      </c>
      <c r="C1296" s="155" t="s">
        <v>4</v>
      </c>
      <c r="D1296" s="157" t="s">
        <v>5</v>
      </c>
    </row>
    <row r="1297" spans="1:4" ht="15" customHeight="1" x14ac:dyDescent="0.2">
      <c r="A1297" s="155" t="s">
        <v>2012</v>
      </c>
      <c r="B1297" s="156">
        <v>125</v>
      </c>
      <c r="C1297" s="155" t="s">
        <v>4</v>
      </c>
      <c r="D1297" s="157" t="s">
        <v>5</v>
      </c>
    </row>
    <row r="1298" spans="1:4" ht="15" customHeight="1" x14ac:dyDescent="0.2">
      <c r="A1298" s="155" t="s">
        <v>965</v>
      </c>
      <c r="B1298" s="156">
        <v>50</v>
      </c>
      <c r="C1298" s="155" t="s">
        <v>4</v>
      </c>
      <c r="D1298" s="157" t="s">
        <v>5</v>
      </c>
    </row>
    <row r="1299" spans="1:4" ht="15" customHeight="1" x14ac:dyDescent="0.2">
      <c r="A1299" s="155" t="s">
        <v>2004</v>
      </c>
      <c r="B1299" s="156">
        <v>50</v>
      </c>
      <c r="C1299" s="155" t="s">
        <v>4</v>
      </c>
      <c r="D1299" s="157" t="s">
        <v>5</v>
      </c>
    </row>
    <row r="1300" spans="1:4" ht="15" customHeight="1" x14ac:dyDescent="0.2">
      <c r="A1300" s="155" t="s">
        <v>958</v>
      </c>
      <c r="B1300" s="156">
        <v>50</v>
      </c>
      <c r="C1300" s="155" t="s">
        <v>4</v>
      </c>
      <c r="D1300" s="157" t="s">
        <v>5</v>
      </c>
    </row>
    <row r="1301" spans="1:4" ht="15" customHeight="1" x14ac:dyDescent="0.2">
      <c r="A1301" s="155" t="s">
        <v>1997</v>
      </c>
      <c r="B1301" s="156">
        <v>50</v>
      </c>
      <c r="C1301" s="155" t="s">
        <v>4</v>
      </c>
      <c r="D1301" s="157" t="s">
        <v>5</v>
      </c>
    </row>
    <row r="1302" spans="1:4" ht="15" customHeight="1" x14ac:dyDescent="0.2">
      <c r="A1302" s="155" t="s">
        <v>950</v>
      </c>
      <c r="B1302" s="156">
        <v>50</v>
      </c>
      <c r="C1302" s="155" t="s">
        <v>4</v>
      </c>
      <c r="D1302" s="157" t="s">
        <v>5</v>
      </c>
    </row>
    <row r="1303" spans="1:4" ht="15" customHeight="1" x14ac:dyDescent="0.2">
      <c r="A1303" s="155" t="s">
        <v>1989</v>
      </c>
      <c r="B1303" s="156">
        <v>50</v>
      </c>
      <c r="C1303" s="155" t="s">
        <v>4</v>
      </c>
      <c r="D1303" s="157" t="s">
        <v>5</v>
      </c>
    </row>
    <row r="1304" spans="1:4" ht="15" customHeight="1" x14ac:dyDescent="0.2">
      <c r="A1304" s="155" t="s">
        <v>942</v>
      </c>
      <c r="B1304" s="156">
        <v>50</v>
      </c>
      <c r="C1304" s="155" t="s">
        <v>4</v>
      </c>
      <c r="D1304" s="157" t="s">
        <v>5</v>
      </c>
    </row>
    <row r="1305" spans="1:4" ht="15" customHeight="1" x14ac:dyDescent="0.2">
      <c r="A1305" s="155" t="s">
        <v>2044</v>
      </c>
      <c r="B1305" s="156">
        <v>50</v>
      </c>
      <c r="C1305" s="155" t="s">
        <v>4</v>
      </c>
      <c r="D1305" s="157" t="s">
        <v>5</v>
      </c>
    </row>
    <row r="1306" spans="1:4" ht="15" customHeight="1" x14ac:dyDescent="0.2">
      <c r="A1306" s="155" t="s">
        <v>997</v>
      </c>
      <c r="B1306" s="156">
        <v>50</v>
      </c>
      <c r="C1306" s="155" t="s">
        <v>4</v>
      </c>
      <c r="D1306" s="157" t="s">
        <v>5</v>
      </c>
    </row>
    <row r="1307" spans="1:4" ht="15" customHeight="1" x14ac:dyDescent="0.2">
      <c r="A1307" s="155" t="s">
        <v>2036</v>
      </c>
      <c r="B1307" s="156">
        <v>125</v>
      </c>
      <c r="C1307" s="155" t="s">
        <v>4</v>
      </c>
      <c r="D1307" s="157" t="s">
        <v>5</v>
      </c>
    </row>
    <row r="1308" spans="1:4" ht="15" customHeight="1" x14ac:dyDescent="0.2">
      <c r="A1308" s="155" t="s">
        <v>989</v>
      </c>
      <c r="B1308" s="156">
        <v>125</v>
      </c>
      <c r="C1308" s="155" t="s">
        <v>4</v>
      </c>
      <c r="D1308" s="157" t="s">
        <v>5</v>
      </c>
    </row>
    <row r="1309" spans="1:4" ht="15" customHeight="1" x14ac:dyDescent="0.2">
      <c r="A1309" s="155" t="s">
        <v>2028</v>
      </c>
      <c r="B1309" s="156">
        <v>125</v>
      </c>
      <c r="C1309" s="155" t="s">
        <v>4</v>
      </c>
      <c r="D1309" s="157" t="s">
        <v>5</v>
      </c>
    </row>
    <row r="1310" spans="1:4" ht="15" customHeight="1" x14ac:dyDescent="0.2">
      <c r="A1310" s="155" t="s">
        <v>981</v>
      </c>
      <c r="B1310" s="156">
        <v>125</v>
      </c>
      <c r="C1310" s="155" t="s">
        <v>4</v>
      </c>
      <c r="D1310" s="157" t="s">
        <v>5</v>
      </c>
    </row>
    <row r="1311" spans="1:4" ht="15" customHeight="1" x14ac:dyDescent="0.2">
      <c r="A1311" s="155" t="s">
        <v>2020</v>
      </c>
      <c r="B1311" s="156">
        <v>15</v>
      </c>
      <c r="C1311" s="155" t="s">
        <v>4</v>
      </c>
      <c r="D1311" s="157" t="s">
        <v>5</v>
      </c>
    </row>
    <row r="1312" spans="1:4" ht="15" customHeight="1" x14ac:dyDescent="0.2">
      <c r="A1312" s="155" t="s">
        <v>973</v>
      </c>
      <c r="B1312" s="156">
        <v>125</v>
      </c>
      <c r="C1312" s="155" t="s">
        <v>4</v>
      </c>
      <c r="D1312" s="157" t="s">
        <v>5</v>
      </c>
    </row>
    <row r="1313" spans="1:4" ht="15" customHeight="1" x14ac:dyDescent="0.2">
      <c r="A1313" s="155" t="s">
        <v>2076</v>
      </c>
      <c r="B1313" s="156">
        <v>125</v>
      </c>
      <c r="C1313" s="155" t="s">
        <v>4</v>
      </c>
      <c r="D1313" s="157" t="s">
        <v>5</v>
      </c>
    </row>
    <row r="1314" spans="1:4" ht="15" customHeight="1" x14ac:dyDescent="0.2">
      <c r="A1314" s="155" t="s">
        <v>1032</v>
      </c>
      <c r="B1314" s="156">
        <v>25</v>
      </c>
      <c r="C1314" s="155" t="s">
        <v>4</v>
      </c>
      <c r="D1314" s="157" t="s">
        <v>5</v>
      </c>
    </row>
    <row r="1315" spans="1:4" ht="15" customHeight="1" x14ac:dyDescent="0.2">
      <c r="A1315" s="155" t="s">
        <v>2068</v>
      </c>
      <c r="B1315" s="156">
        <v>125</v>
      </c>
      <c r="C1315" s="155" t="s">
        <v>4</v>
      </c>
      <c r="D1315" s="157" t="s">
        <v>5</v>
      </c>
    </row>
    <row r="1316" spans="1:4" ht="15" customHeight="1" x14ac:dyDescent="0.2">
      <c r="A1316" s="155" t="s">
        <v>1024</v>
      </c>
      <c r="B1316" s="156">
        <v>125</v>
      </c>
      <c r="C1316" s="155" t="s">
        <v>4</v>
      </c>
      <c r="D1316" s="157" t="s">
        <v>5</v>
      </c>
    </row>
    <row r="1317" spans="1:4" ht="15" customHeight="1" x14ac:dyDescent="0.2">
      <c r="A1317" s="155" t="s">
        <v>2060</v>
      </c>
      <c r="B1317" s="156">
        <v>50</v>
      </c>
      <c r="C1317" s="155" t="s">
        <v>4</v>
      </c>
      <c r="D1317" s="157" t="s">
        <v>5</v>
      </c>
    </row>
    <row r="1318" spans="1:4" ht="15" customHeight="1" x14ac:dyDescent="0.2">
      <c r="A1318" s="155" t="s">
        <v>1016</v>
      </c>
      <c r="B1318" s="156">
        <v>125</v>
      </c>
      <c r="C1318" s="155" t="s">
        <v>4</v>
      </c>
      <c r="D1318" s="157" t="s">
        <v>5</v>
      </c>
    </row>
    <row r="1319" spans="1:4" ht="15" customHeight="1" x14ac:dyDescent="0.2">
      <c r="A1319" s="155" t="s">
        <v>2052</v>
      </c>
      <c r="B1319" s="156">
        <v>125</v>
      </c>
      <c r="C1319" s="155" t="s">
        <v>4</v>
      </c>
      <c r="D1319" s="157" t="s">
        <v>5</v>
      </c>
    </row>
    <row r="1320" spans="1:4" ht="15" customHeight="1" x14ac:dyDescent="0.2">
      <c r="A1320" s="155" t="s">
        <v>1005</v>
      </c>
      <c r="B1320" s="156">
        <v>25</v>
      </c>
      <c r="C1320" s="155" t="s">
        <v>4</v>
      </c>
      <c r="D1320" s="157" t="s">
        <v>5</v>
      </c>
    </row>
    <row r="1321" spans="1:4" ht="15" customHeight="1" x14ac:dyDescent="0.2">
      <c r="A1321" s="155" t="s">
        <v>28</v>
      </c>
      <c r="B1321" s="156">
        <v>125</v>
      </c>
      <c r="C1321" s="155" t="s">
        <v>4</v>
      </c>
      <c r="D1321" s="157" t="s">
        <v>5</v>
      </c>
    </row>
    <row r="1322" spans="1:4" ht="15" customHeight="1" x14ac:dyDescent="0.2">
      <c r="A1322" s="155" t="s">
        <v>1064</v>
      </c>
      <c r="B1322" s="156">
        <v>125</v>
      </c>
      <c r="C1322" s="155" t="s">
        <v>4</v>
      </c>
      <c r="D1322" s="157" t="s">
        <v>5</v>
      </c>
    </row>
    <row r="1323" spans="1:4" ht="15" customHeight="1" x14ac:dyDescent="0.2">
      <c r="A1323" s="155" t="s">
        <v>19</v>
      </c>
      <c r="B1323" s="156">
        <v>125</v>
      </c>
      <c r="C1323" s="155" t="s">
        <v>4</v>
      </c>
      <c r="D1323" s="157" t="s">
        <v>5</v>
      </c>
    </row>
    <row r="1324" spans="1:4" ht="15" customHeight="1" x14ac:dyDescent="0.2">
      <c r="A1324" s="155" t="s">
        <v>1056</v>
      </c>
      <c r="B1324" s="156">
        <v>125</v>
      </c>
      <c r="C1324" s="155" t="s">
        <v>4</v>
      </c>
      <c r="D1324" s="157" t="s">
        <v>5</v>
      </c>
    </row>
    <row r="1325" spans="1:4" ht="15" customHeight="1" x14ac:dyDescent="0.2">
      <c r="A1325" s="155" t="s">
        <v>11</v>
      </c>
      <c r="B1325" s="156">
        <v>125</v>
      </c>
      <c r="C1325" s="155" t="s">
        <v>4</v>
      </c>
      <c r="D1325" s="157" t="s">
        <v>5</v>
      </c>
    </row>
    <row r="1326" spans="1:4" ht="15" customHeight="1" x14ac:dyDescent="0.2">
      <c r="A1326" s="155" t="s">
        <v>1048</v>
      </c>
      <c r="B1326" s="156">
        <v>125</v>
      </c>
      <c r="C1326" s="155" t="s">
        <v>4</v>
      </c>
      <c r="D1326" s="157" t="s">
        <v>5</v>
      </c>
    </row>
    <row r="1327" spans="1:4" ht="15" customHeight="1" x14ac:dyDescent="0.2">
      <c r="A1327" s="155" t="s">
        <v>2084</v>
      </c>
      <c r="B1327" s="156">
        <v>900</v>
      </c>
      <c r="C1327" s="155" t="s">
        <v>4</v>
      </c>
      <c r="D1327" s="157" t="s">
        <v>5</v>
      </c>
    </row>
    <row r="1328" spans="1:4" ht="15" customHeight="1" x14ac:dyDescent="0.2">
      <c r="A1328" s="155" t="s">
        <v>1040</v>
      </c>
      <c r="B1328" s="156">
        <v>125</v>
      </c>
      <c r="C1328" s="155" t="s">
        <v>4</v>
      </c>
      <c r="D1328" s="157" t="s">
        <v>5</v>
      </c>
    </row>
    <row r="1329" spans="1:4" ht="15" customHeight="1" x14ac:dyDescent="0.2">
      <c r="A1329" s="155" t="s">
        <v>64</v>
      </c>
      <c r="B1329" s="156">
        <v>125</v>
      </c>
      <c r="C1329" s="155" t="s">
        <v>4</v>
      </c>
      <c r="D1329" s="157" t="s">
        <v>5</v>
      </c>
    </row>
    <row r="1330" spans="1:4" ht="15" customHeight="1" x14ac:dyDescent="0.2">
      <c r="A1330" s="155" t="s">
        <v>1100</v>
      </c>
      <c r="B1330" s="156">
        <v>125</v>
      </c>
      <c r="C1330" s="155" t="s">
        <v>4</v>
      </c>
      <c r="D1330" s="157" t="s">
        <v>5</v>
      </c>
    </row>
    <row r="1331" spans="1:4" ht="15" customHeight="1" x14ac:dyDescent="0.2">
      <c r="A1331" s="155" t="s">
        <v>55</v>
      </c>
      <c r="B1331" s="156">
        <v>125</v>
      </c>
      <c r="C1331" s="155" t="s">
        <v>4</v>
      </c>
      <c r="D1331" s="157" t="s">
        <v>5</v>
      </c>
    </row>
    <row r="1332" spans="1:4" ht="15" customHeight="1" x14ac:dyDescent="0.2">
      <c r="A1332" s="155" t="s">
        <v>1091</v>
      </c>
      <c r="B1332" s="156">
        <v>125</v>
      </c>
      <c r="C1332" s="155" t="s">
        <v>4</v>
      </c>
      <c r="D1332" s="157" t="s">
        <v>5</v>
      </c>
    </row>
    <row r="1333" spans="1:4" ht="15" customHeight="1" x14ac:dyDescent="0.2">
      <c r="A1333" s="155" t="s">
        <v>46</v>
      </c>
      <c r="B1333" s="156">
        <v>125</v>
      </c>
      <c r="C1333" s="155" t="s">
        <v>4</v>
      </c>
      <c r="D1333" s="157" t="s">
        <v>5</v>
      </c>
    </row>
    <row r="1334" spans="1:4" ht="15" customHeight="1" x14ac:dyDescent="0.2">
      <c r="A1334" s="155" t="s">
        <v>1082</v>
      </c>
      <c r="B1334" s="156">
        <v>125</v>
      </c>
      <c r="C1334" s="155" t="s">
        <v>4</v>
      </c>
      <c r="D1334" s="157" t="s">
        <v>5</v>
      </c>
    </row>
    <row r="1335" spans="1:4" ht="15" customHeight="1" x14ac:dyDescent="0.2">
      <c r="A1335" s="155" t="s">
        <v>37</v>
      </c>
      <c r="B1335" s="156">
        <v>125</v>
      </c>
      <c r="C1335" s="155" t="s">
        <v>4</v>
      </c>
      <c r="D1335" s="157" t="s">
        <v>5</v>
      </c>
    </row>
    <row r="1336" spans="1:4" ht="15" customHeight="1" x14ac:dyDescent="0.2">
      <c r="A1336" s="155" t="s">
        <v>1073</v>
      </c>
      <c r="B1336" s="156">
        <v>75</v>
      </c>
      <c r="C1336" s="155" t="s">
        <v>4</v>
      </c>
      <c r="D1336" s="157" t="s">
        <v>5</v>
      </c>
    </row>
    <row r="1337" spans="1:4" ht="15" customHeight="1" x14ac:dyDescent="0.2">
      <c r="A1337" s="155" t="s">
        <v>101</v>
      </c>
      <c r="B1337" s="156">
        <v>125</v>
      </c>
      <c r="C1337" s="155" t="s">
        <v>4</v>
      </c>
      <c r="D1337" s="157" t="s">
        <v>5</v>
      </c>
    </row>
    <row r="1338" spans="1:4" ht="15" customHeight="1" x14ac:dyDescent="0.2">
      <c r="A1338" s="155" t="s">
        <v>1137</v>
      </c>
      <c r="B1338" s="156">
        <v>125</v>
      </c>
      <c r="C1338" s="155" t="s">
        <v>4</v>
      </c>
      <c r="D1338" s="157" t="s">
        <v>5</v>
      </c>
    </row>
    <row r="1339" spans="1:4" ht="15" customHeight="1" x14ac:dyDescent="0.2">
      <c r="A1339" s="155" t="s">
        <v>92</v>
      </c>
      <c r="B1339" s="156">
        <v>125</v>
      </c>
      <c r="C1339" s="155" t="s">
        <v>4</v>
      </c>
      <c r="D1339" s="157" t="s">
        <v>5</v>
      </c>
    </row>
    <row r="1340" spans="1:4" ht="15" customHeight="1" x14ac:dyDescent="0.2">
      <c r="A1340" s="155" t="s">
        <v>1128</v>
      </c>
      <c r="B1340" s="156">
        <v>125</v>
      </c>
      <c r="C1340" s="155" t="s">
        <v>4</v>
      </c>
      <c r="D1340" s="157" t="s">
        <v>5</v>
      </c>
    </row>
    <row r="1341" spans="1:4" ht="15" customHeight="1" x14ac:dyDescent="0.2">
      <c r="A1341" s="155" t="s">
        <v>83</v>
      </c>
      <c r="B1341" s="156">
        <v>50</v>
      </c>
      <c r="C1341" s="155" t="s">
        <v>4</v>
      </c>
      <c r="D1341" s="157" t="s">
        <v>5</v>
      </c>
    </row>
    <row r="1342" spans="1:4" ht="15" customHeight="1" x14ac:dyDescent="0.2">
      <c r="A1342" s="155" t="s">
        <v>1119</v>
      </c>
      <c r="B1342" s="156">
        <v>50</v>
      </c>
      <c r="C1342" s="155" t="s">
        <v>4</v>
      </c>
      <c r="D1342" s="157" t="s">
        <v>5</v>
      </c>
    </row>
    <row r="1343" spans="1:4" ht="15" customHeight="1" x14ac:dyDescent="0.2">
      <c r="A1343" s="155" t="s">
        <v>74</v>
      </c>
      <c r="B1343" s="156">
        <v>50</v>
      </c>
      <c r="C1343" s="155" t="s">
        <v>4</v>
      </c>
      <c r="D1343" s="157" t="s">
        <v>5</v>
      </c>
    </row>
    <row r="1344" spans="1:4" ht="15" customHeight="1" x14ac:dyDescent="0.2">
      <c r="A1344" s="155" t="s">
        <v>1109</v>
      </c>
      <c r="B1344" s="156">
        <v>50</v>
      </c>
      <c r="C1344" s="155" t="s">
        <v>4</v>
      </c>
      <c r="D1344" s="157" t="s">
        <v>5</v>
      </c>
    </row>
    <row r="1345" spans="1:4" ht="15" customHeight="1" x14ac:dyDescent="0.2">
      <c r="A1345" s="155" t="s">
        <v>1698</v>
      </c>
      <c r="B1345" s="156">
        <v>50</v>
      </c>
      <c r="C1345" s="155" t="s">
        <v>4</v>
      </c>
      <c r="D1345" s="157" t="s">
        <v>5</v>
      </c>
    </row>
    <row r="1346" spans="1:4" ht="15" customHeight="1" x14ac:dyDescent="0.2">
      <c r="A1346" s="155" t="s">
        <v>652</v>
      </c>
      <c r="B1346" s="156">
        <v>50</v>
      </c>
      <c r="C1346" s="155" t="s">
        <v>4</v>
      </c>
      <c r="D1346" s="157" t="s">
        <v>5</v>
      </c>
    </row>
    <row r="1347" spans="1:4" ht="15" customHeight="1" x14ac:dyDescent="0.2">
      <c r="A1347" s="155" t="s">
        <v>1691</v>
      </c>
      <c r="B1347" s="156">
        <v>50</v>
      </c>
      <c r="C1347" s="155" t="s">
        <v>4</v>
      </c>
      <c r="D1347" s="157" t="s">
        <v>5</v>
      </c>
    </row>
    <row r="1348" spans="1:4" ht="15" customHeight="1" x14ac:dyDescent="0.2">
      <c r="A1348" s="155" t="s">
        <v>645</v>
      </c>
      <c r="B1348" s="156">
        <v>50</v>
      </c>
      <c r="C1348" s="155" t="s">
        <v>4</v>
      </c>
      <c r="D1348" s="157" t="s">
        <v>5</v>
      </c>
    </row>
    <row r="1349" spans="1:4" ht="15" customHeight="1" x14ac:dyDescent="0.2">
      <c r="A1349" s="155" t="s">
        <v>1684</v>
      </c>
      <c r="B1349" s="156">
        <v>50</v>
      </c>
      <c r="C1349" s="155" t="s">
        <v>4</v>
      </c>
      <c r="D1349" s="157" t="s">
        <v>5</v>
      </c>
    </row>
    <row r="1350" spans="1:4" ht="15" customHeight="1" x14ac:dyDescent="0.2">
      <c r="A1350" s="155" t="s">
        <v>638</v>
      </c>
      <c r="B1350" s="156">
        <v>50</v>
      </c>
      <c r="C1350" s="155" t="s">
        <v>4</v>
      </c>
      <c r="D1350" s="157" t="s">
        <v>5</v>
      </c>
    </row>
    <row r="1351" spans="1:4" ht="15" customHeight="1" x14ac:dyDescent="0.2">
      <c r="A1351" s="155" t="s">
        <v>1676</v>
      </c>
      <c r="B1351" s="156">
        <v>125</v>
      </c>
      <c r="C1351" s="155" t="s">
        <v>4</v>
      </c>
      <c r="D1351" s="157" t="s">
        <v>5</v>
      </c>
    </row>
    <row r="1352" spans="1:4" ht="15" customHeight="1" x14ac:dyDescent="0.2">
      <c r="A1352" s="155" t="s">
        <v>630</v>
      </c>
      <c r="B1352" s="156">
        <v>125</v>
      </c>
      <c r="C1352" s="155" t="s">
        <v>4</v>
      </c>
      <c r="D1352" s="157" t="s">
        <v>5</v>
      </c>
    </row>
    <row r="1353" spans="1:4" ht="15" customHeight="1" x14ac:dyDescent="0.2">
      <c r="A1353" s="155" t="s">
        <v>1727</v>
      </c>
      <c r="B1353" s="156">
        <v>125</v>
      </c>
      <c r="C1353" s="155" t="s">
        <v>4</v>
      </c>
      <c r="D1353" s="157" t="s">
        <v>5</v>
      </c>
    </row>
    <row r="1354" spans="1:4" ht="15" customHeight="1" x14ac:dyDescent="0.2">
      <c r="A1354" s="155" t="s">
        <v>681</v>
      </c>
      <c r="B1354" s="156">
        <v>125</v>
      </c>
      <c r="C1354" s="155" t="s">
        <v>4</v>
      </c>
      <c r="D1354" s="157" t="s">
        <v>5</v>
      </c>
    </row>
    <row r="1355" spans="1:4" ht="15" customHeight="1" x14ac:dyDescent="0.2">
      <c r="A1355" s="155" t="s">
        <v>1720</v>
      </c>
      <c r="B1355" s="156">
        <v>125</v>
      </c>
      <c r="C1355" s="155" t="s">
        <v>4</v>
      </c>
      <c r="D1355" s="157" t="s">
        <v>5</v>
      </c>
    </row>
    <row r="1356" spans="1:4" ht="15" customHeight="1" x14ac:dyDescent="0.2">
      <c r="A1356" s="155" t="s">
        <v>673</v>
      </c>
      <c r="B1356" s="156">
        <v>125</v>
      </c>
      <c r="C1356" s="155" t="s">
        <v>4</v>
      </c>
      <c r="D1356" s="157" t="s">
        <v>5</v>
      </c>
    </row>
    <row r="1357" spans="1:4" ht="15" customHeight="1" x14ac:dyDescent="0.2">
      <c r="A1357" s="155" t="s">
        <v>1712</v>
      </c>
      <c r="B1357" s="156">
        <v>125</v>
      </c>
      <c r="C1357" s="155" t="s">
        <v>4</v>
      </c>
      <c r="D1357" s="157" t="s">
        <v>5</v>
      </c>
    </row>
    <row r="1358" spans="1:4" ht="15" customHeight="1" x14ac:dyDescent="0.2">
      <c r="A1358" s="155" t="s">
        <v>666</v>
      </c>
      <c r="B1358" s="158">
        <v>45.36</v>
      </c>
      <c r="C1358" s="155" t="s">
        <v>4</v>
      </c>
      <c r="D1358" s="157" t="s">
        <v>5</v>
      </c>
    </row>
    <row r="1359" spans="1:4" ht="15" customHeight="1" x14ac:dyDescent="0.2">
      <c r="A1359" s="155" t="s">
        <v>1705</v>
      </c>
      <c r="B1359" s="156">
        <v>125</v>
      </c>
      <c r="C1359" s="155" t="s">
        <v>4</v>
      </c>
      <c r="D1359" s="157" t="s">
        <v>5</v>
      </c>
    </row>
    <row r="1360" spans="1:4" ht="15" customHeight="1" x14ac:dyDescent="0.2">
      <c r="A1360" s="155" t="s">
        <v>659</v>
      </c>
      <c r="B1360" s="156">
        <v>125</v>
      </c>
      <c r="C1360" s="155" t="s">
        <v>4</v>
      </c>
      <c r="D1360" s="157" t="s">
        <v>5</v>
      </c>
    </row>
    <row r="1361" spans="1:4" ht="15" customHeight="1" x14ac:dyDescent="0.2">
      <c r="A1361" s="155" t="s">
        <v>1758</v>
      </c>
      <c r="B1361" s="156">
        <v>125</v>
      </c>
      <c r="C1361" s="155" t="s">
        <v>4</v>
      </c>
      <c r="D1361" s="157" t="s">
        <v>5</v>
      </c>
    </row>
    <row r="1362" spans="1:4" ht="15" customHeight="1" x14ac:dyDescent="0.2">
      <c r="A1362" s="155" t="s">
        <v>711</v>
      </c>
      <c r="B1362" s="156">
        <v>125</v>
      </c>
      <c r="C1362" s="155" t="s">
        <v>4</v>
      </c>
      <c r="D1362" s="157" t="s">
        <v>5</v>
      </c>
    </row>
    <row r="1363" spans="1:4" ht="15" customHeight="1" x14ac:dyDescent="0.2">
      <c r="A1363" s="155" t="s">
        <v>1750</v>
      </c>
      <c r="B1363" s="156">
        <v>125</v>
      </c>
      <c r="C1363" s="155" t="s">
        <v>4</v>
      </c>
      <c r="D1363" s="157" t="s">
        <v>5</v>
      </c>
    </row>
    <row r="1364" spans="1:4" ht="15" customHeight="1" x14ac:dyDescent="0.2">
      <c r="A1364" s="155" t="s">
        <v>703</v>
      </c>
      <c r="B1364" s="156">
        <v>125</v>
      </c>
      <c r="C1364" s="155" t="s">
        <v>4</v>
      </c>
      <c r="D1364" s="157" t="s">
        <v>5</v>
      </c>
    </row>
    <row r="1365" spans="1:4" ht="15" customHeight="1" x14ac:dyDescent="0.2">
      <c r="A1365" s="155" t="s">
        <v>1742</v>
      </c>
      <c r="B1365" s="156">
        <v>200</v>
      </c>
      <c r="C1365" s="155" t="s">
        <v>4</v>
      </c>
      <c r="D1365" s="157" t="s">
        <v>5</v>
      </c>
    </row>
    <row r="1366" spans="1:4" ht="15" customHeight="1" x14ac:dyDescent="0.2">
      <c r="A1366" s="155" t="s">
        <v>695</v>
      </c>
      <c r="B1366" s="156">
        <v>125</v>
      </c>
      <c r="C1366" s="155" t="s">
        <v>4</v>
      </c>
      <c r="D1366" s="157" t="s">
        <v>5</v>
      </c>
    </row>
    <row r="1367" spans="1:4" ht="15" customHeight="1" x14ac:dyDescent="0.2">
      <c r="A1367" s="155" t="s">
        <v>1734</v>
      </c>
      <c r="B1367" s="156">
        <v>125</v>
      </c>
      <c r="C1367" s="155" t="s">
        <v>4</v>
      </c>
      <c r="D1367" s="157" t="s">
        <v>5</v>
      </c>
    </row>
    <row r="1368" spans="1:4" ht="15" customHeight="1" x14ac:dyDescent="0.2">
      <c r="A1368" s="155" t="s">
        <v>688</v>
      </c>
      <c r="B1368" s="156">
        <v>125</v>
      </c>
      <c r="C1368" s="155" t="s">
        <v>4</v>
      </c>
      <c r="D1368" s="157" t="s">
        <v>5</v>
      </c>
    </row>
    <row r="1369" spans="1:4" ht="15" customHeight="1" x14ac:dyDescent="0.2">
      <c r="A1369" s="155" t="s">
        <v>1790</v>
      </c>
      <c r="B1369" s="156">
        <v>25</v>
      </c>
      <c r="C1369" s="155" t="s">
        <v>4</v>
      </c>
      <c r="D1369" s="157" t="s">
        <v>5</v>
      </c>
    </row>
    <row r="1370" spans="1:4" ht="15" customHeight="1" x14ac:dyDescent="0.2">
      <c r="A1370" s="155" t="s">
        <v>743</v>
      </c>
      <c r="B1370" s="156">
        <v>125</v>
      </c>
      <c r="C1370" s="155" t="s">
        <v>4</v>
      </c>
      <c r="D1370" s="157" t="s">
        <v>5</v>
      </c>
    </row>
    <row r="1371" spans="1:4" ht="15" customHeight="1" x14ac:dyDescent="0.2">
      <c r="A1371" s="155" t="s">
        <v>1782</v>
      </c>
      <c r="B1371" s="156">
        <v>125</v>
      </c>
      <c r="C1371" s="155" t="s">
        <v>4</v>
      </c>
      <c r="D1371" s="157" t="s">
        <v>5</v>
      </c>
    </row>
    <row r="1372" spans="1:4" ht="15" customHeight="1" x14ac:dyDescent="0.2">
      <c r="A1372" s="155" t="s">
        <v>735</v>
      </c>
      <c r="B1372" s="156">
        <v>125</v>
      </c>
      <c r="C1372" s="155" t="s">
        <v>4</v>
      </c>
      <c r="D1372" s="157" t="s">
        <v>5</v>
      </c>
    </row>
    <row r="1373" spans="1:4" ht="15" customHeight="1" x14ac:dyDescent="0.2">
      <c r="A1373" s="155" t="s">
        <v>1774</v>
      </c>
      <c r="B1373" s="156">
        <v>2175</v>
      </c>
      <c r="C1373" s="155" t="s">
        <v>4</v>
      </c>
      <c r="D1373" s="157" t="s">
        <v>5</v>
      </c>
    </row>
    <row r="1374" spans="1:4" ht="15" customHeight="1" x14ac:dyDescent="0.2">
      <c r="A1374" s="155" t="s">
        <v>727</v>
      </c>
      <c r="B1374" s="156">
        <v>125</v>
      </c>
      <c r="C1374" s="155" t="s">
        <v>4</v>
      </c>
      <c r="D1374" s="157" t="s">
        <v>5</v>
      </c>
    </row>
    <row r="1375" spans="1:4" ht="15" customHeight="1" x14ac:dyDescent="0.2">
      <c r="A1375" s="155" t="s">
        <v>1766</v>
      </c>
      <c r="B1375" s="156">
        <v>125</v>
      </c>
      <c r="C1375" s="155" t="s">
        <v>4</v>
      </c>
      <c r="D1375" s="157" t="s">
        <v>5</v>
      </c>
    </row>
    <row r="1376" spans="1:4" ht="15" customHeight="1" x14ac:dyDescent="0.2">
      <c r="A1376" s="155" t="s">
        <v>719</v>
      </c>
      <c r="B1376" s="156">
        <v>125</v>
      </c>
      <c r="C1376" s="155" t="s">
        <v>4</v>
      </c>
      <c r="D1376" s="157" t="s">
        <v>5</v>
      </c>
    </row>
    <row r="1377" spans="1:4" ht="15" customHeight="1" x14ac:dyDescent="0.2">
      <c r="A1377" s="155" t="s">
        <v>1822</v>
      </c>
      <c r="B1377" s="158">
        <v>0.46</v>
      </c>
      <c r="C1377" s="155" t="s">
        <v>4</v>
      </c>
      <c r="D1377" s="157" t="s">
        <v>5</v>
      </c>
    </row>
    <row r="1378" spans="1:4" ht="15" customHeight="1" x14ac:dyDescent="0.2">
      <c r="A1378" s="155" t="s">
        <v>775</v>
      </c>
      <c r="B1378" s="156">
        <v>125</v>
      </c>
      <c r="C1378" s="155" t="s">
        <v>4</v>
      </c>
      <c r="D1378" s="157" t="s">
        <v>5</v>
      </c>
    </row>
    <row r="1379" spans="1:4" ht="15" customHeight="1" x14ac:dyDescent="0.2">
      <c r="A1379" s="155" t="s">
        <v>1814</v>
      </c>
      <c r="B1379" s="156">
        <v>125</v>
      </c>
      <c r="C1379" s="155" t="s">
        <v>4</v>
      </c>
      <c r="D1379" s="157" t="s">
        <v>5</v>
      </c>
    </row>
    <row r="1380" spans="1:4" ht="15" customHeight="1" x14ac:dyDescent="0.2">
      <c r="A1380" s="155" t="s">
        <v>767</v>
      </c>
      <c r="B1380" s="156">
        <v>50</v>
      </c>
      <c r="C1380" s="155" t="s">
        <v>4</v>
      </c>
      <c r="D1380" s="157" t="s">
        <v>5</v>
      </c>
    </row>
    <row r="1381" spans="1:4" ht="15" customHeight="1" x14ac:dyDescent="0.2">
      <c r="A1381" s="155" t="s">
        <v>1806</v>
      </c>
      <c r="B1381" s="156">
        <v>50</v>
      </c>
      <c r="C1381" s="155" t="s">
        <v>4</v>
      </c>
      <c r="D1381" s="157" t="s">
        <v>5</v>
      </c>
    </row>
    <row r="1382" spans="1:4" ht="15" customHeight="1" x14ac:dyDescent="0.2">
      <c r="A1382" s="155" t="s">
        <v>759</v>
      </c>
      <c r="B1382" s="156">
        <v>50</v>
      </c>
      <c r="C1382" s="155" t="s">
        <v>4</v>
      </c>
      <c r="D1382" s="157" t="s">
        <v>5</v>
      </c>
    </row>
    <row r="1383" spans="1:4" ht="15" customHeight="1" x14ac:dyDescent="0.2">
      <c r="A1383" s="155" t="s">
        <v>1798</v>
      </c>
      <c r="B1383" s="156">
        <v>50</v>
      </c>
      <c r="C1383" s="155" t="s">
        <v>4</v>
      </c>
      <c r="D1383" s="157" t="s">
        <v>5</v>
      </c>
    </row>
    <row r="1384" spans="1:4" ht="15" customHeight="1" x14ac:dyDescent="0.2">
      <c r="A1384" s="155" t="s">
        <v>751</v>
      </c>
      <c r="B1384" s="156">
        <v>50</v>
      </c>
      <c r="C1384" s="155" t="s">
        <v>4</v>
      </c>
      <c r="D1384" s="157" t="s">
        <v>5</v>
      </c>
    </row>
    <row r="1385" spans="1:4" ht="15" customHeight="1" x14ac:dyDescent="0.2">
      <c r="A1385" s="155" t="s">
        <v>1855</v>
      </c>
      <c r="B1385" s="156">
        <v>50</v>
      </c>
      <c r="C1385" s="155" t="s">
        <v>4</v>
      </c>
      <c r="D1385" s="157" t="s">
        <v>5</v>
      </c>
    </row>
    <row r="1386" spans="1:4" ht="15" customHeight="1" x14ac:dyDescent="0.2">
      <c r="A1386" s="155" t="s">
        <v>808</v>
      </c>
      <c r="B1386" s="156">
        <v>50</v>
      </c>
      <c r="C1386" s="155" t="s">
        <v>4</v>
      </c>
      <c r="D1386" s="157" t="s">
        <v>5</v>
      </c>
    </row>
    <row r="1387" spans="1:4" ht="15" customHeight="1" x14ac:dyDescent="0.2">
      <c r="A1387" s="155" t="s">
        <v>1847</v>
      </c>
      <c r="B1387" s="156">
        <v>50</v>
      </c>
      <c r="C1387" s="155" t="s">
        <v>4</v>
      </c>
      <c r="D1387" s="157" t="s">
        <v>5</v>
      </c>
    </row>
    <row r="1388" spans="1:4" ht="15" customHeight="1" x14ac:dyDescent="0.2">
      <c r="A1388" s="155" t="s">
        <v>800</v>
      </c>
      <c r="B1388" s="156">
        <v>50</v>
      </c>
      <c r="C1388" s="155" t="s">
        <v>4</v>
      </c>
      <c r="D1388" s="157" t="s">
        <v>5</v>
      </c>
    </row>
    <row r="1389" spans="1:4" ht="15" customHeight="1" x14ac:dyDescent="0.2">
      <c r="A1389" s="155" t="s">
        <v>1839</v>
      </c>
      <c r="B1389" s="156">
        <v>50</v>
      </c>
      <c r="C1389" s="155" t="s">
        <v>4</v>
      </c>
      <c r="D1389" s="157" t="s">
        <v>5</v>
      </c>
    </row>
    <row r="1390" spans="1:4" ht="15" customHeight="1" x14ac:dyDescent="0.2">
      <c r="A1390" s="155" t="s">
        <v>792</v>
      </c>
      <c r="B1390" s="156">
        <v>50</v>
      </c>
      <c r="C1390" s="155" t="s">
        <v>4</v>
      </c>
      <c r="D1390" s="157" t="s">
        <v>5</v>
      </c>
    </row>
    <row r="1391" spans="1:4" ht="15" customHeight="1" x14ac:dyDescent="0.2">
      <c r="A1391" s="155" t="s">
        <v>1831</v>
      </c>
      <c r="B1391" s="156">
        <v>50</v>
      </c>
      <c r="C1391" s="155" t="s">
        <v>4</v>
      </c>
      <c r="D1391" s="157" t="s">
        <v>5</v>
      </c>
    </row>
    <row r="1392" spans="1:4" ht="15" customHeight="1" x14ac:dyDescent="0.2">
      <c r="A1392" s="155" t="s">
        <v>783</v>
      </c>
      <c r="B1392" s="156">
        <v>50</v>
      </c>
      <c r="C1392" s="155" t="s">
        <v>4</v>
      </c>
      <c r="D1392" s="157" t="s">
        <v>5</v>
      </c>
    </row>
    <row r="1393" spans="1:4" ht="15" customHeight="1" x14ac:dyDescent="0.2">
      <c r="A1393" s="155" t="s">
        <v>1888</v>
      </c>
      <c r="B1393" s="156">
        <v>50</v>
      </c>
      <c r="C1393" s="155" t="s">
        <v>4</v>
      </c>
      <c r="D1393" s="157" t="s">
        <v>5</v>
      </c>
    </row>
    <row r="1394" spans="1:4" ht="15" customHeight="1" x14ac:dyDescent="0.2">
      <c r="A1394" s="155" t="s">
        <v>841</v>
      </c>
      <c r="B1394" s="156">
        <v>50</v>
      </c>
      <c r="C1394" s="155" t="s">
        <v>4</v>
      </c>
      <c r="D1394" s="157" t="s">
        <v>5</v>
      </c>
    </row>
    <row r="1395" spans="1:4" ht="15" customHeight="1" x14ac:dyDescent="0.2">
      <c r="A1395" s="155" t="s">
        <v>1880</v>
      </c>
      <c r="B1395" s="156">
        <v>50</v>
      </c>
      <c r="C1395" s="155" t="s">
        <v>4</v>
      </c>
      <c r="D1395" s="157" t="s">
        <v>5</v>
      </c>
    </row>
    <row r="1396" spans="1:4" ht="15" customHeight="1" x14ac:dyDescent="0.2">
      <c r="A1396" s="155" t="s">
        <v>833</v>
      </c>
      <c r="B1396" s="156">
        <v>50</v>
      </c>
      <c r="C1396" s="155" t="s">
        <v>4</v>
      </c>
      <c r="D1396" s="157" t="s">
        <v>5</v>
      </c>
    </row>
    <row r="1397" spans="1:4" ht="15" customHeight="1" x14ac:dyDescent="0.2">
      <c r="A1397" s="155" t="s">
        <v>1872</v>
      </c>
      <c r="B1397" s="156">
        <v>50</v>
      </c>
      <c r="C1397" s="155" t="s">
        <v>4</v>
      </c>
      <c r="D1397" s="157" t="s">
        <v>5</v>
      </c>
    </row>
    <row r="1398" spans="1:4" ht="15" customHeight="1" x14ac:dyDescent="0.2">
      <c r="A1398" s="155" t="s">
        <v>824</v>
      </c>
      <c r="B1398" s="156">
        <v>50</v>
      </c>
      <c r="C1398" s="155" t="s">
        <v>4</v>
      </c>
      <c r="D1398" s="157" t="s">
        <v>5</v>
      </c>
    </row>
    <row r="1399" spans="1:4" ht="15" customHeight="1" x14ac:dyDescent="0.2">
      <c r="A1399" s="155" t="s">
        <v>1863</v>
      </c>
      <c r="B1399" s="156">
        <v>50</v>
      </c>
      <c r="C1399" s="155" t="s">
        <v>4</v>
      </c>
      <c r="D1399" s="157" t="s">
        <v>5</v>
      </c>
    </row>
    <row r="1400" spans="1:4" ht="15" customHeight="1" x14ac:dyDescent="0.2">
      <c r="A1400" s="155" t="s">
        <v>816</v>
      </c>
      <c r="B1400" s="156">
        <v>50</v>
      </c>
      <c r="C1400" s="155" t="s">
        <v>4</v>
      </c>
      <c r="D1400" s="157" t="s">
        <v>5</v>
      </c>
    </row>
    <row r="1401" spans="1:4" ht="15" customHeight="1" x14ac:dyDescent="0.2">
      <c r="A1401" s="155" t="s">
        <v>1916</v>
      </c>
      <c r="B1401" s="156">
        <v>50</v>
      </c>
      <c r="C1401" s="155" t="s">
        <v>4</v>
      </c>
      <c r="D1401" s="157" t="s">
        <v>5</v>
      </c>
    </row>
    <row r="1402" spans="1:4" ht="15" customHeight="1" x14ac:dyDescent="0.2">
      <c r="A1402" s="155" t="s">
        <v>869</v>
      </c>
      <c r="B1402" s="156">
        <v>50</v>
      </c>
      <c r="C1402" s="155" t="s">
        <v>4</v>
      </c>
      <c r="D1402" s="157" t="s">
        <v>5</v>
      </c>
    </row>
    <row r="1403" spans="1:4" ht="15" customHeight="1" x14ac:dyDescent="0.2">
      <c r="A1403" s="155" t="s">
        <v>1912</v>
      </c>
      <c r="B1403" s="156">
        <v>125</v>
      </c>
      <c r="C1403" s="155" t="s">
        <v>4</v>
      </c>
      <c r="D1403" s="157" t="s">
        <v>5</v>
      </c>
    </row>
    <row r="1404" spans="1:4" ht="15" customHeight="1" x14ac:dyDescent="0.2">
      <c r="A1404" s="155" t="s">
        <v>865</v>
      </c>
      <c r="B1404" s="156">
        <v>40</v>
      </c>
      <c r="C1404" s="155" t="s">
        <v>4</v>
      </c>
      <c r="D1404" s="157" t="s">
        <v>5</v>
      </c>
    </row>
    <row r="1405" spans="1:4" ht="15" customHeight="1" x14ac:dyDescent="0.2">
      <c r="A1405" s="155" t="s">
        <v>1904</v>
      </c>
      <c r="B1405" s="156">
        <v>125</v>
      </c>
      <c r="C1405" s="155" t="s">
        <v>4</v>
      </c>
      <c r="D1405" s="157" t="s">
        <v>5</v>
      </c>
    </row>
    <row r="1406" spans="1:4" ht="15" customHeight="1" x14ac:dyDescent="0.2">
      <c r="A1406" s="155" t="s">
        <v>857</v>
      </c>
      <c r="B1406" s="156">
        <v>40</v>
      </c>
      <c r="C1406" s="155" t="s">
        <v>4</v>
      </c>
      <c r="D1406" s="157" t="s">
        <v>5</v>
      </c>
    </row>
    <row r="1407" spans="1:4" ht="15" customHeight="1" x14ac:dyDescent="0.2">
      <c r="A1407" s="155" t="s">
        <v>1896</v>
      </c>
      <c r="B1407" s="156">
        <v>125</v>
      </c>
      <c r="C1407" s="155" t="s">
        <v>4</v>
      </c>
      <c r="D1407" s="157" t="s">
        <v>5</v>
      </c>
    </row>
    <row r="1408" spans="1:4" ht="15" customHeight="1" x14ac:dyDescent="0.2">
      <c r="A1408" s="155" t="s">
        <v>849</v>
      </c>
      <c r="B1408" s="156">
        <v>125</v>
      </c>
      <c r="C1408" s="155" t="s">
        <v>4</v>
      </c>
      <c r="D1408" s="157" t="s">
        <v>5</v>
      </c>
    </row>
    <row r="1409" spans="1:4" ht="15" customHeight="1" x14ac:dyDescent="0.2">
      <c r="A1409" s="155" t="s">
        <v>397</v>
      </c>
      <c r="B1409" s="156">
        <v>125</v>
      </c>
      <c r="C1409" s="155" t="s">
        <v>4</v>
      </c>
      <c r="D1409" s="157" t="s">
        <v>5</v>
      </c>
    </row>
    <row r="1410" spans="1:4" ht="15" customHeight="1" x14ac:dyDescent="0.2">
      <c r="A1410" s="155" t="s">
        <v>1436</v>
      </c>
      <c r="B1410" s="156">
        <v>125</v>
      </c>
      <c r="C1410" s="155" t="s">
        <v>4</v>
      </c>
      <c r="D1410" s="157" t="s">
        <v>5</v>
      </c>
    </row>
    <row r="1411" spans="1:4" ht="15" customHeight="1" x14ac:dyDescent="0.2">
      <c r="A1411" s="155" t="s">
        <v>389</v>
      </c>
      <c r="B1411" s="156">
        <v>125</v>
      </c>
      <c r="C1411" s="155" t="s">
        <v>4</v>
      </c>
      <c r="D1411" s="157" t="s">
        <v>5</v>
      </c>
    </row>
    <row r="1412" spans="1:4" ht="15" customHeight="1" x14ac:dyDescent="0.2">
      <c r="A1412" s="155" t="s">
        <v>1428</v>
      </c>
      <c r="B1412" s="156">
        <v>125</v>
      </c>
      <c r="C1412" s="155" t="s">
        <v>4</v>
      </c>
      <c r="D1412" s="157" t="s">
        <v>5</v>
      </c>
    </row>
    <row r="1413" spans="1:4" ht="15" customHeight="1" x14ac:dyDescent="0.2">
      <c r="A1413" s="155" t="s">
        <v>381</v>
      </c>
      <c r="B1413" s="156">
        <v>1100</v>
      </c>
      <c r="C1413" s="155" t="s">
        <v>4</v>
      </c>
      <c r="D1413" s="157" t="s">
        <v>5</v>
      </c>
    </row>
    <row r="1414" spans="1:4" ht="15" customHeight="1" x14ac:dyDescent="0.2">
      <c r="A1414" s="155" t="s">
        <v>1420</v>
      </c>
      <c r="B1414" s="156">
        <v>50</v>
      </c>
      <c r="C1414" s="155" t="s">
        <v>4</v>
      </c>
      <c r="D1414" s="157" t="s">
        <v>5</v>
      </c>
    </row>
    <row r="1415" spans="1:4" ht="15" customHeight="1" x14ac:dyDescent="0.2">
      <c r="A1415" s="155" t="s">
        <v>373</v>
      </c>
      <c r="B1415" s="156">
        <v>50</v>
      </c>
      <c r="C1415" s="155" t="s">
        <v>4</v>
      </c>
      <c r="D1415" s="157" t="s">
        <v>5</v>
      </c>
    </row>
    <row r="1416" spans="1:4" ht="15" customHeight="1" x14ac:dyDescent="0.2">
      <c r="A1416" s="155" t="s">
        <v>1412</v>
      </c>
      <c r="B1416" s="156">
        <v>50</v>
      </c>
      <c r="C1416" s="155" t="s">
        <v>4</v>
      </c>
      <c r="D1416" s="157" t="s">
        <v>5</v>
      </c>
    </row>
    <row r="1417" spans="1:4" ht="15" customHeight="1" x14ac:dyDescent="0.2">
      <c r="A1417" s="155" t="s">
        <v>425</v>
      </c>
      <c r="B1417" s="156">
        <v>50</v>
      </c>
      <c r="C1417" s="155" t="s">
        <v>4</v>
      </c>
      <c r="D1417" s="157" t="s">
        <v>5</v>
      </c>
    </row>
    <row r="1418" spans="1:4" ht="15" customHeight="1" x14ac:dyDescent="0.2">
      <c r="A1418" s="155" t="s">
        <v>1464</v>
      </c>
      <c r="B1418" s="156">
        <v>50</v>
      </c>
      <c r="C1418" s="155" t="s">
        <v>4</v>
      </c>
      <c r="D1418" s="157" t="s">
        <v>5</v>
      </c>
    </row>
    <row r="1419" spans="1:4" ht="15" customHeight="1" x14ac:dyDescent="0.2">
      <c r="A1419" s="155" t="s">
        <v>417</v>
      </c>
      <c r="B1419" s="156">
        <v>50</v>
      </c>
      <c r="C1419" s="155" t="s">
        <v>4</v>
      </c>
      <c r="D1419" s="157" t="s">
        <v>5</v>
      </c>
    </row>
    <row r="1420" spans="1:4" ht="15" customHeight="1" x14ac:dyDescent="0.2">
      <c r="A1420" s="155" t="s">
        <v>1456</v>
      </c>
      <c r="B1420" s="156">
        <v>50</v>
      </c>
      <c r="C1420" s="155" t="s">
        <v>4</v>
      </c>
      <c r="D1420" s="157" t="s">
        <v>5</v>
      </c>
    </row>
    <row r="1421" spans="1:4" ht="15" customHeight="1" x14ac:dyDescent="0.2">
      <c r="A1421" s="155" t="s">
        <v>409</v>
      </c>
      <c r="B1421" s="156">
        <v>50</v>
      </c>
      <c r="C1421" s="155" t="s">
        <v>4</v>
      </c>
      <c r="D1421" s="157" t="s">
        <v>5</v>
      </c>
    </row>
    <row r="1422" spans="1:4" ht="15" customHeight="1" x14ac:dyDescent="0.2">
      <c r="A1422" s="155" t="s">
        <v>1448</v>
      </c>
      <c r="B1422" s="156">
        <v>50</v>
      </c>
      <c r="C1422" s="155" t="s">
        <v>4</v>
      </c>
      <c r="D1422" s="157" t="s">
        <v>5</v>
      </c>
    </row>
    <row r="1423" spans="1:4" ht="15" customHeight="1" x14ac:dyDescent="0.2">
      <c r="A1423" s="155" t="s">
        <v>405</v>
      </c>
      <c r="B1423" s="156">
        <v>125</v>
      </c>
      <c r="C1423" s="155" t="s">
        <v>4</v>
      </c>
      <c r="D1423" s="157" t="s">
        <v>5</v>
      </c>
    </row>
    <row r="1424" spans="1:4" ht="15" customHeight="1" x14ac:dyDescent="0.2">
      <c r="A1424" s="155" t="s">
        <v>1444</v>
      </c>
      <c r="B1424" s="156">
        <v>125</v>
      </c>
      <c r="C1424" s="155" t="s">
        <v>4</v>
      </c>
      <c r="D1424" s="157" t="s">
        <v>5</v>
      </c>
    </row>
    <row r="1425" spans="1:4" ht="15" customHeight="1" x14ac:dyDescent="0.2">
      <c r="A1425" s="155" t="s">
        <v>458</v>
      </c>
      <c r="B1425" s="156">
        <v>125</v>
      </c>
      <c r="C1425" s="155" t="s">
        <v>4</v>
      </c>
      <c r="D1425" s="157" t="s">
        <v>5</v>
      </c>
    </row>
    <row r="1426" spans="1:4" ht="15" customHeight="1" x14ac:dyDescent="0.2">
      <c r="A1426" s="155" t="s">
        <v>1497</v>
      </c>
      <c r="B1426" s="156">
        <v>25</v>
      </c>
      <c r="C1426" s="155" t="s">
        <v>4</v>
      </c>
      <c r="D1426" s="157" t="s">
        <v>5</v>
      </c>
    </row>
    <row r="1427" spans="1:4" ht="15" customHeight="1" x14ac:dyDescent="0.2">
      <c r="A1427" s="155" t="s">
        <v>450</v>
      </c>
      <c r="B1427" s="156">
        <v>125</v>
      </c>
      <c r="C1427" s="155" t="s">
        <v>4</v>
      </c>
      <c r="D1427" s="157" t="s">
        <v>5</v>
      </c>
    </row>
    <row r="1428" spans="1:4" ht="15" customHeight="1" x14ac:dyDescent="0.2">
      <c r="A1428" s="155" t="s">
        <v>1489</v>
      </c>
      <c r="B1428" s="156">
        <v>125</v>
      </c>
      <c r="C1428" s="155" t="s">
        <v>4</v>
      </c>
      <c r="D1428" s="157" t="s">
        <v>5</v>
      </c>
    </row>
    <row r="1429" spans="1:4" ht="15" customHeight="1" x14ac:dyDescent="0.2">
      <c r="A1429" s="155" t="s">
        <v>441</v>
      </c>
      <c r="B1429" s="156">
        <v>125</v>
      </c>
      <c r="C1429" s="155" t="s">
        <v>4</v>
      </c>
      <c r="D1429" s="157" t="s">
        <v>5</v>
      </c>
    </row>
    <row r="1430" spans="1:4" ht="15" customHeight="1" x14ac:dyDescent="0.2">
      <c r="A1430" s="155" t="s">
        <v>1480</v>
      </c>
      <c r="B1430" s="156">
        <v>125</v>
      </c>
      <c r="C1430" s="155" t="s">
        <v>4</v>
      </c>
      <c r="D1430" s="157" t="s">
        <v>5</v>
      </c>
    </row>
    <row r="1431" spans="1:4" ht="15" customHeight="1" x14ac:dyDescent="0.2">
      <c r="A1431" s="155" t="s">
        <v>433</v>
      </c>
      <c r="B1431" s="156">
        <v>140</v>
      </c>
      <c r="C1431" s="155" t="s">
        <v>4</v>
      </c>
      <c r="D1431" s="157" t="s">
        <v>5</v>
      </c>
    </row>
    <row r="1432" spans="1:4" ht="15" customHeight="1" x14ac:dyDescent="0.2">
      <c r="A1432" s="155" t="s">
        <v>1472</v>
      </c>
      <c r="B1432" s="156">
        <v>125</v>
      </c>
      <c r="C1432" s="155" t="s">
        <v>4</v>
      </c>
      <c r="D1432" s="157" t="s">
        <v>5</v>
      </c>
    </row>
    <row r="1433" spans="1:4" ht="15" customHeight="1" x14ac:dyDescent="0.2">
      <c r="A1433" s="155" t="s">
        <v>491</v>
      </c>
      <c r="B1433" s="156">
        <v>125</v>
      </c>
      <c r="C1433" s="155" t="s">
        <v>4</v>
      </c>
      <c r="D1433" s="157" t="s">
        <v>5</v>
      </c>
    </row>
    <row r="1434" spans="1:4" ht="15" customHeight="1" x14ac:dyDescent="0.2">
      <c r="A1434" s="155" t="s">
        <v>1529</v>
      </c>
      <c r="B1434" s="156">
        <v>125</v>
      </c>
      <c r="C1434" s="155" t="s">
        <v>4</v>
      </c>
      <c r="D1434" s="157" t="s">
        <v>5</v>
      </c>
    </row>
    <row r="1435" spans="1:4" ht="15" customHeight="1" x14ac:dyDescent="0.2">
      <c r="A1435" s="155" t="s">
        <v>482</v>
      </c>
      <c r="B1435" s="156">
        <v>125</v>
      </c>
      <c r="C1435" s="155" t="s">
        <v>4</v>
      </c>
      <c r="D1435" s="157" t="s">
        <v>5</v>
      </c>
    </row>
    <row r="1436" spans="1:4" ht="15" customHeight="1" x14ac:dyDescent="0.2">
      <c r="A1436" s="155" t="s">
        <v>1521</v>
      </c>
      <c r="B1436" s="156">
        <v>250</v>
      </c>
      <c r="C1436" s="155" t="s">
        <v>4</v>
      </c>
      <c r="D1436" s="157" t="s">
        <v>5</v>
      </c>
    </row>
    <row r="1437" spans="1:4" ht="15" customHeight="1" x14ac:dyDescent="0.2">
      <c r="A1437" s="155" t="s">
        <v>474</v>
      </c>
      <c r="B1437" s="156">
        <v>125</v>
      </c>
      <c r="C1437" s="155" t="s">
        <v>4</v>
      </c>
      <c r="D1437" s="157" t="s">
        <v>5</v>
      </c>
    </row>
    <row r="1438" spans="1:4" ht="15" customHeight="1" x14ac:dyDescent="0.2">
      <c r="A1438" s="155" t="s">
        <v>1513</v>
      </c>
      <c r="B1438" s="156">
        <v>125</v>
      </c>
      <c r="C1438" s="155" t="s">
        <v>4</v>
      </c>
      <c r="D1438" s="157" t="s">
        <v>5</v>
      </c>
    </row>
    <row r="1439" spans="1:4" ht="15" customHeight="1" x14ac:dyDescent="0.2">
      <c r="A1439" s="155" t="s">
        <v>466</v>
      </c>
      <c r="B1439" s="156">
        <v>125</v>
      </c>
      <c r="C1439" s="155" t="s">
        <v>4</v>
      </c>
      <c r="D1439" s="157" t="s">
        <v>5</v>
      </c>
    </row>
    <row r="1440" spans="1:4" ht="15" customHeight="1" x14ac:dyDescent="0.2">
      <c r="A1440" s="155" t="s">
        <v>1505</v>
      </c>
      <c r="B1440" s="156">
        <v>125</v>
      </c>
      <c r="C1440" s="155" t="s">
        <v>4</v>
      </c>
      <c r="D1440" s="157" t="s">
        <v>5</v>
      </c>
    </row>
    <row r="1441" spans="1:4" ht="15" customHeight="1" x14ac:dyDescent="0.2">
      <c r="A1441" s="155" t="s">
        <v>523</v>
      </c>
      <c r="B1441" s="156">
        <v>125</v>
      </c>
      <c r="C1441" s="155" t="s">
        <v>4</v>
      </c>
      <c r="D1441" s="157" t="s">
        <v>5</v>
      </c>
    </row>
    <row r="1442" spans="1:4" ht="15" customHeight="1" x14ac:dyDescent="0.2">
      <c r="A1442" s="155" t="s">
        <v>1562</v>
      </c>
      <c r="B1442" s="156">
        <v>125</v>
      </c>
      <c r="C1442" s="155" t="s">
        <v>4</v>
      </c>
      <c r="D1442" s="157" t="s">
        <v>5</v>
      </c>
    </row>
    <row r="1443" spans="1:4" ht="15" customHeight="1" x14ac:dyDescent="0.2">
      <c r="A1443" s="155" t="s">
        <v>515</v>
      </c>
      <c r="B1443" s="156">
        <v>125</v>
      </c>
      <c r="C1443" s="155" t="s">
        <v>4</v>
      </c>
      <c r="D1443" s="157" t="s">
        <v>5</v>
      </c>
    </row>
    <row r="1444" spans="1:4" ht="15" customHeight="1" x14ac:dyDescent="0.2">
      <c r="A1444" s="155" t="s">
        <v>1554</v>
      </c>
      <c r="B1444" s="156">
        <v>125</v>
      </c>
      <c r="C1444" s="155" t="s">
        <v>4</v>
      </c>
      <c r="D1444" s="157" t="s">
        <v>5</v>
      </c>
    </row>
    <row r="1445" spans="1:4" ht="15" customHeight="1" x14ac:dyDescent="0.2">
      <c r="A1445" s="155" t="s">
        <v>507</v>
      </c>
      <c r="B1445" s="156">
        <v>550</v>
      </c>
      <c r="C1445" s="155" t="s">
        <v>4</v>
      </c>
      <c r="D1445" s="157" t="s">
        <v>5</v>
      </c>
    </row>
    <row r="1446" spans="1:4" ht="15" customHeight="1" x14ac:dyDescent="0.2">
      <c r="A1446" s="155" t="s">
        <v>1546</v>
      </c>
      <c r="B1446" s="156">
        <v>50</v>
      </c>
      <c r="C1446" s="155" t="s">
        <v>4</v>
      </c>
      <c r="D1446" s="157" t="s">
        <v>5</v>
      </c>
    </row>
    <row r="1447" spans="1:4" ht="15" customHeight="1" x14ac:dyDescent="0.2">
      <c r="A1447" s="155" t="s">
        <v>499</v>
      </c>
      <c r="B1447" s="156">
        <v>125</v>
      </c>
      <c r="C1447" s="155" t="s">
        <v>4</v>
      </c>
      <c r="D1447" s="157" t="s">
        <v>5</v>
      </c>
    </row>
    <row r="1448" spans="1:4" ht="15" customHeight="1" x14ac:dyDescent="0.2">
      <c r="A1448" s="155" t="s">
        <v>1538</v>
      </c>
      <c r="B1448" s="156">
        <v>125</v>
      </c>
      <c r="C1448" s="155" t="s">
        <v>4</v>
      </c>
      <c r="D1448" s="157" t="s">
        <v>5</v>
      </c>
    </row>
    <row r="1449" spans="1:4" ht="15" customHeight="1" x14ac:dyDescent="0.2">
      <c r="A1449" s="155" t="s">
        <v>555</v>
      </c>
      <c r="B1449" s="156">
        <v>2000</v>
      </c>
      <c r="C1449" s="155" t="s">
        <v>4</v>
      </c>
      <c r="D1449" s="157" t="s">
        <v>5</v>
      </c>
    </row>
    <row r="1450" spans="1:4" ht="15" customHeight="1" x14ac:dyDescent="0.2">
      <c r="A1450" s="155" t="s">
        <v>1594</v>
      </c>
      <c r="B1450" s="156">
        <v>125</v>
      </c>
      <c r="C1450" s="155" t="s">
        <v>4</v>
      </c>
      <c r="D1450" s="157" t="s">
        <v>5</v>
      </c>
    </row>
    <row r="1451" spans="1:4" ht="15" customHeight="1" x14ac:dyDescent="0.2">
      <c r="A1451" s="155" t="s">
        <v>547</v>
      </c>
      <c r="B1451" s="156">
        <v>60</v>
      </c>
      <c r="C1451" s="155" t="s">
        <v>4</v>
      </c>
      <c r="D1451" s="157" t="s">
        <v>5</v>
      </c>
    </row>
    <row r="1452" spans="1:4" ht="15" customHeight="1" x14ac:dyDescent="0.2">
      <c r="A1452" s="155" t="s">
        <v>1586</v>
      </c>
      <c r="B1452" s="156">
        <v>125</v>
      </c>
      <c r="C1452" s="155" t="s">
        <v>4</v>
      </c>
      <c r="D1452" s="157" t="s">
        <v>5</v>
      </c>
    </row>
    <row r="1453" spans="1:4" ht="15" customHeight="1" x14ac:dyDescent="0.2">
      <c r="A1453" s="155" t="s">
        <v>539</v>
      </c>
      <c r="B1453" s="156">
        <v>200</v>
      </c>
      <c r="C1453" s="155" t="s">
        <v>4</v>
      </c>
      <c r="D1453" s="157" t="s">
        <v>5</v>
      </c>
    </row>
    <row r="1454" spans="1:4" ht="15" customHeight="1" x14ac:dyDescent="0.2">
      <c r="A1454" s="155" t="s">
        <v>1578</v>
      </c>
      <c r="B1454" s="156">
        <v>125</v>
      </c>
      <c r="C1454" s="155" t="s">
        <v>4</v>
      </c>
      <c r="D1454" s="157" t="s">
        <v>5</v>
      </c>
    </row>
    <row r="1455" spans="1:4" ht="15" customHeight="1" x14ac:dyDescent="0.2">
      <c r="A1455" s="155" t="s">
        <v>531</v>
      </c>
      <c r="B1455" s="156">
        <v>125</v>
      </c>
      <c r="C1455" s="155" t="s">
        <v>4</v>
      </c>
      <c r="D1455" s="157" t="s">
        <v>5</v>
      </c>
    </row>
    <row r="1456" spans="1:4" ht="15" customHeight="1" x14ac:dyDescent="0.2">
      <c r="A1456" s="155" t="s">
        <v>1570</v>
      </c>
      <c r="B1456" s="156">
        <v>125</v>
      </c>
      <c r="C1456" s="155" t="s">
        <v>4</v>
      </c>
      <c r="D1456" s="157" t="s">
        <v>5</v>
      </c>
    </row>
    <row r="1457" spans="1:4" ht="15" customHeight="1" x14ac:dyDescent="0.2">
      <c r="A1457" s="155" t="s">
        <v>587</v>
      </c>
      <c r="B1457" s="156">
        <v>125</v>
      </c>
      <c r="C1457" s="155" t="s">
        <v>4</v>
      </c>
      <c r="D1457" s="157" t="s">
        <v>5</v>
      </c>
    </row>
    <row r="1458" spans="1:4" ht="15" customHeight="1" x14ac:dyDescent="0.2">
      <c r="A1458" s="155" t="s">
        <v>1626</v>
      </c>
      <c r="B1458" s="156">
        <v>125</v>
      </c>
      <c r="C1458" s="155" t="s">
        <v>4</v>
      </c>
      <c r="D1458" s="157" t="s">
        <v>5</v>
      </c>
    </row>
    <row r="1459" spans="1:4" ht="15" customHeight="1" x14ac:dyDescent="0.2">
      <c r="A1459" s="155" t="s">
        <v>579</v>
      </c>
      <c r="B1459" s="156">
        <v>125</v>
      </c>
      <c r="C1459" s="155" t="s">
        <v>4</v>
      </c>
      <c r="D1459" s="157" t="s">
        <v>5</v>
      </c>
    </row>
    <row r="1460" spans="1:4" ht="15" customHeight="1" x14ac:dyDescent="0.2">
      <c r="A1460" s="155" t="s">
        <v>1618</v>
      </c>
      <c r="B1460" s="156">
        <v>125</v>
      </c>
      <c r="C1460" s="155" t="s">
        <v>4</v>
      </c>
      <c r="D1460" s="157" t="s">
        <v>5</v>
      </c>
    </row>
    <row r="1461" spans="1:4" ht="15" customHeight="1" x14ac:dyDescent="0.2">
      <c r="A1461" s="155" t="s">
        <v>571</v>
      </c>
      <c r="B1461" s="156">
        <v>125</v>
      </c>
      <c r="C1461" s="155" t="s">
        <v>4</v>
      </c>
      <c r="D1461" s="157" t="s">
        <v>5</v>
      </c>
    </row>
    <row r="1462" spans="1:4" ht="15" customHeight="1" x14ac:dyDescent="0.2">
      <c r="A1462" s="155" t="s">
        <v>1610</v>
      </c>
      <c r="B1462" s="156">
        <v>125</v>
      </c>
      <c r="C1462" s="155" t="s">
        <v>4</v>
      </c>
      <c r="D1462" s="157" t="s">
        <v>5</v>
      </c>
    </row>
    <row r="1463" spans="1:4" ht="15" customHeight="1" x14ac:dyDescent="0.2">
      <c r="A1463" s="155" t="s">
        <v>563</v>
      </c>
      <c r="B1463" s="156">
        <v>125</v>
      </c>
      <c r="C1463" s="155" t="s">
        <v>4</v>
      </c>
      <c r="D1463" s="157" t="s">
        <v>5</v>
      </c>
    </row>
    <row r="1464" spans="1:4" ht="15" customHeight="1" x14ac:dyDescent="0.2">
      <c r="A1464" s="155" t="s">
        <v>1602</v>
      </c>
      <c r="B1464" s="156">
        <v>125</v>
      </c>
      <c r="C1464" s="155" t="s">
        <v>4</v>
      </c>
      <c r="D1464" s="157" t="s">
        <v>5</v>
      </c>
    </row>
    <row r="1465" spans="1:4" ht="15" customHeight="1" x14ac:dyDescent="0.2">
      <c r="A1465" s="155" t="s">
        <v>617</v>
      </c>
      <c r="B1465" s="156">
        <v>125</v>
      </c>
      <c r="C1465" s="155" t="s">
        <v>4</v>
      </c>
      <c r="D1465" s="157" t="s">
        <v>5</v>
      </c>
    </row>
    <row r="1466" spans="1:4" ht="15" customHeight="1" x14ac:dyDescent="0.2">
      <c r="A1466" s="155" t="s">
        <v>1656</v>
      </c>
      <c r="B1466" s="156">
        <v>75</v>
      </c>
      <c r="C1466" s="155" t="s">
        <v>4</v>
      </c>
      <c r="D1466" s="157" t="s">
        <v>5</v>
      </c>
    </row>
    <row r="1467" spans="1:4" ht="15" customHeight="1" x14ac:dyDescent="0.2">
      <c r="A1467" s="155" t="s">
        <v>610</v>
      </c>
      <c r="B1467" s="156">
        <v>125</v>
      </c>
      <c r="C1467" s="155" t="s">
        <v>4</v>
      </c>
      <c r="D1467" s="157" t="s">
        <v>5</v>
      </c>
    </row>
    <row r="1468" spans="1:4" ht="15" customHeight="1" x14ac:dyDescent="0.2">
      <c r="A1468" s="155" t="s">
        <v>1649</v>
      </c>
      <c r="B1468" s="156">
        <v>25</v>
      </c>
      <c r="C1468" s="155" t="s">
        <v>4</v>
      </c>
      <c r="D1468" s="157" t="s">
        <v>5</v>
      </c>
    </row>
    <row r="1469" spans="1:4" ht="15" customHeight="1" x14ac:dyDescent="0.2">
      <c r="A1469" s="155" t="s">
        <v>603</v>
      </c>
      <c r="B1469" s="156">
        <v>125</v>
      </c>
      <c r="C1469" s="155" t="s">
        <v>4</v>
      </c>
      <c r="D1469" s="157" t="s">
        <v>5</v>
      </c>
    </row>
    <row r="1470" spans="1:4" ht="15" customHeight="1" x14ac:dyDescent="0.2">
      <c r="A1470" s="155" t="s">
        <v>1641</v>
      </c>
      <c r="B1470" s="156">
        <v>125</v>
      </c>
      <c r="C1470" s="155" t="s">
        <v>4</v>
      </c>
      <c r="D1470" s="157" t="s">
        <v>5</v>
      </c>
    </row>
    <row r="1471" spans="1:4" ht="15" customHeight="1" x14ac:dyDescent="0.2">
      <c r="A1471" s="155" t="s">
        <v>595</v>
      </c>
      <c r="B1471" s="156">
        <v>1</v>
      </c>
      <c r="C1471" s="155" t="s">
        <v>4</v>
      </c>
      <c r="D1471" s="157" t="s">
        <v>5</v>
      </c>
    </row>
    <row r="1472" spans="1:4" ht="15" customHeight="1" x14ac:dyDescent="0.2">
      <c r="A1472" s="155" t="s">
        <v>1634</v>
      </c>
      <c r="B1472" s="159">
        <v>4.9000000000000004</v>
      </c>
      <c r="C1472" s="155" t="s">
        <v>4</v>
      </c>
      <c r="D1472" s="157" t="s">
        <v>5</v>
      </c>
    </row>
    <row r="1473" spans="1:4" ht="15" customHeight="1" x14ac:dyDescent="0.2">
      <c r="A1473" s="155" t="s">
        <v>132</v>
      </c>
      <c r="B1473" s="156">
        <v>50</v>
      </c>
      <c r="C1473" s="155" t="s">
        <v>4</v>
      </c>
      <c r="D1473" s="157" t="s">
        <v>5</v>
      </c>
    </row>
    <row r="1474" spans="1:4" ht="15" customHeight="1" x14ac:dyDescent="0.2">
      <c r="A1474" s="155" t="s">
        <v>1168</v>
      </c>
      <c r="B1474" s="156">
        <v>50</v>
      </c>
      <c r="C1474" s="155" t="s">
        <v>4</v>
      </c>
      <c r="D1474" s="157" t="s">
        <v>5</v>
      </c>
    </row>
    <row r="1475" spans="1:4" ht="15" customHeight="1" x14ac:dyDescent="0.2">
      <c r="A1475" s="155" t="s">
        <v>123</v>
      </c>
      <c r="B1475" s="156">
        <v>50</v>
      </c>
      <c r="C1475" s="155" t="s">
        <v>4</v>
      </c>
      <c r="D1475" s="157" t="s">
        <v>5</v>
      </c>
    </row>
    <row r="1476" spans="1:4" ht="15" customHeight="1" x14ac:dyDescent="0.2">
      <c r="A1476" s="155" t="s">
        <v>1159</v>
      </c>
      <c r="B1476" s="156">
        <v>50</v>
      </c>
      <c r="C1476" s="155" t="s">
        <v>4</v>
      </c>
      <c r="D1476" s="157" t="s">
        <v>5</v>
      </c>
    </row>
    <row r="1477" spans="1:4" ht="15" customHeight="1" x14ac:dyDescent="0.2">
      <c r="A1477" s="155" t="s">
        <v>119</v>
      </c>
      <c r="B1477" s="156">
        <v>50</v>
      </c>
      <c r="C1477" s="155" t="s">
        <v>4</v>
      </c>
      <c r="D1477" s="157" t="s">
        <v>5</v>
      </c>
    </row>
    <row r="1478" spans="1:4" ht="15" customHeight="1" x14ac:dyDescent="0.2">
      <c r="A1478" s="155" t="s">
        <v>1155</v>
      </c>
      <c r="B1478" s="156">
        <v>50</v>
      </c>
      <c r="C1478" s="155" t="s">
        <v>4</v>
      </c>
      <c r="D1478" s="157" t="s">
        <v>5</v>
      </c>
    </row>
    <row r="1479" spans="1:4" ht="15" customHeight="1" x14ac:dyDescent="0.2">
      <c r="A1479" s="155" t="s">
        <v>110</v>
      </c>
      <c r="B1479" s="156">
        <v>50</v>
      </c>
      <c r="C1479" s="155" t="s">
        <v>4</v>
      </c>
      <c r="D1479" s="157" t="s">
        <v>5</v>
      </c>
    </row>
    <row r="1480" spans="1:4" ht="15" customHeight="1" x14ac:dyDescent="0.2">
      <c r="A1480" s="155" t="s">
        <v>1146</v>
      </c>
      <c r="B1480" s="156">
        <v>50</v>
      </c>
      <c r="C1480" s="155" t="s">
        <v>4</v>
      </c>
      <c r="D1480" s="157" t="s">
        <v>5</v>
      </c>
    </row>
    <row r="1481" spans="1:4" ht="15" customHeight="1" x14ac:dyDescent="0.2">
      <c r="A1481" s="155" t="s">
        <v>169</v>
      </c>
      <c r="B1481" s="156">
        <v>50</v>
      </c>
      <c r="C1481" s="155" t="s">
        <v>4</v>
      </c>
      <c r="D1481" s="157" t="s">
        <v>5</v>
      </c>
    </row>
    <row r="1482" spans="1:4" ht="15" customHeight="1" x14ac:dyDescent="0.2">
      <c r="A1482" s="155" t="s">
        <v>1205</v>
      </c>
      <c r="B1482" s="156">
        <v>125</v>
      </c>
      <c r="C1482" s="155" t="s">
        <v>4</v>
      </c>
      <c r="D1482" s="157" t="s">
        <v>5</v>
      </c>
    </row>
    <row r="1483" spans="1:4" ht="15" customHeight="1" x14ac:dyDescent="0.2">
      <c r="A1483" s="155" t="s">
        <v>159</v>
      </c>
      <c r="B1483" s="156">
        <v>25</v>
      </c>
      <c r="C1483" s="155" t="s">
        <v>4</v>
      </c>
      <c r="D1483" s="157" t="s">
        <v>5</v>
      </c>
    </row>
    <row r="1484" spans="1:4" ht="15" customHeight="1" x14ac:dyDescent="0.2">
      <c r="A1484" s="155" t="s">
        <v>1195</v>
      </c>
      <c r="B1484" s="156">
        <v>125</v>
      </c>
      <c r="C1484" s="155" t="s">
        <v>4</v>
      </c>
      <c r="D1484" s="157" t="s">
        <v>5</v>
      </c>
    </row>
    <row r="1485" spans="1:4" ht="15" customHeight="1" x14ac:dyDescent="0.2">
      <c r="A1485" s="155" t="s">
        <v>150</v>
      </c>
      <c r="B1485" s="156">
        <v>125</v>
      </c>
      <c r="C1485" s="155" t="s">
        <v>4</v>
      </c>
      <c r="D1485" s="157" t="s">
        <v>5</v>
      </c>
    </row>
    <row r="1486" spans="1:4" ht="15" customHeight="1" x14ac:dyDescent="0.2">
      <c r="A1486" s="155" t="s">
        <v>1186</v>
      </c>
      <c r="B1486" s="156">
        <v>125</v>
      </c>
      <c r="C1486" s="155" t="s">
        <v>4</v>
      </c>
      <c r="D1486" s="157" t="s">
        <v>5</v>
      </c>
    </row>
    <row r="1487" spans="1:4" ht="15" customHeight="1" x14ac:dyDescent="0.2">
      <c r="A1487" s="155" t="s">
        <v>141</v>
      </c>
      <c r="B1487" s="156">
        <v>125</v>
      </c>
      <c r="C1487" s="155" t="s">
        <v>4</v>
      </c>
      <c r="D1487" s="157" t="s">
        <v>5</v>
      </c>
    </row>
    <row r="1488" spans="1:4" ht="15" customHeight="1" x14ac:dyDescent="0.2">
      <c r="A1488" s="155" t="s">
        <v>1177</v>
      </c>
      <c r="B1488" s="156">
        <v>5780</v>
      </c>
      <c r="C1488" s="155" t="s">
        <v>4</v>
      </c>
      <c r="D1488" s="157" t="s">
        <v>5</v>
      </c>
    </row>
    <row r="1489" spans="1:4" ht="15" customHeight="1" x14ac:dyDescent="0.2">
      <c r="A1489" s="155" t="s">
        <v>201</v>
      </c>
      <c r="B1489" s="156">
        <v>125</v>
      </c>
      <c r="C1489" s="155" t="s">
        <v>4</v>
      </c>
      <c r="D1489" s="157" t="s">
        <v>5</v>
      </c>
    </row>
    <row r="1490" spans="1:4" ht="15" customHeight="1" x14ac:dyDescent="0.2">
      <c r="A1490" s="155" t="s">
        <v>1239</v>
      </c>
      <c r="B1490" s="156">
        <v>125</v>
      </c>
      <c r="C1490" s="155" t="s">
        <v>4</v>
      </c>
      <c r="D1490" s="157" t="s">
        <v>5</v>
      </c>
    </row>
    <row r="1491" spans="1:4" ht="15" customHeight="1" x14ac:dyDescent="0.2">
      <c r="A1491" s="155" t="s">
        <v>193</v>
      </c>
      <c r="B1491" s="156">
        <v>125</v>
      </c>
      <c r="C1491" s="155" t="s">
        <v>4</v>
      </c>
      <c r="D1491" s="157" t="s">
        <v>5</v>
      </c>
    </row>
    <row r="1492" spans="1:4" ht="15" customHeight="1" x14ac:dyDescent="0.2">
      <c r="A1492" s="155" t="s">
        <v>1231</v>
      </c>
      <c r="B1492" s="156">
        <v>50</v>
      </c>
      <c r="C1492" s="155" t="s">
        <v>4</v>
      </c>
      <c r="D1492" s="157" t="s">
        <v>5</v>
      </c>
    </row>
    <row r="1493" spans="1:4" ht="15" customHeight="1" x14ac:dyDescent="0.2">
      <c r="A1493" s="155" t="s">
        <v>185</v>
      </c>
      <c r="B1493" s="156">
        <v>50</v>
      </c>
      <c r="C1493" s="155" t="s">
        <v>4</v>
      </c>
      <c r="D1493" s="157" t="s">
        <v>5</v>
      </c>
    </row>
    <row r="1494" spans="1:4" ht="15" customHeight="1" x14ac:dyDescent="0.2">
      <c r="A1494" s="155" t="s">
        <v>1223</v>
      </c>
      <c r="B1494" s="156">
        <v>50</v>
      </c>
      <c r="C1494" s="155" t="s">
        <v>4</v>
      </c>
      <c r="D1494" s="157" t="s">
        <v>5</v>
      </c>
    </row>
    <row r="1495" spans="1:4" ht="15" customHeight="1" x14ac:dyDescent="0.2">
      <c r="A1495" s="155" t="s">
        <v>177</v>
      </c>
      <c r="B1495" s="156">
        <v>50</v>
      </c>
      <c r="C1495" s="155" t="s">
        <v>4</v>
      </c>
      <c r="D1495" s="157" t="s">
        <v>5</v>
      </c>
    </row>
    <row r="1496" spans="1:4" ht="15" customHeight="1" x14ac:dyDescent="0.2">
      <c r="A1496" s="155" t="s">
        <v>1214</v>
      </c>
      <c r="B1496" s="156">
        <v>50</v>
      </c>
      <c r="C1496" s="155" t="s">
        <v>4</v>
      </c>
      <c r="D1496" s="157" t="s">
        <v>5</v>
      </c>
    </row>
    <row r="1497" spans="1:4" ht="15" customHeight="1" x14ac:dyDescent="0.2">
      <c r="A1497" s="155" t="s">
        <v>235</v>
      </c>
      <c r="B1497" s="156">
        <v>50</v>
      </c>
      <c r="C1497" s="155" t="s">
        <v>4</v>
      </c>
      <c r="D1497" s="157" t="s">
        <v>5</v>
      </c>
    </row>
    <row r="1498" spans="1:4" ht="15" customHeight="1" x14ac:dyDescent="0.2">
      <c r="A1498" s="155" t="s">
        <v>1274</v>
      </c>
      <c r="B1498" s="156">
        <v>50</v>
      </c>
      <c r="C1498" s="155" t="s">
        <v>4</v>
      </c>
      <c r="D1498" s="157" t="s">
        <v>5</v>
      </c>
    </row>
    <row r="1499" spans="1:4" ht="15" customHeight="1" x14ac:dyDescent="0.2">
      <c r="A1499" s="155" t="s">
        <v>227</v>
      </c>
      <c r="B1499" s="156">
        <v>50</v>
      </c>
      <c r="C1499" s="155" t="s">
        <v>4</v>
      </c>
      <c r="D1499" s="157" t="s">
        <v>5</v>
      </c>
    </row>
    <row r="1500" spans="1:4" ht="15" customHeight="1" x14ac:dyDescent="0.2">
      <c r="A1500" s="155" t="s">
        <v>1266</v>
      </c>
      <c r="B1500" s="156">
        <v>50</v>
      </c>
      <c r="C1500" s="155" t="s">
        <v>4</v>
      </c>
      <c r="D1500" s="157" t="s">
        <v>5</v>
      </c>
    </row>
    <row r="1501" spans="1:4" ht="15" customHeight="1" x14ac:dyDescent="0.2">
      <c r="A1501" s="155" t="s">
        <v>219</v>
      </c>
      <c r="B1501" s="156">
        <v>50</v>
      </c>
      <c r="C1501" s="155" t="s">
        <v>4</v>
      </c>
      <c r="D1501" s="157" t="s">
        <v>5</v>
      </c>
    </row>
    <row r="1502" spans="1:4" ht="15" customHeight="1" x14ac:dyDescent="0.2">
      <c r="A1502" s="155" t="s">
        <v>1258</v>
      </c>
      <c r="B1502" s="156">
        <v>50</v>
      </c>
      <c r="C1502" s="155" t="s">
        <v>4</v>
      </c>
      <c r="D1502" s="157" t="s">
        <v>5</v>
      </c>
    </row>
    <row r="1503" spans="1:4" ht="15" customHeight="1" x14ac:dyDescent="0.2">
      <c r="A1503" s="155" t="s">
        <v>211</v>
      </c>
      <c r="B1503" s="156">
        <v>50</v>
      </c>
      <c r="C1503" s="155" t="s">
        <v>4</v>
      </c>
      <c r="D1503" s="157" t="s">
        <v>5</v>
      </c>
    </row>
    <row r="1504" spans="1:4" ht="15" customHeight="1" x14ac:dyDescent="0.2">
      <c r="A1504" s="155" t="s">
        <v>1248</v>
      </c>
      <c r="B1504" s="156">
        <v>50</v>
      </c>
      <c r="C1504" s="155" t="s">
        <v>4</v>
      </c>
      <c r="D1504" s="157" t="s">
        <v>5</v>
      </c>
    </row>
    <row r="1505" spans="1:4" ht="15" customHeight="1" x14ac:dyDescent="0.2">
      <c r="A1505" s="155" t="s">
        <v>267</v>
      </c>
      <c r="B1505" s="156">
        <v>25</v>
      </c>
      <c r="C1505" s="155" t="s">
        <v>4</v>
      </c>
      <c r="D1505" s="157" t="s">
        <v>5</v>
      </c>
    </row>
    <row r="1506" spans="1:4" ht="15" customHeight="1" x14ac:dyDescent="0.2">
      <c r="A1506" s="155" t="s">
        <v>1306</v>
      </c>
      <c r="B1506" s="156">
        <v>1000</v>
      </c>
      <c r="C1506" s="155" t="s">
        <v>4</v>
      </c>
      <c r="D1506" s="157" t="s">
        <v>5</v>
      </c>
    </row>
    <row r="1507" spans="1:4" ht="15" customHeight="1" x14ac:dyDescent="0.2">
      <c r="A1507" s="155" t="s">
        <v>259</v>
      </c>
      <c r="B1507" s="156">
        <v>125</v>
      </c>
      <c r="C1507" s="155" t="s">
        <v>4</v>
      </c>
      <c r="D1507" s="157" t="s">
        <v>5</v>
      </c>
    </row>
    <row r="1508" spans="1:4" ht="15" customHeight="1" x14ac:dyDescent="0.2">
      <c r="A1508" s="155" t="s">
        <v>1298</v>
      </c>
      <c r="B1508" s="156">
        <v>125</v>
      </c>
      <c r="C1508" s="155" t="s">
        <v>4</v>
      </c>
      <c r="D1508" s="157" t="s">
        <v>5</v>
      </c>
    </row>
    <row r="1509" spans="1:4" ht="15" customHeight="1" x14ac:dyDescent="0.2">
      <c r="A1509" s="155" t="s">
        <v>251</v>
      </c>
      <c r="B1509" s="156">
        <v>125</v>
      </c>
      <c r="C1509" s="155" t="s">
        <v>4</v>
      </c>
      <c r="D1509" s="157" t="s">
        <v>5</v>
      </c>
    </row>
    <row r="1510" spans="1:4" ht="15" customHeight="1" x14ac:dyDescent="0.2">
      <c r="A1510" s="155" t="s">
        <v>1290</v>
      </c>
      <c r="B1510" s="156">
        <v>5</v>
      </c>
      <c r="C1510" s="155" t="s">
        <v>4</v>
      </c>
      <c r="D1510" s="157" t="s">
        <v>5</v>
      </c>
    </row>
    <row r="1511" spans="1:4" ht="15" customHeight="1" x14ac:dyDescent="0.2">
      <c r="A1511" s="155" t="s">
        <v>243</v>
      </c>
      <c r="B1511" s="156">
        <v>125</v>
      </c>
      <c r="C1511" s="155" t="s">
        <v>4</v>
      </c>
      <c r="D1511" s="157" t="s">
        <v>5</v>
      </c>
    </row>
    <row r="1512" spans="1:4" ht="15" customHeight="1" x14ac:dyDescent="0.2">
      <c r="A1512" s="155" t="s">
        <v>1282</v>
      </c>
      <c r="B1512" s="156">
        <v>125</v>
      </c>
      <c r="C1512" s="155" t="s">
        <v>4</v>
      </c>
      <c r="D1512" s="157" t="s">
        <v>5</v>
      </c>
    </row>
    <row r="1513" spans="1:4" ht="15" customHeight="1" x14ac:dyDescent="0.2">
      <c r="A1513" s="155" t="s">
        <v>299</v>
      </c>
      <c r="B1513" s="156">
        <v>20</v>
      </c>
      <c r="C1513" s="155" t="s">
        <v>4</v>
      </c>
      <c r="D1513" s="157" t="s">
        <v>5</v>
      </c>
    </row>
    <row r="1514" spans="1:4" ht="15" customHeight="1" x14ac:dyDescent="0.2">
      <c r="A1514" s="155" t="s">
        <v>1338</v>
      </c>
      <c r="B1514" s="156">
        <v>50</v>
      </c>
      <c r="C1514" s="155" t="s">
        <v>4</v>
      </c>
      <c r="D1514" s="157" t="s">
        <v>5</v>
      </c>
    </row>
    <row r="1515" spans="1:4" ht="15" customHeight="1" x14ac:dyDescent="0.2">
      <c r="A1515" s="155" t="s">
        <v>291</v>
      </c>
      <c r="B1515" s="156">
        <v>50</v>
      </c>
      <c r="C1515" s="155" t="s">
        <v>4</v>
      </c>
      <c r="D1515" s="157" t="s">
        <v>5</v>
      </c>
    </row>
    <row r="1516" spans="1:4" ht="15" customHeight="1" x14ac:dyDescent="0.2">
      <c r="A1516" s="155" t="s">
        <v>1330</v>
      </c>
      <c r="B1516" s="156">
        <v>50</v>
      </c>
      <c r="C1516" s="155" t="s">
        <v>4</v>
      </c>
      <c r="D1516" s="157" t="s">
        <v>5</v>
      </c>
    </row>
    <row r="1517" spans="1:4" ht="15" customHeight="1" x14ac:dyDescent="0.2">
      <c r="A1517" s="155" t="s">
        <v>283</v>
      </c>
      <c r="B1517" s="156">
        <v>50</v>
      </c>
      <c r="C1517" s="155" t="s">
        <v>4</v>
      </c>
      <c r="D1517" s="157" t="s">
        <v>5</v>
      </c>
    </row>
    <row r="1518" spans="1:4" ht="15" customHeight="1" x14ac:dyDescent="0.2">
      <c r="A1518" s="155" t="s">
        <v>1322</v>
      </c>
      <c r="B1518" s="156">
        <v>50</v>
      </c>
      <c r="C1518" s="155" t="s">
        <v>4</v>
      </c>
      <c r="D1518" s="157" t="s">
        <v>5</v>
      </c>
    </row>
    <row r="1519" spans="1:4" ht="15" customHeight="1" x14ac:dyDescent="0.2">
      <c r="A1519" s="155" t="s">
        <v>275</v>
      </c>
      <c r="B1519" s="156">
        <v>50</v>
      </c>
      <c r="C1519" s="155" t="s">
        <v>4</v>
      </c>
      <c r="D1519" s="157" t="s">
        <v>5</v>
      </c>
    </row>
    <row r="1520" spans="1:4" ht="15" customHeight="1" x14ac:dyDescent="0.2">
      <c r="A1520" s="155" t="s">
        <v>1314</v>
      </c>
      <c r="B1520" s="156">
        <v>50</v>
      </c>
      <c r="C1520" s="155" t="s">
        <v>4</v>
      </c>
      <c r="D1520" s="157" t="s">
        <v>5</v>
      </c>
    </row>
    <row r="1521" spans="1:4" ht="15" customHeight="1" x14ac:dyDescent="0.2">
      <c r="A1521" s="155" t="s">
        <v>332</v>
      </c>
      <c r="B1521" s="156">
        <v>50</v>
      </c>
      <c r="C1521" s="155" t="s">
        <v>4</v>
      </c>
      <c r="D1521" s="157" t="s">
        <v>5</v>
      </c>
    </row>
    <row r="1522" spans="1:4" ht="15" customHeight="1" x14ac:dyDescent="0.2">
      <c r="A1522" s="155" t="s">
        <v>1371</v>
      </c>
      <c r="B1522" s="156">
        <v>50</v>
      </c>
      <c r="C1522" s="155" t="s">
        <v>4</v>
      </c>
      <c r="D1522" s="157" t="s">
        <v>5</v>
      </c>
    </row>
    <row r="1523" spans="1:4" ht="15" customHeight="1" x14ac:dyDescent="0.2">
      <c r="A1523" s="155" t="s">
        <v>324</v>
      </c>
      <c r="B1523" s="156">
        <v>50</v>
      </c>
      <c r="C1523" s="155" t="s">
        <v>4</v>
      </c>
      <c r="D1523" s="157" t="s">
        <v>5</v>
      </c>
    </row>
    <row r="1524" spans="1:4" ht="15" customHeight="1" x14ac:dyDescent="0.2">
      <c r="A1524" s="155" t="s">
        <v>1362</v>
      </c>
      <c r="B1524" s="156">
        <v>50</v>
      </c>
      <c r="C1524" s="155" t="s">
        <v>4</v>
      </c>
      <c r="D1524" s="157" t="s">
        <v>5</v>
      </c>
    </row>
    <row r="1525" spans="1:4" ht="15" customHeight="1" x14ac:dyDescent="0.2">
      <c r="A1525" s="155" t="s">
        <v>315</v>
      </c>
      <c r="B1525" s="156">
        <v>50</v>
      </c>
      <c r="C1525" s="155" t="s">
        <v>4</v>
      </c>
      <c r="D1525" s="157" t="s">
        <v>5</v>
      </c>
    </row>
    <row r="1526" spans="1:4" ht="15" customHeight="1" x14ac:dyDescent="0.2">
      <c r="A1526" s="155" t="s">
        <v>1354</v>
      </c>
      <c r="B1526" s="156">
        <v>50</v>
      </c>
      <c r="C1526" s="155" t="s">
        <v>4</v>
      </c>
      <c r="D1526" s="157" t="s">
        <v>5</v>
      </c>
    </row>
    <row r="1527" spans="1:4" ht="15" customHeight="1" x14ac:dyDescent="0.2">
      <c r="A1527" s="155" t="s">
        <v>307</v>
      </c>
      <c r="B1527" s="156">
        <v>50</v>
      </c>
      <c r="C1527" s="155" t="s">
        <v>4</v>
      </c>
      <c r="D1527" s="157" t="s">
        <v>5</v>
      </c>
    </row>
    <row r="1528" spans="1:4" ht="15" customHeight="1" x14ac:dyDescent="0.2">
      <c r="A1528" s="155" t="s">
        <v>1346</v>
      </c>
      <c r="B1528" s="156">
        <v>50</v>
      </c>
      <c r="C1528" s="155" t="s">
        <v>4</v>
      </c>
      <c r="D1528" s="157" t="s">
        <v>5</v>
      </c>
    </row>
    <row r="1529" spans="1:4" ht="15" customHeight="1" x14ac:dyDescent="0.2">
      <c r="A1529" s="155" t="s">
        <v>365</v>
      </c>
      <c r="B1529" s="156">
        <v>50</v>
      </c>
      <c r="C1529" s="155" t="s">
        <v>4</v>
      </c>
      <c r="D1529" s="157" t="s">
        <v>5</v>
      </c>
    </row>
    <row r="1530" spans="1:4" ht="15" customHeight="1" x14ac:dyDescent="0.2">
      <c r="A1530" s="155" t="s">
        <v>1403</v>
      </c>
      <c r="B1530" s="156">
        <v>50</v>
      </c>
      <c r="C1530" s="155" t="s">
        <v>4</v>
      </c>
      <c r="D1530" s="157" t="s">
        <v>5</v>
      </c>
    </row>
    <row r="1531" spans="1:4" ht="15" customHeight="1" x14ac:dyDescent="0.2">
      <c r="A1531" s="155" t="s">
        <v>356</v>
      </c>
      <c r="B1531" s="156">
        <v>50</v>
      </c>
      <c r="C1531" s="155" t="s">
        <v>4</v>
      </c>
      <c r="D1531" s="157" t="s">
        <v>5</v>
      </c>
    </row>
    <row r="1532" spans="1:4" ht="15" customHeight="1" x14ac:dyDescent="0.2">
      <c r="A1532" s="155" t="s">
        <v>1395</v>
      </c>
      <c r="B1532" s="156">
        <v>50</v>
      </c>
      <c r="C1532" s="155" t="s">
        <v>4</v>
      </c>
      <c r="D1532" s="157" t="s">
        <v>5</v>
      </c>
    </row>
    <row r="1533" spans="1:4" ht="15" customHeight="1" x14ac:dyDescent="0.2">
      <c r="A1533" s="155" t="s">
        <v>348</v>
      </c>
      <c r="B1533" s="156">
        <v>50</v>
      </c>
      <c r="C1533" s="155" t="s">
        <v>4</v>
      </c>
      <c r="D1533" s="157" t="s">
        <v>5</v>
      </c>
    </row>
    <row r="1534" spans="1:4" ht="15" customHeight="1" x14ac:dyDescent="0.2">
      <c r="A1534" s="155" t="s">
        <v>1387</v>
      </c>
      <c r="B1534" s="156">
        <v>50</v>
      </c>
      <c r="C1534" s="155" t="s">
        <v>4</v>
      </c>
      <c r="D1534" s="157" t="s">
        <v>5</v>
      </c>
    </row>
    <row r="1535" spans="1:4" ht="15" customHeight="1" x14ac:dyDescent="0.2">
      <c r="A1535" s="155" t="s">
        <v>340</v>
      </c>
      <c r="B1535" s="156">
        <v>125</v>
      </c>
      <c r="C1535" s="155" t="s">
        <v>4</v>
      </c>
      <c r="D1535" s="157" t="s">
        <v>5</v>
      </c>
    </row>
    <row r="1536" spans="1:4" ht="15" customHeight="1" x14ac:dyDescent="0.2">
      <c r="A1536" s="155" t="s">
        <v>1379</v>
      </c>
      <c r="B1536" s="156">
        <v>125</v>
      </c>
      <c r="C1536" s="155" t="s">
        <v>4</v>
      </c>
      <c r="D1536" s="157" t="s">
        <v>5</v>
      </c>
    </row>
    <row r="1537" spans="1:4" ht="15" customHeight="1" x14ac:dyDescent="0.2">
      <c r="A1537" s="155" t="s">
        <v>894</v>
      </c>
      <c r="B1537" s="156">
        <v>125</v>
      </c>
      <c r="C1537" s="155" t="s">
        <v>4</v>
      </c>
      <c r="D1537" s="157" t="s">
        <v>5</v>
      </c>
    </row>
    <row r="1538" spans="1:4" ht="15" customHeight="1" x14ac:dyDescent="0.2">
      <c r="A1538" s="155" t="s">
        <v>1933</v>
      </c>
      <c r="B1538" s="156">
        <v>125</v>
      </c>
      <c r="C1538" s="155" t="s">
        <v>4</v>
      </c>
      <c r="D1538" s="157" t="s">
        <v>5</v>
      </c>
    </row>
    <row r="1539" spans="1:4" ht="15" customHeight="1" x14ac:dyDescent="0.2">
      <c r="A1539" s="155" t="s">
        <v>886</v>
      </c>
      <c r="B1539" s="156">
        <v>125</v>
      </c>
      <c r="C1539" s="155" t="s">
        <v>4</v>
      </c>
      <c r="D1539" s="157" t="s">
        <v>5</v>
      </c>
    </row>
    <row r="1540" spans="1:4" ht="15" customHeight="1" x14ac:dyDescent="0.2">
      <c r="A1540" s="155" t="s">
        <v>1925</v>
      </c>
      <c r="B1540" s="156">
        <v>125</v>
      </c>
      <c r="C1540" s="155" t="s">
        <v>4</v>
      </c>
      <c r="D1540" s="157" t="s">
        <v>5</v>
      </c>
    </row>
    <row r="1541" spans="1:4" ht="15" customHeight="1" x14ac:dyDescent="0.2">
      <c r="A1541" s="155" t="s">
        <v>878</v>
      </c>
      <c r="B1541" s="156">
        <v>125</v>
      </c>
      <c r="C1541" s="155" t="s">
        <v>4</v>
      </c>
      <c r="D1541" s="157" t="s">
        <v>5</v>
      </c>
    </row>
    <row r="1542" spans="1:4" ht="15" customHeight="1" x14ac:dyDescent="0.2">
      <c r="A1542" s="155" t="s">
        <v>1917</v>
      </c>
      <c r="B1542" s="156">
        <v>50</v>
      </c>
      <c r="C1542" s="155" t="s">
        <v>4</v>
      </c>
      <c r="D1542" s="157" t="s">
        <v>5</v>
      </c>
    </row>
    <row r="1543" spans="1:4" ht="15" customHeight="1" x14ac:dyDescent="0.2">
      <c r="A1543" s="155" t="s">
        <v>870</v>
      </c>
      <c r="B1543" s="156">
        <v>50</v>
      </c>
      <c r="C1543" s="155" t="s">
        <v>4</v>
      </c>
      <c r="D1543" s="157" t="s">
        <v>5</v>
      </c>
    </row>
    <row r="1544" spans="1:4" ht="15" customHeight="1" x14ac:dyDescent="0.2">
      <c r="A1544" s="155" t="s">
        <v>1908</v>
      </c>
      <c r="B1544" s="156">
        <v>50</v>
      </c>
      <c r="C1544" s="155" t="s">
        <v>4</v>
      </c>
      <c r="D1544" s="157" t="s">
        <v>5</v>
      </c>
    </row>
    <row r="1545" spans="1:4" ht="15" customHeight="1" x14ac:dyDescent="0.2">
      <c r="A1545" s="155" t="s">
        <v>927</v>
      </c>
      <c r="B1545" s="156">
        <v>50</v>
      </c>
      <c r="C1545" s="155" t="s">
        <v>4</v>
      </c>
      <c r="D1545" s="157" t="s">
        <v>5</v>
      </c>
    </row>
    <row r="1546" spans="1:4" ht="15" customHeight="1" x14ac:dyDescent="0.2">
      <c r="A1546" s="155" t="s">
        <v>1966</v>
      </c>
      <c r="B1546" s="156">
        <v>50</v>
      </c>
      <c r="C1546" s="155" t="s">
        <v>4</v>
      </c>
      <c r="D1546" s="157" t="s">
        <v>5</v>
      </c>
    </row>
    <row r="1547" spans="1:4" ht="15" customHeight="1" x14ac:dyDescent="0.2">
      <c r="A1547" s="155" t="s">
        <v>919</v>
      </c>
      <c r="B1547" s="156">
        <v>125</v>
      </c>
      <c r="C1547" s="155" t="s">
        <v>4</v>
      </c>
      <c r="D1547" s="157" t="s">
        <v>5</v>
      </c>
    </row>
    <row r="1548" spans="1:4" ht="15" customHeight="1" x14ac:dyDescent="0.2">
      <c r="A1548" s="155" t="s">
        <v>1958</v>
      </c>
      <c r="B1548" s="156">
        <v>50</v>
      </c>
      <c r="C1548" s="155" t="s">
        <v>4</v>
      </c>
      <c r="D1548" s="157" t="s">
        <v>5</v>
      </c>
    </row>
    <row r="1549" spans="1:4" ht="15" customHeight="1" x14ac:dyDescent="0.2">
      <c r="A1549" s="155" t="s">
        <v>911</v>
      </c>
      <c r="B1549" s="156">
        <v>125</v>
      </c>
      <c r="C1549" s="155" t="s">
        <v>4</v>
      </c>
      <c r="D1549" s="157" t="s">
        <v>5</v>
      </c>
    </row>
    <row r="1550" spans="1:4" ht="15" customHeight="1" x14ac:dyDescent="0.2">
      <c r="A1550" s="155" t="s">
        <v>1949</v>
      </c>
      <c r="B1550" s="156">
        <v>125</v>
      </c>
      <c r="C1550" s="155" t="s">
        <v>4</v>
      </c>
      <c r="D1550" s="157" t="s">
        <v>5</v>
      </c>
    </row>
    <row r="1551" spans="1:4" ht="15" customHeight="1" x14ac:dyDescent="0.2">
      <c r="A1551" s="155" t="s">
        <v>902</v>
      </c>
      <c r="B1551" s="156">
        <v>125</v>
      </c>
      <c r="C1551" s="155" t="s">
        <v>4</v>
      </c>
      <c r="D1551" s="157" t="s">
        <v>5</v>
      </c>
    </row>
    <row r="1552" spans="1:4" ht="15" customHeight="1" x14ac:dyDescent="0.2">
      <c r="A1552" s="155" t="s">
        <v>1941</v>
      </c>
      <c r="B1552" s="156">
        <v>3</v>
      </c>
      <c r="C1552" s="155" t="s">
        <v>4</v>
      </c>
      <c r="D1552" s="157" t="s">
        <v>5</v>
      </c>
    </row>
    <row r="1553" spans="1:4" ht="15" customHeight="1" x14ac:dyDescent="0.2">
      <c r="A1553" s="155" t="s">
        <v>954</v>
      </c>
      <c r="B1553" s="156">
        <v>125</v>
      </c>
      <c r="C1553" s="155" t="s">
        <v>4</v>
      </c>
      <c r="D1553" s="157" t="s">
        <v>5</v>
      </c>
    </row>
    <row r="1554" spans="1:4" ht="15" customHeight="1" x14ac:dyDescent="0.2">
      <c r="A1554" s="155" t="s">
        <v>1993</v>
      </c>
      <c r="B1554" s="156">
        <v>125</v>
      </c>
      <c r="C1554" s="155" t="s">
        <v>4</v>
      </c>
      <c r="D1554" s="157" t="s">
        <v>5</v>
      </c>
    </row>
    <row r="1555" spans="1:4" ht="15" customHeight="1" x14ac:dyDescent="0.2">
      <c r="A1555" s="155" t="s">
        <v>951</v>
      </c>
      <c r="B1555" s="156">
        <v>125</v>
      </c>
      <c r="C1555" s="155" t="s">
        <v>4</v>
      </c>
      <c r="D1555" s="157" t="s">
        <v>5</v>
      </c>
    </row>
    <row r="1556" spans="1:4" ht="15" customHeight="1" x14ac:dyDescent="0.2">
      <c r="A1556" s="155" t="s">
        <v>1990</v>
      </c>
      <c r="B1556" s="156">
        <v>125</v>
      </c>
      <c r="C1556" s="155" t="s">
        <v>4</v>
      </c>
      <c r="D1556" s="157" t="s">
        <v>5</v>
      </c>
    </row>
    <row r="1557" spans="1:4" ht="15" customHeight="1" x14ac:dyDescent="0.2">
      <c r="A1557" s="155" t="s">
        <v>943</v>
      </c>
      <c r="B1557" s="156">
        <v>125</v>
      </c>
      <c r="C1557" s="155" t="s">
        <v>4</v>
      </c>
      <c r="D1557" s="157" t="s">
        <v>5</v>
      </c>
    </row>
    <row r="1558" spans="1:4" ht="15" customHeight="1" x14ac:dyDescent="0.2">
      <c r="A1558" s="155" t="s">
        <v>1982</v>
      </c>
      <c r="B1558" s="156">
        <v>125</v>
      </c>
      <c r="C1558" s="155" t="s">
        <v>4</v>
      </c>
      <c r="D1558" s="157" t="s">
        <v>5</v>
      </c>
    </row>
    <row r="1559" spans="1:4" ht="15" customHeight="1" x14ac:dyDescent="0.2">
      <c r="A1559" s="155" t="s">
        <v>935</v>
      </c>
      <c r="B1559" s="156">
        <v>125</v>
      </c>
      <c r="C1559" s="155" t="s">
        <v>4</v>
      </c>
      <c r="D1559" s="157" t="s">
        <v>5</v>
      </c>
    </row>
    <row r="1560" spans="1:4" ht="15" customHeight="1" x14ac:dyDescent="0.2">
      <c r="A1560" s="155" t="s">
        <v>1974</v>
      </c>
      <c r="B1560" s="162">
        <v>2821.1170000000002</v>
      </c>
      <c r="C1560" s="155" t="s">
        <v>4</v>
      </c>
      <c r="D1560" s="157" t="s">
        <v>5</v>
      </c>
    </row>
    <row r="1561" spans="1:4" ht="15" customHeight="1" x14ac:dyDescent="0.2">
      <c r="A1561" s="155" t="s">
        <v>984</v>
      </c>
      <c r="B1561" s="156">
        <v>125</v>
      </c>
      <c r="C1561" s="155" t="s">
        <v>4</v>
      </c>
      <c r="D1561" s="157" t="s">
        <v>5</v>
      </c>
    </row>
    <row r="1562" spans="1:4" ht="15" customHeight="1" x14ac:dyDescent="0.2">
      <c r="A1562" s="155" t="s">
        <v>2023</v>
      </c>
      <c r="B1562" s="156">
        <v>125</v>
      </c>
      <c r="C1562" s="155" t="s">
        <v>4</v>
      </c>
      <c r="D1562" s="157" t="s">
        <v>5</v>
      </c>
    </row>
    <row r="1563" spans="1:4" ht="15" customHeight="1" x14ac:dyDescent="0.2">
      <c r="A1563" s="155" t="s">
        <v>976</v>
      </c>
      <c r="B1563" s="156">
        <v>125</v>
      </c>
      <c r="C1563" s="155" t="s">
        <v>4</v>
      </c>
      <c r="D1563" s="157" t="s">
        <v>5</v>
      </c>
    </row>
    <row r="1564" spans="1:4" ht="15" customHeight="1" x14ac:dyDescent="0.2">
      <c r="A1564" s="155" t="s">
        <v>2015</v>
      </c>
      <c r="B1564" s="156">
        <v>125</v>
      </c>
      <c r="C1564" s="155" t="s">
        <v>4</v>
      </c>
      <c r="D1564" s="157" t="s">
        <v>5</v>
      </c>
    </row>
    <row r="1565" spans="1:4" ht="15" customHeight="1" x14ac:dyDescent="0.2">
      <c r="A1565" s="155" t="s">
        <v>968</v>
      </c>
      <c r="B1565" s="162">
        <v>3403.884</v>
      </c>
      <c r="C1565" s="155" t="s">
        <v>4</v>
      </c>
      <c r="D1565" s="157" t="s">
        <v>5</v>
      </c>
    </row>
    <row r="1566" spans="1:4" ht="15" customHeight="1" x14ac:dyDescent="0.2">
      <c r="A1566" s="155" t="s">
        <v>2007</v>
      </c>
      <c r="B1566" s="156">
        <v>125</v>
      </c>
      <c r="C1566" s="155" t="s">
        <v>4</v>
      </c>
      <c r="D1566" s="157" t="s">
        <v>5</v>
      </c>
    </row>
    <row r="1567" spans="1:4" ht="15" customHeight="1" x14ac:dyDescent="0.2">
      <c r="A1567" s="155" t="s">
        <v>961</v>
      </c>
      <c r="B1567" s="162">
        <v>1915.482</v>
      </c>
      <c r="C1567" s="155" t="s">
        <v>4</v>
      </c>
      <c r="D1567" s="157" t="s">
        <v>5</v>
      </c>
    </row>
    <row r="1568" spans="1:4" ht="15" customHeight="1" x14ac:dyDescent="0.2">
      <c r="A1568" s="155" t="s">
        <v>2000</v>
      </c>
      <c r="B1568" s="156">
        <v>3450</v>
      </c>
      <c r="C1568" s="155" t="s">
        <v>4</v>
      </c>
      <c r="D1568" s="157" t="s">
        <v>5</v>
      </c>
    </row>
    <row r="1569" spans="1:4" ht="15" customHeight="1" x14ac:dyDescent="0.2">
      <c r="A1569" s="155" t="s">
        <v>1020</v>
      </c>
      <c r="B1569" s="156">
        <v>500</v>
      </c>
      <c r="C1569" s="155" t="s">
        <v>4</v>
      </c>
      <c r="D1569" s="157" t="s">
        <v>5</v>
      </c>
    </row>
    <row r="1570" spans="1:4" ht="15" customHeight="1" x14ac:dyDescent="0.2">
      <c r="A1570" s="155" t="s">
        <v>2056</v>
      </c>
      <c r="B1570" s="156">
        <v>125</v>
      </c>
      <c r="C1570" s="155" t="s">
        <v>4</v>
      </c>
      <c r="D1570" s="157" t="s">
        <v>5</v>
      </c>
    </row>
    <row r="1571" spans="1:4" ht="15" customHeight="1" x14ac:dyDescent="0.2">
      <c r="A1571" s="155" t="s">
        <v>1009</v>
      </c>
      <c r="B1571" s="156">
        <v>25</v>
      </c>
      <c r="C1571" s="155" t="s">
        <v>4</v>
      </c>
      <c r="D1571" s="157" t="s">
        <v>5</v>
      </c>
    </row>
    <row r="1572" spans="1:4" ht="15" customHeight="1" x14ac:dyDescent="0.2">
      <c r="A1572" s="155" t="s">
        <v>2048</v>
      </c>
      <c r="B1572" s="156">
        <v>125</v>
      </c>
      <c r="C1572" s="155" t="s">
        <v>4</v>
      </c>
      <c r="D1572" s="157" t="s">
        <v>5</v>
      </c>
    </row>
    <row r="1573" spans="1:4" ht="15" customHeight="1" x14ac:dyDescent="0.2">
      <c r="A1573" s="155" t="s">
        <v>1001</v>
      </c>
      <c r="B1573" s="156">
        <v>125</v>
      </c>
      <c r="C1573" s="155" t="s">
        <v>4</v>
      </c>
      <c r="D1573" s="157" t="s">
        <v>5</v>
      </c>
    </row>
    <row r="1574" spans="1:4" ht="15" customHeight="1" x14ac:dyDescent="0.2">
      <c r="A1574" s="155" t="s">
        <v>2040</v>
      </c>
      <c r="B1574" s="156">
        <v>5</v>
      </c>
      <c r="C1574" s="155" t="s">
        <v>4</v>
      </c>
      <c r="D1574" s="157" t="s">
        <v>5</v>
      </c>
    </row>
    <row r="1575" spans="1:4" ht="15" customHeight="1" x14ac:dyDescent="0.2">
      <c r="A1575" s="155" t="s">
        <v>993</v>
      </c>
      <c r="B1575" s="156">
        <v>125</v>
      </c>
      <c r="C1575" s="155" t="s">
        <v>4</v>
      </c>
      <c r="D1575" s="157" t="s">
        <v>5</v>
      </c>
    </row>
    <row r="1576" spans="1:4" ht="15" customHeight="1" x14ac:dyDescent="0.2">
      <c r="A1576" s="155" t="s">
        <v>2032</v>
      </c>
      <c r="B1576" s="156">
        <v>125</v>
      </c>
      <c r="C1576" s="155" t="s">
        <v>4</v>
      </c>
      <c r="D1576" s="157" t="s">
        <v>5</v>
      </c>
    </row>
    <row r="1577" spans="1:4" ht="15" customHeight="1" x14ac:dyDescent="0.2">
      <c r="A1577" s="155" t="s">
        <v>1054</v>
      </c>
      <c r="B1577" s="156">
        <v>162</v>
      </c>
      <c r="C1577" s="155" t="s">
        <v>4</v>
      </c>
      <c r="D1577" s="157" t="s">
        <v>5</v>
      </c>
    </row>
    <row r="1578" spans="1:4" ht="15" customHeight="1" x14ac:dyDescent="0.2">
      <c r="A1578" s="155" t="s">
        <v>9</v>
      </c>
      <c r="B1578" s="156">
        <v>125</v>
      </c>
      <c r="C1578" s="155" t="s">
        <v>4</v>
      </c>
      <c r="D1578" s="157" t="s">
        <v>5</v>
      </c>
    </row>
    <row r="1579" spans="1:4" ht="15" customHeight="1" x14ac:dyDescent="0.2">
      <c r="A1579" s="155" t="s">
        <v>1046</v>
      </c>
      <c r="B1579" s="156">
        <v>125</v>
      </c>
      <c r="C1579" s="155" t="s">
        <v>4</v>
      </c>
      <c r="D1579" s="157" t="s">
        <v>5</v>
      </c>
    </row>
    <row r="1580" spans="1:4" ht="15" customHeight="1" x14ac:dyDescent="0.2">
      <c r="A1580" s="155" t="s">
        <v>2082</v>
      </c>
      <c r="B1580" s="156">
        <v>125</v>
      </c>
      <c r="C1580" s="155" t="s">
        <v>4</v>
      </c>
      <c r="D1580" s="157" t="s">
        <v>5</v>
      </c>
    </row>
    <row r="1581" spans="1:4" ht="15" customHeight="1" x14ac:dyDescent="0.2">
      <c r="A1581" s="155" t="s">
        <v>1038</v>
      </c>
      <c r="B1581" s="156">
        <v>125</v>
      </c>
      <c r="C1581" s="155" t="s">
        <v>4</v>
      </c>
      <c r="D1581" s="157" t="s">
        <v>5</v>
      </c>
    </row>
    <row r="1582" spans="1:4" ht="15" customHeight="1" x14ac:dyDescent="0.2">
      <c r="A1582" s="155" t="s">
        <v>2074</v>
      </c>
      <c r="B1582" s="156">
        <v>125</v>
      </c>
      <c r="C1582" s="155" t="s">
        <v>4</v>
      </c>
      <c r="D1582" s="157" t="s">
        <v>5</v>
      </c>
    </row>
    <row r="1583" spans="1:4" ht="15" customHeight="1" x14ac:dyDescent="0.2">
      <c r="A1583" s="155" t="s">
        <v>1029</v>
      </c>
      <c r="B1583" s="156">
        <v>50</v>
      </c>
      <c r="C1583" s="155" t="s">
        <v>4</v>
      </c>
      <c r="D1583" s="157" t="s">
        <v>5</v>
      </c>
    </row>
    <row r="1584" spans="1:4" ht="15" customHeight="1" x14ac:dyDescent="0.2">
      <c r="A1584" s="155" t="s">
        <v>2064</v>
      </c>
      <c r="B1584" s="156">
        <v>5</v>
      </c>
      <c r="C1584" s="155" t="s">
        <v>4</v>
      </c>
      <c r="D1584" s="157" t="s">
        <v>5</v>
      </c>
    </row>
    <row r="1585" spans="1:4" ht="15" customHeight="1" x14ac:dyDescent="0.2">
      <c r="A1585" s="155" t="s">
        <v>1087</v>
      </c>
      <c r="B1585" s="156">
        <v>125</v>
      </c>
      <c r="C1585" s="155" t="s">
        <v>4</v>
      </c>
      <c r="D1585" s="157" t="s">
        <v>5</v>
      </c>
    </row>
    <row r="1586" spans="1:4" ht="15" customHeight="1" x14ac:dyDescent="0.2">
      <c r="A1586" s="155" t="s">
        <v>42</v>
      </c>
      <c r="B1586" s="156">
        <v>125</v>
      </c>
      <c r="C1586" s="155" t="s">
        <v>4</v>
      </c>
      <c r="D1586" s="157" t="s">
        <v>5</v>
      </c>
    </row>
    <row r="1587" spans="1:4" ht="15" customHeight="1" x14ac:dyDescent="0.2">
      <c r="A1587" s="155" t="s">
        <v>1078</v>
      </c>
      <c r="B1587" s="156">
        <v>125</v>
      </c>
      <c r="C1587" s="155" t="s">
        <v>4</v>
      </c>
      <c r="D1587" s="157" t="s">
        <v>5</v>
      </c>
    </row>
    <row r="1588" spans="1:4" ht="15" customHeight="1" x14ac:dyDescent="0.2">
      <c r="A1588" s="155" t="s">
        <v>33</v>
      </c>
      <c r="B1588" s="156">
        <v>125</v>
      </c>
      <c r="C1588" s="155" t="s">
        <v>4</v>
      </c>
      <c r="D1588" s="157" t="s">
        <v>5</v>
      </c>
    </row>
    <row r="1589" spans="1:4" ht="15" customHeight="1" x14ac:dyDescent="0.2">
      <c r="A1589" s="155" t="s">
        <v>1070</v>
      </c>
      <c r="B1589" s="156">
        <v>125</v>
      </c>
      <c r="C1589" s="155" t="s">
        <v>4</v>
      </c>
      <c r="D1589" s="157" t="s">
        <v>5</v>
      </c>
    </row>
    <row r="1590" spans="1:4" ht="15" customHeight="1" x14ac:dyDescent="0.2">
      <c r="A1590" s="155" t="s">
        <v>25</v>
      </c>
      <c r="B1590" s="156">
        <v>125</v>
      </c>
      <c r="C1590" s="155" t="s">
        <v>4</v>
      </c>
      <c r="D1590" s="157" t="s">
        <v>5</v>
      </c>
    </row>
    <row r="1591" spans="1:4" ht="15" customHeight="1" x14ac:dyDescent="0.2">
      <c r="A1591" s="155" t="s">
        <v>1062</v>
      </c>
      <c r="B1591" s="156">
        <v>125</v>
      </c>
      <c r="C1591" s="155" t="s">
        <v>4</v>
      </c>
      <c r="D1591" s="157" t="s">
        <v>5</v>
      </c>
    </row>
    <row r="1592" spans="1:4" ht="15" customHeight="1" x14ac:dyDescent="0.2">
      <c r="A1592" s="155" t="s">
        <v>17</v>
      </c>
      <c r="B1592" s="156">
        <v>125</v>
      </c>
      <c r="C1592" s="155" t="s">
        <v>4</v>
      </c>
      <c r="D1592" s="157" t="s">
        <v>5</v>
      </c>
    </row>
    <row r="1593" spans="1:4" ht="15" customHeight="1" x14ac:dyDescent="0.2">
      <c r="A1593" s="155" t="s">
        <v>1123</v>
      </c>
      <c r="B1593" s="156">
        <v>50</v>
      </c>
      <c r="C1593" s="155" t="s">
        <v>4</v>
      </c>
      <c r="D1593" s="157" t="s">
        <v>5</v>
      </c>
    </row>
    <row r="1594" spans="1:4" ht="15" customHeight="1" x14ac:dyDescent="0.2">
      <c r="A1594" s="155" t="s">
        <v>78</v>
      </c>
      <c r="B1594" s="156">
        <v>125</v>
      </c>
      <c r="C1594" s="155" t="s">
        <v>4</v>
      </c>
      <c r="D1594" s="157" t="s">
        <v>5</v>
      </c>
    </row>
    <row r="1595" spans="1:4" ht="15" customHeight="1" x14ac:dyDescent="0.2">
      <c r="A1595" s="155" t="s">
        <v>1114</v>
      </c>
      <c r="B1595" s="156">
        <v>125</v>
      </c>
      <c r="C1595" s="155" t="s">
        <v>4</v>
      </c>
      <c r="D1595" s="157" t="s">
        <v>5</v>
      </c>
    </row>
    <row r="1596" spans="1:4" ht="15" customHeight="1" x14ac:dyDescent="0.2">
      <c r="A1596" s="155" t="s">
        <v>69</v>
      </c>
      <c r="B1596" s="156">
        <v>125</v>
      </c>
      <c r="C1596" s="155" t="s">
        <v>4</v>
      </c>
      <c r="D1596" s="157" t="s">
        <v>5</v>
      </c>
    </row>
    <row r="1597" spans="1:4" ht="15" customHeight="1" x14ac:dyDescent="0.2">
      <c r="A1597" s="155" t="s">
        <v>1105</v>
      </c>
      <c r="B1597" s="156">
        <v>125</v>
      </c>
      <c r="C1597" s="155" t="s">
        <v>4</v>
      </c>
      <c r="D1597" s="157" t="s">
        <v>5</v>
      </c>
    </row>
    <row r="1598" spans="1:4" ht="15" customHeight="1" x14ac:dyDescent="0.2">
      <c r="A1598" s="155" t="s">
        <v>60</v>
      </c>
      <c r="B1598" s="156">
        <v>50</v>
      </c>
      <c r="C1598" s="155" t="s">
        <v>4</v>
      </c>
      <c r="D1598" s="157" t="s">
        <v>5</v>
      </c>
    </row>
    <row r="1599" spans="1:4" ht="15" customHeight="1" x14ac:dyDescent="0.2">
      <c r="A1599" s="155" t="s">
        <v>1096</v>
      </c>
      <c r="B1599" s="156">
        <v>125</v>
      </c>
      <c r="C1599" s="155" t="s">
        <v>4</v>
      </c>
      <c r="D1599" s="157" t="s">
        <v>5</v>
      </c>
    </row>
    <row r="1600" spans="1:4" ht="15" customHeight="1" x14ac:dyDescent="0.2">
      <c r="A1600" s="155" t="s">
        <v>51</v>
      </c>
      <c r="B1600" s="156">
        <v>125</v>
      </c>
      <c r="C1600" s="155" t="s">
        <v>4</v>
      </c>
      <c r="D1600" s="157" t="s">
        <v>5</v>
      </c>
    </row>
    <row r="1601" spans="1:4" ht="15" customHeight="1" x14ac:dyDescent="0.2">
      <c r="A1601" s="155" t="s">
        <v>646</v>
      </c>
      <c r="B1601" s="162">
        <v>2.0019999999999998</v>
      </c>
      <c r="C1601" s="155" t="s">
        <v>4</v>
      </c>
      <c r="D1601" s="157" t="s">
        <v>5</v>
      </c>
    </row>
    <row r="1602" spans="1:4" ht="15" customHeight="1" x14ac:dyDescent="0.2">
      <c r="A1602" s="155" t="s">
        <v>1685</v>
      </c>
      <c r="B1602" s="156">
        <v>125</v>
      </c>
      <c r="C1602" s="155" t="s">
        <v>4</v>
      </c>
      <c r="D1602" s="157" t="s">
        <v>5</v>
      </c>
    </row>
    <row r="1603" spans="1:4" ht="15" customHeight="1" x14ac:dyDescent="0.2">
      <c r="A1603" s="155" t="s">
        <v>639</v>
      </c>
      <c r="B1603" s="156">
        <v>125</v>
      </c>
      <c r="C1603" s="155" t="s">
        <v>4</v>
      </c>
      <c r="D1603" s="157" t="s">
        <v>5</v>
      </c>
    </row>
    <row r="1604" spans="1:4" ht="15" customHeight="1" x14ac:dyDescent="0.2">
      <c r="A1604" s="155" t="s">
        <v>1677</v>
      </c>
      <c r="B1604" s="156">
        <v>125</v>
      </c>
      <c r="C1604" s="155" t="s">
        <v>4</v>
      </c>
      <c r="D1604" s="157" t="s">
        <v>5</v>
      </c>
    </row>
    <row r="1605" spans="1:4" ht="15" customHeight="1" x14ac:dyDescent="0.2">
      <c r="A1605" s="155" t="s">
        <v>631</v>
      </c>
      <c r="B1605" s="156">
        <v>125</v>
      </c>
      <c r="C1605" s="155" t="s">
        <v>4</v>
      </c>
      <c r="D1605" s="157" t="s">
        <v>5</v>
      </c>
    </row>
    <row r="1606" spans="1:4" ht="15" customHeight="1" x14ac:dyDescent="0.2">
      <c r="A1606" s="155" t="s">
        <v>1670</v>
      </c>
      <c r="B1606" s="156">
        <v>125</v>
      </c>
      <c r="C1606" s="155" t="s">
        <v>4</v>
      </c>
      <c r="D1606" s="157" t="s">
        <v>5</v>
      </c>
    </row>
    <row r="1607" spans="1:4" ht="15" customHeight="1" x14ac:dyDescent="0.2">
      <c r="A1607" s="155" t="s">
        <v>624</v>
      </c>
      <c r="B1607" s="156">
        <v>125</v>
      </c>
      <c r="C1607" s="155" t="s">
        <v>4</v>
      </c>
      <c r="D1607" s="157" t="s">
        <v>5</v>
      </c>
    </row>
    <row r="1608" spans="1:4" ht="15" customHeight="1" x14ac:dyDescent="0.2">
      <c r="A1608" s="155" t="s">
        <v>1663</v>
      </c>
      <c r="B1608" s="156">
        <v>125</v>
      </c>
      <c r="C1608" s="155" t="s">
        <v>4</v>
      </c>
      <c r="D1608" s="157" t="s">
        <v>5</v>
      </c>
    </row>
    <row r="1609" spans="1:4" ht="15" customHeight="1" x14ac:dyDescent="0.2">
      <c r="A1609" s="155" t="s">
        <v>674</v>
      </c>
      <c r="B1609" s="156">
        <v>500</v>
      </c>
      <c r="C1609" s="155" t="s">
        <v>4</v>
      </c>
      <c r="D1609" s="157" t="s">
        <v>5</v>
      </c>
    </row>
    <row r="1610" spans="1:4" ht="15" customHeight="1" x14ac:dyDescent="0.2">
      <c r="A1610" s="155" t="s">
        <v>1713</v>
      </c>
      <c r="B1610" s="156">
        <v>125</v>
      </c>
      <c r="C1610" s="155" t="s">
        <v>4</v>
      </c>
      <c r="D1610" s="157" t="s">
        <v>5</v>
      </c>
    </row>
    <row r="1611" spans="1:4" ht="15" customHeight="1" x14ac:dyDescent="0.2">
      <c r="A1611" s="155" t="s">
        <v>667</v>
      </c>
      <c r="B1611" s="156">
        <v>125</v>
      </c>
      <c r="C1611" s="155" t="s">
        <v>4</v>
      </c>
      <c r="D1611" s="157" t="s">
        <v>5</v>
      </c>
    </row>
    <row r="1612" spans="1:4" ht="15" customHeight="1" x14ac:dyDescent="0.2">
      <c r="A1612" s="155" t="s">
        <v>1706</v>
      </c>
      <c r="B1612" s="156">
        <v>10</v>
      </c>
      <c r="C1612" s="155" t="s">
        <v>4</v>
      </c>
      <c r="D1612" s="157" t="s">
        <v>5</v>
      </c>
    </row>
    <row r="1613" spans="1:4" ht="15" customHeight="1" x14ac:dyDescent="0.2">
      <c r="A1613" s="155" t="s">
        <v>660</v>
      </c>
      <c r="B1613" s="159">
        <v>7.5</v>
      </c>
      <c r="C1613" s="155" t="s">
        <v>4</v>
      </c>
      <c r="D1613" s="157" t="s">
        <v>5</v>
      </c>
    </row>
    <row r="1614" spans="1:4" ht="15" customHeight="1" x14ac:dyDescent="0.2">
      <c r="A1614" s="155" t="s">
        <v>1699</v>
      </c>
      <c r="B1614" s="156">
        <v>6</v>
      </c>
      <c r="C1614" s="155" t="s">
        <v>4</v>
      </c>
      <c r="D1614" s="157" t="s">
        <v>5</v>
      </c>
    </row>
    <row r="1615" spans="1:4" ht="15" customHeight="1" x14ac:dyDescent="0.2">
      <c r="A1615" s="155" t="s">
        <v>653</v>
      </c>
      <c r="B1615" s="156">
        <v>125</v>
      </c>
      <c r="C1615" s="155" t="s">
        <v>4</v>
      </c>
      <c r="D1615" s="157" t="s">
        <v>5</v>
      </c>
    </row>
    <row r="1616" spans="1:4" ht="15" customHeight="1" x14ac:dyDescent="0.2">
      <c r="A1616" s="155" t="s">
        <v>1692</v>
      </c>
      <c r="B1616" s="156">
        <v>50</v>
      </c>
      <c r="C1616" s="155" t="s">
        <v>4</v>
      </c>
      <c r="D1616" s="157" t="s">
        <v>5</v>
      </c>
    </row>
    <row r="1617" spans="1:4" ht="15" customHeight="1" x14ac:dyDescent="0.2">
      <c r="A1617" s="155" t="s">
        <v>698</v>
      </c>
      <c r="B1617" s="156">
        <v>50</v>
      </c>
      <c r="C1617" s="155" t="s">
        <v>4</v>
      </c>
      <c r="D1617" s="157" t="s">
        <v>5</v>
      </c>
    </row>
    <row r="1618" spans="1:4" ht="15" customHeight="1" x14ac:dyDescent="0.2">
      <c r="A1618" s="155" t="s">
        <v>1737</v>
      </c>
      <c r="B1618" s="156">
        <v>50</v>
      </c>
      <c r="C1618" s="155" t="s">
        <v>4</v>
      </c>
      <c r="D1618" s="157" t="s">
        <v>5</v>
      </c>
    </row>
    <row r="1619" spans="1:4" ht="15" customHeight="1" x14ac:dyDescent="0.2">
      <c r="A1619" s="155" t="s">
        <v>691</v>
      </c>
      <c r="B1619" s="156">
        <v>50</v>
      </c>
      <c r="C1619" s="155" t="s">
        <v>4</v>
      </c>
      <c r="D1619" s="157" t="s">
        <v>5</v>
      </c>
    </row>
    <row r="1620" spans="1:4" ht="15" customHeight="1" x14ac:dyDescent="0.2">
      <c r="A1620" s="155" t="s">
        <v>1730</v>
      </c>
      <c r="B1620" s="156">
        <v>50</v>
      </c>
      <c r="C1620" s="155" t="s">
        <v>4</v>
      </c>
      <c r="D1620" s="157" t="s">
        <v>5</v>
      </c>
    </row>
    <row r="1621" spans="1:4" ht="15" customHeight="1" x14ac:dyDescent="0.2">
      <c r="A1621" s="155" t="s">
        <v>684</v>
      </c>
      <c r="B1621" s="156">
        <v>50</v>
      </c>
      <c r="C1621" s="155" t="s">
        <v>4</v>
      </c>
      <c r="D1621" s="157" t="s">
        <v>5</v>
      </c>
    </row>
    <row r="1622" spans="1:4" ht="15" customHeight="1" x14ac:dyDescent="0.2">
      <c r="A1622" s="155" t="s">
        <v>1723</v>
      </c>
      <c r="B1622" s="156">
        <v>50</v>
      </c>
      <c r="C1622" s="155" t="s">
        <v>4</v>
      </c>
      <c r="D1622" s="157" t="s">
        <v>5</v>
      </c>
    </row>
    <row r="1623" spans="1:4" ht="15" customHeight="1" x14ac:dyDescent="0.2">
      <c r="A1623" s="155" t="s">
        <v>677</v>
      </c>
      <c r="B1623" s="156">
        <v>50</v>
      </c>
      <c r="C1623" s="155" t="s">
        <v>4</v>
      </c>
      <c r="D1623" s="157" t="s">
        <v>5</v>
      </c>
    </row>
    <row r="1624" spans="1:4" ht="15" customHeight="1" x14ac:dyDescent="0.2">
      <c r="A1624" s="155" t="s">
        <v>1716</v>
      </c>
      <c r="B1624" s="156">
        <v>50</v>
      </c>
      <c r="C1624" s="155" t="s">
        <v>4</v>
      </c>
      <c r="D1624" s="157" t="s">
        <v>5</v>
      </c>
    </row>
    <row r="1625" spans="1:4" ht="15" customHeight="1" x14ac:dyDescent="0.2">
      <c r="A1625" s="155" t="s">
        <v>731</v>
      </c>
      <c r="B1625" s="156">
        <v>125</v>
      </c>
      <c r="C1625" s="155" t="s">
        <v>4</v>
      </c>
      <c r="D1625" s="157" t="s">
        <v>5</v>
      </c>
    </row>
    <row r="1626" spans="1:4" ht="15" customHeight="1" x14ac:dyDescent="0.2">
      <c r="A1626" s="155" t="s">
        <v>1770</v>
      </c>
      <c r="B1626" s="156">
        <v>600</v>
      </c>
      <c r="C1626" s="155" t="s">
        <v>4</v>
      </c>
      <c r="D1626" s="157" t="s">
        <v>5</v>
      </c>
    </row>
    <row r="1627" spans="1:4" ht="15" customHeight="1" x14ac:dyDescent="0.2">
      <c r="A1627" s="155" t="s">
        <v>723</v>
      </c>
      <c r="B1627" s="156">
        <v>400</v>
      </c>
      <c r="C1627" s="155" t="s">
        <v>4</v>
      </c>
      <c r="D1627" s="157" t="s">
        <v>5</v>
      </c>
    </row>
    <row r="1628" spans="1:4" ht="15" customHeight="1" x14ac:dyDescent="0.2">
      <c r="A1628" s="155" t="s">
        <v>1762</v>
      </c>
      <c r="B1628" s="156">
        <v>125</v>
      </c>
      <c r="C1628" s="155" t="s">
        <v>4</v>
      </c>
      <c r="D1628" s="157" t="s">
        <v>5</v>
      </c>
    </row>
    <row r="1629" spans="1:4" ht="15" customHeight="1" x14ac:dyDescent="0.2">
      <c r="A1629" s="155" t="s">
        <v>715</v>
      </c>
      <c r="B1629" s="156">
        <v>125</v>
      </c>
      <c r="C1629" s="155" t="s">
        <v>4</v>
      </c>
      <c r="D1629" s="157" t="s">
        <v>5</v>
      </c>
    </row>
    <row r="1630" spans="1:4" ht="15" customHeight="1" x14ac:dyDescent="0.2">
      <c r="A1630" s="155" t="s">
        <v>1754</v>
      </c>
      <c r="B1630" s="156">
        <v>125</v>
      </c>
      <c r="C1630" s="155" t="s">
        <v>4</v>
      </c>
      <c r="D1630" s="157" t="s">
        <v>5</v>
      </c>
    </row>
    <row r="1631" spans="1:4" ht="15" customHeight="1" x14ac:dyDescent="0.2">
      <c r="A1631" s="155" t="s">
        <v>706</v>
      </c>
      <c r="B1631" s="156">
        <v>125</v>
      </c>
      <c r="C1631" s="155" t="s">
        <v>4</v>
      </c>
      <c r="D1631" s="157" t="s">
        <v>5</v>
      </c>
    </row>
    <row r="1632" spans="1:4" ht="15" customHeight="1" x14ac:dyDescent="0.2">
      <c r="A1632" s="155" t="s">
        <v>1745</v>
      </c>
      <c r="B1632" s="156">
        <v>125</v>
      </c>
      <c r="C1632" s="155" t="s">
        <v>4</v>
      </c>
      <c r="D1632" s="157" t="s">
        <v>5</v>
      </c>
    </row>
    <row r="1633" spans="1:4" ht="15" customHeight="1" x14ac:dyDescent="0.2">
      <c r="A1633" s="155" t="s">
        <v>765</v>
      </c>
      <c r="B1633" s="156">
        <v>125</v>
      </c>
      <c r="C1633" s="155" t="s">
        <v>4</v>
      </c>
      <c r="D1633" s="157" t="s">
        <v>5</v>
      </c>
    </row>
    <row r="1634" spans="1:4" ht="15" customHeight="1" x14ac:dyDescent="0.2">
      <c r="A1634" s="155" t="s">
        <v>1804</v>
      </c>
      <c r="B1634" s="156">
        <v>125</v>
      </c>
      <c r="C1634" s="155" t="s">
        <v>4</v>
      </c>
      <c r="D1634" s="157" t="s">
        <v>5</v>
      </c>
    </row>
    <row r="1635" spans="1:4" ht="15" customHeight="1" x14ac:dyDescent="0.2">
      <c r="A1635" s="155" t="s">
        <v>757</v>
      </c>
      <c r="B1635" s="156">
        <v>125</v>
      </c>
      <c r="C1635" s="155" t="s">
        <v>4</v>
      </c>
      <c r="D1635" s="157" t="s">
        <v>5</v>
      </c>
    </row>
    <row r="1636" spans="1:4" ht="15" customHeight="1" x14ac:dyDescent="0.2">
      <c r="A1636" s="155" t="s">
        <v>1796</v>
      </c>
      <c r="B1636" s="156">
        <v>125</v>
      </c>
      <c r="C1636" s="155" t="s">
        <v>4</v>
      </c>
      <c r="D1636" s="157" t="s">
        <v>5</v>
      </c>
    </row>
    <row r="1637" spans="1:4" ht="15" customHeight="1" x14ac:dyDescent="0.2">
      <c r="A1637" s="155" t="s">
        <v>748</v>
      </c>
      <c r="B1637" s="156">
        <v>125</v>
      </c>
      <c r="C1637" s="155" t="s">
        <v>4</v>
      </c>
      <c r="D1637" s="157" t="s">
        <v>5</v>
      </c>
    </row>
    <row r="1638" spans="1:4" ht="15" customHeight="1" x14ac:dyDescent="0.2">
      <c r="A1638" s="155" t="s">
        <v>1786</v>
      </c>
      <c r="B1638" s="156">
        <v>125</v>
      </c>
      <c r="C1638" s="155" t="s">
        <v>4</v>
      </c>
      <c r="D1638" s="157" t="s">
        <v>5</v>
      </c>
    </row>
    <row r="1639" spans="1:4" ht="15" customHeight="1" x14ac:dyDescent="0.2">
      <c r="A1639" s="155" t="s">
        <v>739</v>
      </c>
      <c r="B1639" s="156">
        <v>125</v>
      </c>
      <c r="C1639" s="155" t="s">
        <v>4</v>
      </c>
      <c r="D1639" s="157" t="s">
        <v>5</v>
      </c>
    </row>
    <row r="1640" spans="1:4" ht="15" customHeight="1" x14ac:dyDescent="0.2">
      <c r="A1640" s="155" t="s">
        <v>1778</v>
      </c>
      <c r="B1640" s="156">
        <v>125</v>
      </c>
      <c r="C1640" s="155" t="s">
        <v>4</v>
      </c>
      <c r="D1640" s="157" t="s">
        <v>5</v>
      </c>
    </row>
    <row r="1641" spans="1:4" ht="15" customHeight="1" x14ac:dyDescent="0.2">
      <c r="A1641" s="155" t="s">
        <v>797</v>
      </c>
      <c r="B1641" s="156">
        <v>25</v>
      </c>
      <c r="C1641" s="155" t="s">
        <v>4</v>
      </c>
      <c r="D1641" s="157" t="s">
        <v>5</v>
      </c>
    </row>
    <row r="1642" spans="1:4" ht="15" customHeight="1" x14ac:dyDescent="0.2">
      <c r="A1642" s="155" t="s">
        <v>1836</v>
      </c>
      <c r="B1642" s="156">
        <v>125</v>
      </c>
      <c r="C1642" s="155" t="s">
        <v>4</v>
      </c>
      <c r="D1642" s="157" t="s">
        <v>5</v>
      </c>
    </row>
    <row r="1643" spans="1:4" ht="15" customHeight="1" x14ac:dyDescent="0.2">
      <c r="A1643" s="155" t="s">
        <v>789</v>
      </c>
      <c r="B1643" s="156">
        <v>125</v>
      </c>
      <c r="C1643" s="155" t="s">
        <v>4</v>
      </c>
      <c r="D1643" s="157" t="s">
        <v>5</v>
      </c>
    </row>
    <row r="1644" spans="1:4" ht="15" customHeight="1" x14ac:dyDescent="0.2">
      <c r="A1644" s="155" t="s">
        <v>1828</v>
      </c>
      <c r="B1644" s="156">
        <v>125</v>
      </c>
      <c r="C1644" s="155" t="s">
        <v>4</v>
      </c>
      <c r="D1644" s="157" t="s">
        <v>5</v>
      </c>
    </row>
    <row r="1645" spans="1:4" ht="15" customHeight="1" x14ac:dyDescent="0.2">
      <c r="A1645" s="155" t="s">
        <v>781</v>
      </c>
      <c r="B1645" s="156">
        <v>25</v>
      </c>
      <c r="C1645" s="155" t="s">
        <v>4</v>
      </c>
      <c r="D1645" s="157" t="s">
        <v>5</v>
      </c>
    </row>
    <row r="1646" spans="1:4" ht="15" customHeight="1" x14ac:dyDescent="0.2">
      <c r="A1646" s="155" t="s">
        <v>1820</v>
      </c>
      <c r="B1646" s="156">
        <v>50</v>
      </c>
      <c r="C1646" s="155" t="s">
        <v>4</v>
      </c>
      <c r="D1646" s="157" t="s">
        <v>5</v>
      </c>
    </row>
    <row r="1647" spans="1:4" ht="15" customHeight="1" x14ac:dyDescent="0.2">
      <c r="A1647" s="155" t="s">
        <v>773</v>
      </c>
      <c r="B1647" s="156">
        <v>125</v>
      </c>
      <c r="C1647" s="155" t="s">
        <v>4</v>
      </c>
      <c r="D1647" s="157" t="s">
        <v>5</v>
      </c>
    </row>
    <row r="1648" spans="1:4" ht="15" customHeight="1" x14ac:dyDescent="0.2">
      <c r="A1648" s="155" t="s">
        <v>1812</v>
      </c>
      <c r="B1648" s="156">
        <v>100</v>
      </c>
      <c r="C1648" s="155" t="s">
        <v>4</v>
      </c>
      <c r="D1648" s="157" t="s">
        <v>5</v>
      </c>
    </row>
    <row r="1649" spans="1:4" ht="15" customHeight="1" x14ac:dyDescent="0.2">
      <c r="A1649" s="155" t="s">
        <v>829</v>
      </c>
      <c r="B1649" s="156">
        <v>125</v>
      </c>
      <c r="C1649" s="155" t="s">
        <v>4</v>
      </c>
      <c r="D1649" s="157" t="s">
        <v>5</v>
      </c>
    </row>
    <row r="1650" spans="1:4" ht="15" customHeight="1" x14ac:dyDescent="0.2">
      <c r="A1650" s="155" t="s">
        <v>1868</v>
      </c>
      <c r="B1650" s="156">
        <v>125</v>
      </c>
      <c r="C1650" s="155" t="s">
        <v>4</v>
      </c>
      <c r="D1650" s="157" t="s">
        <v>5</v>
      </c>
    </row>
    <row r="1651" spans="1:4" ht="15" customHeight="1" x14ac:dyDescent="0.2">
      <c r="A1651" s="155" t="s">
        <v>821</v>
      </c>
      <c r="B1651" s="158">
        <v>1335.32</v>
      </c>
      <c r="C1651" s="155" t="s">
        <v>4</v>
      </c>
      <c r="D1651" s="157" t="s">
        <v>5</v>
      </c>
    </row>
    <row r="1652" spans="1:4" ht="15" customHeight="1" x14ac:dyDescent="0.2">
      <c r="A1652" s="155" t="s">
        <v>1860</v>
      </c>
      <c r="B1652" s="156">
        <v>125</v>
      </c>
      <c r="C1652" s="155" t="s">
        <v>4</v>
      </c>
      <c r="D1652" s="157" t="s">
        <v>5</v>
      </c>
    </row>
    <row r="1653" spans="1:4" ht="15" customHeight="1" x14ac:dyDescent="0.2">
      <c r="A1653" s="155" t="s">
        <v>813</v>
      </c>
      <c r="B1653" s="156">
        <v>125</v>
      </c>
      <c r="C1653" s="155" t="s">
        <v>4</v>
      </c>
      <c r="D1653" s="157" t="s">
        <v>5</v>
      </c>
    </row>
    <row r="1654" spans="1:4" ht="15" customHeight="1" x14ac:dyDescent="0.2">
      <c r="A1654" s="155" t="s">
        <v>1852</v>
      </c>
      <c r="B1654" s="156">
        <v>75</v>
      </c>
      <c r="C1654" s="155" t="s">
        <v>4</v>
      </c>
      <c r="D1654" s="157" t="s">
        <v>5</v>
      </c>
    </row>
    <row r="1655" spans="1:4" ht="15" customHeight="1" x14ac:dyDescent="0.2">
      <c r="A1655" s="155" t="s">
        <v>805</v>
      </c>
      <c r="B1655" s="156">
        <v>25</v>
      </c>
      <c r="C1655" s="155" t="s">
        <v>4</v>
      </c>
      <c r="D1655" s="157" t="s">
        <v>5</v>
      </c>
    </row>
    <row r="1656" spans="1:4" ht="15" customHeight="1" x14ac:dyDescent="0.2">
      <c r="A1656" s="155" t="s">
        <v>1844</v>
      </c>
      <c r="B1656" s="156">
        <v>125</v>
      </c>
      <c r="C1656" s="155" t="s">
        <v>4</v>
      </c>
      <c r="D1656" s="157" t="s">
        <v>5</v>
      </c>
    </row>
    <row r="1657" spans="1:4" ht="15" customHeight="1" x14ac:dyDescent="0.2">
      <c r="A1657" s="155" t="s">
        <v>861</v>
      </c>
      <c r="B1657" s="156">
        <v>125</v>
      </c>
      <c r="C1657" s="155" t="s">
        <v>4</v>
      </c>
      <c r="D1657" s="157" t="s">
        <v>5</v>
      </c>
    </row>
    <row r="1658" spans="1:4" ht="15" customHeight="1" x14ac:dyDescent="0.2">
      <c r="A1658" s="155" t="s">
        <v>1900</v>
      </c>
      <c r="B1658" s="156">
        <v>125</v>
      </c>
      <c r="C1658" s="155" t="s">
        <v>4</v>
      </c>
      <c r="D1658" s="157" t="s">
        <v>5</v>
      </c>
    </row>
    <row r="1659" spans="1:4" ht="15" customHeight="1" x14ac:dyDescent="0.2">
      <c r="A1659" s="155" t="s">
        <v>853</v>
      </c>
      <c r="B1659" s="158">
        <v>2334.44</v>
      </c>
      <c r="C1659" s="155" t="s">
        <v>4</v>
      </c>
      <c r="D1659" s="157" t="s">
        <v>5</v>
      </c>
    </row>
    <row r="1660" spans="1:4" ht="15" customHeight="1" x14ac:dyDescent="0.2">
      <c r="A1660" s="155" t="s">
        <v>1892</v>
      </c>
      <c r="B1660" s="156">
        <v>125</v>
      </c>
      <c r="C1660" s="155" t="s">
        <v>4</v>
      </c>
      <c r="D1660" s="157" t="s">
        <v>5</v>
      </c>
    </row>
    <row r="1661" spans="1:4" ht="15" customHeight="1" x14ac:dyDescent="0.2">
      <c r="A1661" s="155" t="s">
        <v>845</v>
      </c>
      <c r="B1661" s="156">
        <v>125</v>
      </c>
      <c r="C1661" s="155" t="s">
        <v>4</v>
      </c>
      <c r="D1661" s="157" t="s">
        <v>5</v>
      </c>
    </row>
    <row r="1662" spans="1:4" ht="15" customHeight="1" x14ac:dyDescent="0.2">
      <c r="A1662" s="155" t="s">
        <v>1884</v>
      </c>
      <c r="B1662" s="156">
        <v>450</v>
      </c>
      <c r="C1662" s="155" t="s">
        <v>4</v>
      </c>
      <c r="D1662" s="157" t="s">
        <v>5</v>
      </c>
    </row>
    <row r="1663" spans="1:4" ht="15" customHeight="1" x14ac:dyDescent="0.2">
      <c r="A1663" s="155" t="s">
        <v>837</v>
      </c>
      <c r="B1663" s="156">
        <v>125</v>
      </c>
      <c r="C1663" s="155" t="s">
        <v>4</v>
      </c>
      <c r="D1663" s="157" t="s">
        <v>5</v>
      </c>
    </row>
    <row r="1664" spans="1:4" ht="15" customHeight="1" x14ac:dyDescent="0.2">
      <c r="A1664" s="155" t="s">
        <v>1876</v>
      </c>
      <c r="B1664" s="156">
        <v>50</v>
      </c>
      <c r="C1664" s="155" t="s">
        <v>4</v>
      </c>
      <c r="D1664" s="157" t="s">
        <v>5</v>
      </c>
    </row>
    <row r="1665" spans="1:4" ht="15" customHeight="1" x14ac:dyDescent="0.2">
      <c r="A1665" s="155" t="s">
        <v>1424</v>
      </c>
      <c r="B1665" s="156">
        <v>50</v>
      </c>
      <c r="C1665" s="155" t="s">
        <v>4</v>
      </c>
      <c r="D1665" s="157" t="s">
        <v>5</v>
      </c>
    </row>
    <row r="1666" spans="1:4" ht="15" customHeight="1" x14ac:dyDescent="0.2">
      <c r="A1666" s="155" t="s">
        <v>377</v>
      </c>
      <c r="B1666" s="156">
        <v>50</v>
      </c>
      <c r="C1666" s="155" t="s">
        <v>4</v>
      </c>
      <c r="D1666" s="157" t="s">
        <v>5</v>
      </c>
    </row>
    <row r="1667" spans="1:4" ht="15" customHeight="1" x14ac:dyDescent="0.2">
      <c r="A1667" s="155" t="s">
        <v>1416</v>
      </c>
      <c r="B1667" s="156">
        <v>50</v>
      </c>
      <c r="C1667" s="155" t="s">
        <v>4</v>
      </c>
      <c r="D1667" s="157" t="s">
        <v>5</v>
      </c>
    </row>
    <row r="1668" spans="1:4" ht="15" customHeight="1" x14ac:dyDescent="0.2">
      <c r="A1668" s="155" t="s">
        <v>369</v>
      </c>
      <c r="B1668" s="156">
        <v>50</v>
      </c>
      <c r="C1668" s="155" t="s">
        <v>4</v>
      </c>
      <c r="D1668" s="157" t="s">
        <v>5</v>
      </c>
    </row>
    <row r="1669" spans="1:4" ht="15" customHeight="1" x14ac:dyDescent="0.2">
      <c r="A1669" s="155" t="s">
        <v>1408</v>
      </c>
      <c r="B1669" s="156">
        <v>50</v>
      </c>
      <c r="C1669" s="155" t="s">
        <v>4</v>
      </c>
      <c r="D1669" s="157" t="s">
        <v>5</v>
      </c>
    </row>
    <row r="1670" spans="1:4" ht="15" customHeight="1" x14ac:dyDescent="0.2">
      <c r="A1670" s="155" t="s">
        <v>361</v>
      </c>
      <c r="B1670" s="156">
        <v>50</v>
      </c>
      <c r="C1670" s="155" t="s">
        <v>4</v>
      </c>
      <c r="D1670" s="157" t="s">
        <v>5</v>
      </c>
    </row>
    <row r="1671" spans="1:4" ht="15" customHeight="1" x14ac:dyDescent="0.2">
      <c r="A1671" s="155" t="s">
        <v>1400</v>
      </c>
      <c r="B1671" s="156">
        <v>50</v>
      </c>
      <c r="C1671" s="155" t="s">
        <v>4</v>
      </c>
      <c r="D1671" s="157" t="s">
        <v>5</v>
      </c>
    </row>
    <row r="1672" spans="1:4" ht="15" customHeight="1" x14ac:dyDescent="0.2">
      <c r="A1672" s="155" t="s">
        <v>353</v>
      </c>
      <c r="B1672" s="156">
        <v>50</v>
      </c>
      <c r="C1672" s="155" t="s">
        <v>4</v>
      </c>
      <c r="D1672" s="157" t="s">
        <v>5</v>
      </c>
    </row>
    <row r="1673" spans="1:4" ht="15" customHeight="1" x14ac:dyDescent="0.2">
      <c r="A1673" s="155" t="s">
        <v>1457</v>
      </c>
      <c r="B1673" s="156">
        <v>125</v>
      </c>
      <c r="C1673" s="155" t="s">
        <v>4</v>
      </c>
      <c r="D1673" s="157" t="s">
        <v>5</v>
      </c>
    </row>
    <row r="1674" spans="1:4" ht="15" customHeight="1" x14ac:dyDescent="0.2">
      <c r="A1674" s="155" t="s">
        <v>410</v>
      </c>
      <c r="B1674" s="156">
        <v>50</v>
      </c>
      <c r="C1674" s="155" t="s">
        <v>4</v>
      </c>
      <c r="D1674" s="157" t="s">
        <v>5</v>
      </c>
    </row>
    <row r="1675" spans="1:4" ht="15" customHeight="1" x14ac:dyDescent="0.2">
      <c r="A1675" s="155" t="s">
        <v>1449</v>
      </c>
      <c r="B1675" s="156">
        <v>125</v>
      </c>
      <c r="C1675" s="155" t="s">
        <v>4</v>
      </c>
      <c r="D1675" s="157" t="s">
        <v>5</v>
      </c>
    </row>
    <row r="1676" spans="1:4" ht="15" customHeight="1" x14ac:dyDescent="0.2">
      <c r="A1676" s="155" t="s">
        <v>401</v>
      </c>
      <c r="B1676" s="156">
        <v>125</v>
      </c>
      <c r="C1676" s="155" t="s">
        <v>4</v>
      </c>
      <c r="D1676" s="157" t="s">
        <v>5</v>
      </c>
    </row>
    <row r="1677" spans="1:4" ht="15" customHeight="1" x14ac:dyDescent="0.2">
      <c r="A1677" s="155" t="s">
        <v>1440</v>
      </c>
      <c r="B1677" s="156">
        <v>125</v>
      </c>
      <c r="C1677" s="155" t="s">
        <v>4</v>
      </c>
      <c r="D1677" s="157" t="s">
        <v>5</v>
      </c>
    </row>
    <row r="1678" spans="1:4" ht="15" customHeight="1" x14ac:dyDescent="0.2">
      <c r="A1678" s="155" t="s">
        <v>393</v>
      </c>
      <c r="B1678" s="156">
        <v>125</v>
      </c>
      <c r="C1678" s="155" t="s">
        <v>4</v>
      </c>
      <c r="D1678" s="157" t="s">
        <v>5</v>
      </c>
    </row>
    <row r="1679" spans="1:4" ht="15" customHeight="1" x14ac:dyDescent="0.2">
      <c r="A1679" s="155" t="s">
        <v>1432</v>
      </c>
      <c r="B1679" s="156">
        <v>125</v>
      </c>
      <c r="C1679" s="155" t="s">
        <v>4</v>
      </c>
      <c r="D1679" s="157" t="s">
        <v>5</v>
      </c>
    </row>
    <row r="1680" spans="1:4" ht="15" customHeight="1" x14ac:dyDescent="0.2">
      <c r="A1680" s="155" t="s">
        <v>385</v>
      </c>
      <c r="B1680" s="156">
        <v>50</v>
      </c>
      <c r="C1680" s="155" t="s">
        <v>4</v>
      </c>
      <c r="D1680" s="157" t="s">
        <v>5</v>
      </c>
    </row>
    <row r="1681" spans="1:4" ht="15" customHeight="1" x14ac:dyDescent="0.2">
      <c r="A1681" s="155" t="s">
        <v>1490</v>
      </c>
      <c r="B1681" s="156">
        <v>125</v>
      </c>
      <c r="C1681" s="155" t="s">
        <v>4</v>
      </c>
      <c r="D1681" s="157" t="s">
        <v>5</v>
      </c>
    </row>
    <row r="1682" spans="1:4" ht="15" customHeight="1" x14ac:dyDescent="0.2">
      <c r="A1682" s="155" t="s">
        <v>442</v>
      </c>
      <c r="B1682" s="156">
        <v>125</v>
      </c>
      <c r="C1682" s="155" t="s">
        <v>4</v>
      </c>
      <c r="D1682" s="157" t="s">
        <v>5</v>
      </c>
    </row>
    <row r="1683" spans="1:4" ht="15" customHeight="1" x14ac:dyDescent="0.2">
      <c r="A1683" s="155" t="s">
        <v>1481</v>
      </c>
      <c r="B1683" s="156">
        <v>125</v>
      </c>
      <c r="C1683" s="155" t="s">
        <v>4</v>
      </c>
      <c r="D1683" s="157" t="s">
        <v>5</v>
      </c>
    </row>
    <row r="1684" spans="1:4" ht="15" customHeight="1" x14ac:dyDescent="0.2">
      <c r="A1684" s="155" t="s">
        <v>434</v>
      </c>
      <c r="B1684" s="156">
        <v>125</v>
      </c>
      <c r="C1684" s="155" t="s">
        <v>4</v>
      </c>
      <c r="D1684" s="157" t="s">
        <v>5</v>
      </c>
    </row>
    <row r="1685" spans="1:4" ht="15" customHeight="1" x14ac:dyDescent="0.2">
      <c r="A1685" s="155" t="s">
        <v>1473</v>
      </c>
      <c r="B1685" s="156">
        <v>125</v>
      </c>
      <c r="C1685" s="155" t="s">
        <v>4</v>
      </c>
      <c r="D1685" s="157" t="s">
        <v>5</v>
      </c>
    </row>
    <row r="1686" spans="1:4" ht="15" customHeight="1" x14ac:dyDescent="0.2">
      <c r="A1686" s="155" t="s">
        <v>426</v>
      </c>
      <c r="B1686" s="156">
        <v>5</v>
      </c>
      <c r="C1686" s="155" t="s">
        <v>4</v>
      </c>
      <c r="D1686" s="157" t="s">
        <v>5</v>
      </c>
    </row>
    <row r="1687" spans="1:4" ht="15" customHeight="1" x14ac:dyDescent="0.2">
      <c r="A1687" s="155" t="s">
        <v>1465</v>
      </c>
      <c r="B1687" s="156">
        <v>650</v>
      </c>
      <c r="C1687" s="155" t="s">
        <v>4</v>
      </c>
      <c r="D1687" s="157" t="s">
        <v>5</v>
      </c>
    </row>
    <row r="1688" spans="1:4" ht="15" customHeight="1" x14ac:dyDescent="0.2">
      <c r="A1688" s="155" t="s">
        <v>418</v>
      </c>
      <c r="B1688" s="156">
        <v>25</v>
      </c>
      <c r="C1688" s="155" t="s">
        <v>4</v>
      </c>
      <c r="D1688" s="157" t="s">
        <v>5</v>
      </c>
    </row>
    <row r="1689" spans="1:4" ht="15" customHeight="1" x14ac:dyDescent="0.2">
      <c r="A1689" s="155" t="s">
        <v>1522</v>
      </c>
      <c r="B1689" s="156">
        <v>125</v>
      </c>
      <c r="C1689" s="155" t="s">
        <v>4</v>
      </c>
      <c r="D1689" s="157" t="s">
        <v>5</v>
      </c>
    </row>
    <row r="1690" spans="1:4" ht="15" customHeight="1" x14ac:dyDescent="0.2">
      <c r="A1690" s="155" t="s">
        <v>475</v>
      </c>
      <c r="B1690" s="156">
        <v>125</v>
      </c>
      <c r="C1690" s="155" t="s">
        <v>4</v>
      </c>
      <c r="D1690" s="157" t="s">
        <v>5</v>
      </c>
    </row>
    <row r="1691" spans="1:4" ht="15" customHeight="1" x14ac:dyDescent="0.2">
      <c r="A1691" s="155" t="s">
        <v>1514</v>
      </c>
      <c r="B1691" s="156">
        <v>125</v>
      </c>
      <c r="C1691" s="155" t="s">
        <v>4</v>
      </c>
      <c r="D1691" s="157" t="s">
        <v>5</v>
      </c>
    </row>
    <row r="1692" spans="1:4" ht="15" customHeight="1" x14ac:dyDescent="0.2">
      <c r="A1692" s="155" t="s">
        <v>467</v>
      </c>
      <c r="B1692" s="156">
        <v>225</v>
      </c>
      <c r="C1692" s="155" t="s">
        <v>4</v>
      </c>
      <c r="D1692" s="157" t="s">
        <v>5</v>
      </c>
    </row>
    <row r="1693" spans="1:4" ht="15" customHeight="1" x14ac:dyDescent="0.2">
      <c r="A1693" s="155" t="s">
        <v>1506</v>
      </c>
      <c r="B1693" s="156">
        <v>125</v>
      </c>
      <c r="C1693" s="155" t="s">
        <v>4</v>
      </c>
      <c r="D1693" s="157" t="s">
        <v>5</v>
      </c>
    </row>
    <row r="1694" spans="1:4" ht="15" customHeight="1" x14ac:dyDescent="0.2">
      <c r="A1694" s="155" t="s">
        <v>459</v>
      </c>
      <c r="B1694" s="156">
        <v>50</v>
      </c>
      <c r="C1694" s="155" t="s">
        <v>4</v>
      </c>
      <c r="D1694" s="157" t="s">
        <v>5</v>
      </c>
    </row>
    <row r="1695" spans="1:4" ht="15" customHeight="1" x14ac:dyDescent="0.2">
      <c r="A1695" s="155" t="s">
        <v>1498</v>
      </c>
      <c r="B1695" s="156">
        <v>50</v>
      </c>
      <c r="C1695" s="155" t="s">
        <v>4</v>
      </c>
      <c r="D1695" s="157" t="s">
        <v>5</v>
      </c>
    </row>
    <row r="1696" spans="1:4" ht="15" customHeight="1" x14ac:dyDescent="0.2">
      <c r="A1696" s="155" t="s">
        <v>451</v>
      </c>
      <c r="B1696" s="156">
        <v>50</v>
      </c>
      <c r="C1696" s="155" t="s">
        <v>4</v>
      </c>
      <c r="D1696" s="157" t="s">
        <v>5</v>
      </c>
    </row>
    <row r="1697" spans="1:4" ht="15" customHeight="1" x14ac:dyDescent="0.2">
      <c r="A1697" s="155" t="s">
        <v>1549</v>
      </c>
      <c r="B1697" s="156">
        <v>50</v>
      </c>
      <c r="C1697" s="155" t="s">
        <v>4</v>
      </c>
      <c r="D1697" s="157" t="s">
        <v>5</v>
      </c>
    </row>
    <row r="1698" spans="1:4" ht="15" customHeight="1" x14ac:dyDescent="0.2">
      <c r="A1698" s="155" t="s">
        <v>502</v>
      </c>
      <c r="B1698" s="156">
        <v>50</v>
      </c>
      <c r="C1698" s="155" t="s">
        <v>4</v>
      </c>
      <c r="D1698" s="157" t="s">
        <v>5</v>
      </c>
    </row>
    <row r="1699" spans="1:4" ht="15" customHeight="1" x14ac:dyDescent="0.2">
      <c r="A1699" s="155" t="s">
        <v>1541</v>
      </c>
      <c r="B1699" s="156">
        <v>50</v>
      </c>
      <c r="C1699" s="155" t="s">
        <v>4</v>
      </c>
      <c r="D1699" s="157" t="s">
        <v>5</v>
      </c>
    </row>
    <row r="1700" spans="1:4" ht="15" customHeight="1" x14ac:dyDescent="0.2">
      <c r="A1700" s="155" t="s">
        <v>494</v>
      </c>
      <c r="B1700" s="156">
        <v>50</v>
      </c>
      <c r="C1700" s="155" t="s">
        <v>4</v>
      </c>
      <c r="D1700" s="157" t="s">
        <v>5</v>
      </c>
    </row>
    <row r="1701" spans="1:4" ht="15" customHeight="1" x14ac:dyDescent="0.2">
      <c r="A1701" s="155" t="s">
        <v>1533</v>
      </c>
      <c r="B1701" s="156">
        <v>50</v>
      </c>
      <c r="C1701" s="155" t="s">
        <v>4</v>
      </c>
      <c r="D1701" s="157" t="s">
        <v>5</v>
      </c>
    </row>
    <row r="1702" spans="1:4" ht="15" customHeight="1" x14ac:dyDescent="0.2">
      <c r="A1702" s="155" t="s">
        <v>486</v>
      </c>
      <c r="B1702" s="156">
        <v>50</v>
      </c>
      <c r="C1702" s="155" t="s">
        <v>4</v>
      </c>
      <c r="D1702" s="157" t="s">
        <v>5</v>
      </c>
    </row>
    <row r="1703" spans="1:4" ht="15" customHeight="1" x14ac:dyDescent="0.2">
      <c r="A1703" s="155" t="s">
        <v>1530</v>
      </c>
      <c r="B1703" s="156">
        <v>50</v>
      </c>
      <c r="C1703" s="155" t="s">
        <v>4</v>
      </c>
      <c r="D1703" s="157" t="s">
        <v>5</v>
      </c>
    </row>
    <row r="1704" spans="1:4" ht="15" customHeight="1" x14ac:dyDescent="0.2">
      <c r="A1704" s="155" t="s">
        <v>483</v>
      </c>
      <c r="B1704" s="156">
        <v>50</v>
      </c>
      <c r="C1704" s="155" t="s">
        <v>4</v>
      </c>
      <c r="D1704" s="157" t="s">
        <v>5</v>
      </c>
    </row>
    <row r="1705" spans="1:4" ht="15" customHeight="1" x14ac:dyDescent="0.2">
      <c r="A1705" s="155" t="s">
        <v>1582</v>
      </c>
      <c r="B1705" s="156">
        <v>50</v>
      </c>
      <c r="C1705" s="155" t="s">
        <v>4</v>
      </c>
      <c r="D1705" s="157" t="s">
        <v>5</v>
      </c>
    </row>
    <row r="1706" spans="1:4" ht="15" customHeight="1" x14ac:dyDescent="0.2">
      <c r="A1706" s="155" t="s">
        <v>535</v>
      </c>
      <c r="B1706" s="156">
        <v>50</v>
      </c>
      <c r="C1706" s="155" t="s">
        <v>4</v>
      </c>
      <c r="D1706" s="157" t="s">
        <v>5</v>
      </c>
    </row>
    <row r="1707" spans="1:4" ht="15" customHeight="1" x14ac:dyDescent="0.2">
      <c r="A1707" s="155" t="s">
        <v>1574</v>
      </c>
      <c r="B1707" s="156">
        <v>50</v>
      </c>
      <c r="C1707" s="155" t="s">
        <v>4</v>
      </c>
      <c r="D1707" s="157" t="s">
        <v>5</v>
      </c>
    </row>
    <row r="1708" spans="1:4" ht="15" customHeight="1" x14ac:dyDescent="0.2">
      <c r="A1708" s="155" t="s">
        <v>527</v>
      </c>
      <c r="B1708" s="156">
        <v>125</v>
      </c>
      <c r="C1708" s="155" t="s">
        <v>4</v>
      </c>
      <c r="D1708" s="157" t="s">
        <v>5</v>
      </c>
    </row>
    <row r="1709" spans="1:4" ht="15" customHeight="1" x14ac:dyDescent="0.2">
      <c r="A1709" s="155" t="s">
        <v>1566</v>
      </c>
      <c r="B1709" s="156">
        <v>125</v>
      </c>
      <c r="C1709" s="155" t="s">
        <v>4</v>
      </c>
      <c r="D1709" s="157" t="s">
        <v>5</v>
      </c>
    </row>
    <row r="1710" spans="1:4" ht="15" customHeight="1" x14ac:dyDescent="0.2">
      <c r="A1710" s="155" t="s">
        <v>518</v>
      </c>
      <c r="B1710" s="156">
        <v>125</v>
      </c>
      <c r="C1710" s="155" t="s">
        <v>4</v>
      </c>
      <c r="D1710" s="157" t="s">
        <v>5</v>
      </c>
    </row>
    <row r="1711" spans="1:4" ht="15" customHeight="1" x14ac:dyDescent="0.2">
      <c r="A1711" s="155" t="s">
        <v>1557</v>
      </c>
      <c r="B1711" s="156">
        <v>25</v>
      </c>
      <c r="C1711" s="155" t="s">
        <v>4</v>
      </c>
      <c r="D1711" s="157" t="s">
        <v>5</v>
      </c>
    </row>
    <row r="1712" spans="1:4" ht="15" customHeight="1" x14ac:dyDescent="0.2">
      <c r="A1712" s="155" t="s">
        <v>510</v>
      </c>
      <c r="B1712" s="156">
        <v>125</v>
      </c>
      <c r="C1712" s="155" t="s">
        <v>4</v>
      </c>
      <c r="D1712" s="157" t="s">
        <v>5</v>
      </c>
    </row>
    <row r="1713" spans="1:4" ht="15" customHeight="1" x14ac:dyDescent="0.2">
      <c r="A1713" s="155" t="s">
        <v>1616</v>
      </c>
      <c r="B1713" s="156">
        <v>125</v>
      </c>
      <c r="C1713" s="155" t="s">
        <v>4</v>
      </c>
      <c r="D1713" s="157" t="s">
        <v>5</v>
      </c>
    </row>
    <row r="1714" spans="1:4" ht="15" customHeight="1" x14ac:dyDescent="0.2">
      <c r="A1714" s="155" t="s">
        <v>569</v>
      </c>
      <c r="B1714" s="156">
        <v>50</v>
      </c>
      <c r="C1714" s="155" t="s">
        <v>4</v>
      </c>
      <c r="D1714" s="157" t="s">
        <v>5</v>
      </c>
    </row>
    <row r="1715" spans="1:4" ht="15" customHeight="1" x14ac:dyDescent="0.2">
      <c r="A1715" s="155" t="s">
        <v>1607</v>
      </c>
      <c r="B1715" s="156">
        <v>50</v>
      </c>
      <c r="C1715" s="155" t="s">
        <v>4</v>
      </c>
      <c r="D1715" s="157" t="s">
        <v>5</v>
      </c>
    </row>
    <row r="1716" spans="1:4" ht="15" customHeight="1" x14ac:dyDescent="0.2">
      <c r="A1716" s="155" t="s">
        <v>559</v>
      </c>
      <c r="B1716" s="156">
        <v>50</v>
      </c>
      <c r="C1716" s="155" t="s">
        <v>4</v>
      </c>
      <c r="D1716" s="157" t="s">
        <v>5</v>
      </c>
    </row>
    <row r="1717" spans="1:4" ht="15" customHeight="1" x14ac:dyDescent="0.2">
      <c r="A1717" s="155" t="s">
        <v>1598</v>
      </c>
      <c r="B1717" s="156">
        <v>50</v>
      </c>
      <c r="C1717" s="155" t="s">
        <v>4</v>
      </c>
      <c r="D1717" s="157" t="s">
        <v>5</v>
      </c>
    </row>
    <row r="1718" spans="1:4" ht="15" customHeight="1" x14ac:dyDescent="0.2">
      <c r="A1718" s="155" t="s">
        <v>551</v>
      </c>
      <c r="B1718" s="156">
        <v>50</v>
      </c>
      <c r="C1718" s="155" t="s">
        <v>4</v>
      </c>
      <c r="D1718" s="157" t="s">
        <v>5</v>
      </c>
    </row>
    <row r="1719" spans="1:4" ht="15" customHeight="1" x14ac:dyDescent="0.2">
      <c r="A1719" s="155" t="s">
        <v>1590</v>
      </c>
      <c r="B1719" s="156">
        <v>50</v>
      </c>
      <c r="C1719" s="155" t="s">
        <v>4</v>
      </c>
      <c r="D1719" s="157" t="s">
        <v>5</v>
      </c>
    </row>
    <row r="1720" spans="1:4" ht="15" customHeight="1" x14ac:dyDescent="0.2">
      <c r="A1720" s="155" t="s">
        <v>543</v>
      </c>
      <c r="B1720" s="156">
        <v>50</v>
      </c>
      <c r="C1720" s="155" t="s">
        <v>4</v>
      </c>
      <c r="D1720" s="157" t="s">
        <v>5</v>
      </c>
    </row>
    <row r="1721" spans="1:4" ht="15" customHeight="1" x14ac:dyDescent="0.2">
      <c r="A1721" s="155" t="s">
        <v>1646</v>
      </c>
      <c r="B1721" s="156">
        <v>50</v>
      </c>
      <c r="C1721" s="155" t="s">
        <v>4</v>
      </c>
      <c r="D1721" s="157" t="s">
        <v>5</v>
      </c>
    </row>
    <row r="1722" spans="1:4" ht="15" customHeight="1" x14ac:dyDescent="0.2">
      <c r="A1722" s="155" t="s">
        <v>600</v>
      </c>
      <c r="B1722" s="156">
        <v>50</v>
      </c>
      <c r="C1722" s="155" t="s">
        <v>4</v>
      </c>
      <c r="D1722" s="157" t="s">
        <v>5</v>
      </c>
    </row>
    <row r="1723" spans="1:4" ht="15" customHeight="1" x14ac:dyDescent="0.2">
      <c r="A1723" s="155" t="s">
        <v>1639</v>
      </c>
      <c r="B1723" s="156">
        <v>50</v>
      </c>
      <c r="C1723" s="155" t="s">
        <v>4</v>
      </c>
      <c r="D1723" s="157" t="s">
        <v>5</v>
      </c>
    </row>
    <row r="1724" spans="1:4" ht="15" customHeight="1" x14ac:dyDescent="0.2">
      <c r="A1724" s="155" t="s">
        <v>593</v>
      </c>
      <c r="B1724" s="156">
        <v>50</v>
      </c>
      <c r="C1724" s="155" t="s">
        <v>4</v>
      </c>
      <c r="D1724" s="157" t="s">
        <v>5</v>
      </c>
    </row>
    <row r="1725" spans="1:4" ht="15" customHeight="1" x14ac:dyDescent="0.2">
      <c r="A1725" s="155" t="s">
        <v>1632</v>
      </c>
      <c r="B1725" s="156">
        <v>50</v>
      </c>
      <c r="C1725" s="155" t="s">
        <v>4</v>
      </c>
      <c r="D1725" s="157" t="s">
        <v>5</v>
      </c>
    </row>
    <row r="1726" spans="1:4" ht="15" customHeight="1" x14ac:dyDescent="0.2">
      <c r="A1726" s="155" t="s">
        <v>585</v>
      </c>
      <c r="B1726" s="156">
        <v>50</v>
      </c>
      <c r="C1726" s="155" t="s">
        <v>4</v>
      </c>
      <c r="D1726" s="157" t="s">
        <v>5</v>
      </c>
    </row>
    <row r="1727" spans="1:4" ht="15" customHeight="1" x14ac:dyDescent="0.2">
      <c r="A1727" s="155" t="s">
        <v>1624</v>
      </c>
      <c r="B1727" s="156">
        <v>50</v>
      </c>
      <c r="C1727" s="155" t="s">
        <v>4</v>
      </c>
      <c r="D1727" s="157" t="s">
        <v>5</v>
      </c>
    </row>
    <row r="1728" spans="1:4" ht="15" customHeight="1" x14ac:dyDescent="0.2">
      <c r="A1728" s="155" t="s">
        <v>577</v>
      </c>
      <c r="B1728" s="156">
        <v>125</v>
      </c>
      <c r="C1728" s="155" t="s">
        <v>4</v>
      </c>
      <c r="D1728" s="157" t="s">
        <v>5</v>
      </c>
    </row>
    <row r="1729" spans="1:4" ht="15" customHeight="1" x14ac:dyDescent="0.2">
      <c r="A1729" s="155" t="s">
        <v>1160</v>
      </c>
      <c r="B1729" s="156">
        <v>125</v>
      </c>
      <c r="C1729" s="155" t="s">
        <v>4</v>
      </c>
      <c r="D1729" s="157" t="s">
        <v>5</v>
      </c>
    </row>
    <row r="1730" spans="1:4" ht="15" customHeight="1" x14ac:dyDescent="0.2">
      <c r="A1730" s="155" t="s">
        <v>114</v>
      </c>
      <c r="B1730" s="156">
        <v>25</v>
      </c>
      <c r="C1730" s="155" t="s">
        <v>4</v>
      </c>
      <c r="D1730" s="157" t="s">
        <v>5</v>
      </c>
    </row>
    <row r="1731" spans="1:4" ht="15" customHeight="1" x14ac:dyDescent="0.2">
      <c r="A1731" s="155" t="s">
        <v>1150</v>
      </c>
      <c r="B1731" s="156">
        <v>2585</v>
      </c>
      <c r="C1731" s="155" t="s">
        <v>4</v>
      </c>
      <c r="D1731" s="157" t="s">
        <v>5</v>
      </c>
    </row>
    <row r="1732" spans="1:4" ht="15" customHeight="1" x14ac:dyDescent="0.2">
      <c r="A1732" s="155" t="s">
        <v>105</v>
      </c>
      <c r="B1732" s="156">
        <v>125</v>
      </c>
      <c r="C1732" s="155" t="s">
        <v>4</v>
      </c>
      <c r="D1732" s="157" t="s">
        <v>5</v>
      </c>
    </row>
    <row r="1733" spans="1:4" ht="15" customHeight="1" x14ac:dyDescent="0.2">
      <c r="A1733" s="155" t="s">
        <v>1141</v>
      </c>
      <c r="B1733" s="156">
        <v>125</v>
      </c>
      <c r="C1733" s="155" t="s">
        <v>4</v>
      </c>
      <c r="D1733" s="157" t="s">
        <v>5</v>
      </c>
    </row>
    <row r="1734" spans="1:4" ht="15" customHeight="1" x14ac:dyDescent="0.2">
      <c r="A1734" s="155" t="s">
        <v>96</v>
      </c>
      <c r="B1734" s="156">
        <v>125</v>
      </c>
      <c r="C1734" s="155" t="s">
        <v>4</v>
      </c>
      <c r="D1734" s="157" t="s">
        <v>5</v>
      </c>
    </row>
    <row r="1735" spans="1:4" ht="15" customHeight="1" x14ac:dyDescent="0.2">
      <c r="A1735" s="155" t="s">
        <v>1132</v>
      </c>
      <c r="B1735" s="156">
        <v>125</v>
      </c>
      <c r="C1735" s="155" t="s">
        <v>4</v>
      </c>
      <c r="D1735" s="157" t="s">
        <v>5</v>
      </c>
    </row>
    <row r="1736" spans="1:4" ht="15" customHeight="1" x14ac:dyDescent="0.2">
      <c r="A1736" s="155" t="s">
        <v>87</v>
      </c>
      <c r="B1736" s="156">
        <v>25</v>
      </c>
      <c r="C1736" s="155" t="s">
        <v>4</v>
      </c>
      <c r="D1736" s="157" t="s">
        <v>5</v>
      </c>
    </row>
    <row r="1737" spans="1:4" ht="15" customHeight="1" x14ac:dyDescent="0.2">
      <c r="A1737" s="155" t="s">
        <v>1196</v>
      </c>
      <c r="B1737" s="156">
        <v>125</v>
      </c>
      <c r="C1737" s="155" t="s">
        <v>4</v>
      </c>
      <c r="D1737" s="157" t="s">
        <v>5</v>
      </c>
    </row>
    <row r="1738" spans="1:4" ht="15" customHeight="1" x14ac:dyDescent="0.2">
      <c r="A1738" s="155" t="s">
        <v>151</v>
      </c>
      <c r="B1738" s="156">
        <v>125</v>
      </c>
      <c r="C1738" s="155" t="s">
        <v>4</v>
      </c>
      <c r="D1738" s="157" t="s">
        <v>5</v>
      </c>
    </row>
    <row r="1739" spans="1:4" ht="15" customHeight="1" x14ac:dyDescent="0.2">
      <c r="A1739" s="155" t="s">
        <v>1187</v>
      </c>
      <c r="B1739" s="156">
        <v>125</v>
      </c>
      <c r="C1739" s="155" t="s">
        <v>4</v>
      </c>
      <c r="D1739" s="157" t="s">
        <v>5</v>
      </c>
    </row>
    <row r="1740" spans="1:4" ht="15" customHeight="1" x14ac:dyDescent="0.2">
      <c r="A1740" s="155" t="s">
        <v>142</v>
      </c>
      <c r="B1740" s="156">
        <v>125</v>
      </c>
      <c r="C1740" s="155" t="s">
        <v>4</v>
      </c>
      <c r="D1740" s="157" t="s">
        <v>5</v>
      </c>
    </row>
    <row r="1741" spans="1:4" ht="15" customHeight="1" x14ac:dyDescent="0.2">
      <c r="A1741" s="155" t="s">
        <v>1178</v>
      </c>
      <c r="B1741" s="156">
        <v>25</v>
      </c>
      <c r="C1741" s="155" t="s">
        <v>4</v>
      </c>
      <c r="D1741" s="157" t="s">
        <v>5</v>
      </c>
    </row>
    <row r="1742" spans="1:4" ht="15" customHeight="1" x14ac:dyDescent="0.2">
      <c r="A1742" s="155" t="s">
        <v>133</v>
      </c>
      <c r="B1742" s="159">
        <v>19.2</v>
      </c>
      <c r="C1742" s="155" t="s">
        <v>4</v>
      </c>
      <c r="D1742" s="157" t="s">
        <v>5</v>
      </c>
    </row>
    <row r="1743" spans="1:4" ht="15" customHeight="1" x14ac:dyDescent="0.2">
      <c r="A1743" s="155" t="s">
        <v>1169</v>
      </c>
      <c r="B1743" s="156">
        <v>125</v>
      </c>
      <c r="C1743" s="155" t="s">
        <v>4</v>
      </c>
      <c r="D1743" s="157" t="s">
        <v>5</v>
      </c>
    </row>
    <row r="1744" spans="1:4" ht="15" customHeight="1" x14ac:dyDescent="0.2">
      <c r="A1744" s="155" t="s">
        <v>124</v>
      </c>
      <c r="B1744" s="156">
        <v>125</v>
      </c>
      <c r="C1744" s="155" t="s">
        <v>4</v>
      </c>
      <c r="D1744" s="157" t="s">
        <v>5</v>
      </c>
    </row>
    <row r="1745" spans="1:4" ht="15" customHeight="1" x14ac:dyDescent="0.2">
      <c r="A1745" s="155" t="s">
        <v>1232</v>
      </c>
      <c r="B1745" s="158">
        <v>923.46</v>
      </c>
      <c r="C1745" s="155" t="s">
        <v>4</v>
      </c>
      <c r="D1745" s="157" t="s">
        <v>5</v>
      </c>
    </row>
    <row r="1746" spans="1:4" ht="15" customHeight="1" x14ac:dyDescent="0.2">
      <c r="A1746" s="155" t="s">
        <v>186</v>
      </c>
      <c r="B1746" s="156">
        <v>125</v>
      </c>
      <c r="C1746" s="155" t="s">
        <v>4</v>
      </c>
      <c r="D1746" s="157" t="s">
        <v>5</v>
      </c>
    </row>
    <row r="1747" spans="1:4" ht="15" customHeight="1" x14ac:dyDescent="0.2">
      <c r="A1747" s="155" t="s">
        <v>1224</v>
      </c>
      <c r="B1747" s="156">
        <v>125</v>
      </c>
      <c r="C1747" s="155" t="s">
        <v>4</v>
      </c>
      <c r="D1747" s="157" t="s">
        <v>5</v>
      </c>
    </row>
    <row r="1748" spans="1:4" ht="15" customHeight="1" x14ac:dyDescent="0.2">
      <c r="A1748" s="155" t="s">
        <v>178</v>
      </c>
      <c r="B1748" s="156">
        <v>125</v>
      </c>
      <c r="C1748" s="155" t="s">
        <v>4</v>
      </c>
      <c r="D1748" s="157" t="s">
        <v>5</v>
      </c>
    </row>
    <row r="1749" spans="1:4" ht="15" customHeight="1" x14ac:dyDescent="0.2">
      <c r="A1749" s="155" t="s">
        <v>1215</v>
      </c>
      <c r="B1749" s="156">
        <v>125</v>
      </c>
      <c r="C1749" s="155" t="s">
        <v>4</v>
      </c>
      <c r="D1749" s="157" t="s">
        <v>5</v>
      </c>
    </row>
    <row r="1750" spans="1:4" ht="15" customHeight="1" x14ac:dyDescent="0.2">
      <c r="A1750" s="155" t="s">
        <v>170</v>
      </c>
      <c r="B1750" s="156">
        <v>125</v>
      </c>
      <c r="C1750" s="155" t="s">
        <v>4</v>
      </c>
      <c r="D1750" s="157" t="s">
        <v>5</v>
      </c>
    </row>
    <row r="1751" spans="1:4" ht="15" customHeight="1" x14ac:dyDescent="0.2">
      <c r="A1751" s="155" t="s">
        <v>1206</v>
      </c>
      <c r="B1751" s="156">
        <v>75</v>
      </c>
      <c r="C1751" s="155" t="s">
        <v>4</v>
      </c>
      <c r="D1751" s="157" t="s">
        <v>5</v>
      </c>
    </row>
    <row r="1752" spans="1:4" ht="15" customHeight="1" x14ac:dyDescent="0.2">
      <c r="A1752" s="155" t="s">
        <v>160</v>
      </c>
      <c r="B1752" s="156">
        <v>125</v>
      </c>
      <c r="C1752" s="155" t="s">
        <v>4</v>
      </c>
      <c r="D1752" s="157" t="s">
        <v>5</v>
      </c>
    </row>
    <row r="1753" spans="1:4" ht="15" customHeight="1" x14ac:dyDescent="0.2">
      <c r="A1753" s="155" t="s">
        <v>1261</v>
      </c>
      <c r="B1753" s="156">
        <v>100</v>
      </c>
      <c r="C1753" s="155" t="s">
        <v>4</v>
      </c>
      <c r="D1753" s="157" t="s">
        <v>5</v>
      </c>
    </row>
    <row r="1754" spans="1:4" ht="15" customHeight="1" x14ac:dyDescent="0.2">
      <c r="A1754" s="155" t="s">
        <v>214</v>
      </c>
      <c r="B1754" s="156">
        <v>25</v>
      </c>
      <c r="C1754" s="155" t="s">
        <v>4</v>
      </c>
      <c r="D1754" s="157" t="s">
        <v>5</v>
      </c>
    </row>
    <row r="1755" spans="1:4" ht="15" customHeight="1" x14ac:dyDescent="0.2">
      <c r="A1755" s="155" t="s">
        <v>1253</v>
      </c>
      <c r="B1755" s="156">
        <v>125</v>
      </c>
      <c r="C1755" s="155" t="s">
        <v>4</v>
      </c>
      <c r="D1755" s="157" t="s">
        <v>5</v>
      </c>
    </row>
    <row r="1756" spans="1:4" ht="15" customHeight="1" x14ac:dyDescent="0.2">
      <c r="A1756" s="155" t="s">
        <v>206</v>
      </c>
      <c r="B1756" s="156">
        <v>25</v>
      </c>
      <c r="C1756" s="155" t="s">
        <v>4</v>
      </c>
      <c r="D1756" s="157" t="s">
        <v>5</v>
      </c>
    </row>
    <row r="1757" spans="1:4" ht="15" customHeight="1" x14ac:dyDescent="0.2">
      <c r="A1757" s="155" t="s">
        <v>1249</v>
      </c>
      <c r="B1757" s="156">
        <v>100</v>
      </c>
      <c r="C1757" s="155" t="s">
        <v>4</v>
      </c>
      <c r="D1757" s="157" t="s">
        <v>5</v>
      </c>
    </row>
    <row r="1758" spans="1:4" ht="15" customHeight="1" x14ac:dyDescent="0.2">
      <c r="A1758" s="155" t="s">
        <v>202</v>
      </c>
      <c r="B1758" s="156">
        <v>500</v>
      </c>
      <c r="C1758" s="155" t="s">
        <v>4</v>
      </c>
      <c r="D1758" s="157" t="s">
        <v>5</v>
      </c>
    </row>
    <row r="1759" spans="1:4" ht="15" customHeight="1" x14ac:dyDescent="0.2">
      <c r="A1759" s="155" t="s">
        <v>1240</v>
      </c>
      <c r="B1759" s="162">
        <v>231.839</v>
      </c>
      <c r="C1759" s="155" t="s">
        <v>4</v>
      </c>
      <c r="D1759" s="157" t="s">
        <v>5</v>
      </c>
    </row>
    <row r="1760" spans="1:4" ht="15" customHeight="1" x14ac:dyDescent="0.2">
      <c r="A1760" s="155" t="s">
        <v>194</v>
      </c>
      <c r="B1760" s="160">
        <v>736.68219999999997</v>
      </c>
      <c r="C1760" s="155" t="s">
        <v>4</v>
      </c>
      <c r="D1760" s="157" t="s">
        <v>5</v>
      </c>
    </row>
    <row r="1761" spans="1:4" ht="15" customHeight="1" x14ac:dyDescent="0.2">
      <c r="A1761" s="155" t="s">
        <v>1294</v>
      </c>
      <c r="B1761" s="156">
        <v>125</v>
      </c>
      <c r="C1761" s="155" t="s">
        <v>4</v>
      </c>
      <c r="D1761" s="157" t="s">
        <v>5</v>
      </c>
    </row>
    <row r="1762" spans="1:4" ht="15" customHeight="1" x14ac:dyDescent="0.2">
      <c r="A1762" s="155" t="s">
        <v>247</v>
      </c>
      <c r="B1762" s="156">
        <v>125</v>
      </c>
      <c r="C1762" s="155" t="s">
        <v>4</v>
      </c>
      <c r="D1762" s="157" t="s">
        <v>5</v>
      </c>
    </row>
    <row r="1763" spans="1:4" ht="15" customHeight="1" x14ac:dyDescent="0.2">
      <c r="A1763" s="155" t="s">
        <v>1286</v>
      </c>
      <c r="B1763" s="156">
        <v>125</v>
      </c>
      <c r="C1763" s="155" t="s">
        <v>4</v>
      </c>
      <c r="D1763" s="157" t="s">
        <v>5</v>
      </c>
    </row>
    <row r="1764" spans="1:4" ht="15" customHeight="1" x14ac:dyDescent="0.2">
      <c r="A1764" s="155" t="s">
        <v>238</v>
      </c>
      <c r="B1764" s="156">
        <v>125</v>
      </c>
      <c r="C1764" s="155" t="s">
        <v>4</v>
      </c>
      <c r="D1764" s="157" t="s">
        <v>5</v>
      </c>
    </row>
    <row r="1765" spans="1:4" ht="15" customHeight="1" x14ac:dyDescent="0.2">
      <c r="A1765" s="155" t="s">
        <v>1277</v>
      </c>
      <c r="B1765" s="156">
        <v>125</v>
      </c>
      <c r="C1765" s="155" t="s">
        <v>4</v>
      </c>
      <c r="D1765" s="157" t="s">
        <v>5</v>
      </c>
    </row>
    <row r="1766" spans="1:4" ht="15" customHeight="1" x14ac:dyDescent="0.2">
      <c r="A1766" s="155" t="s">
        <v>230</v>
      </c>
      <c r="B1766" s="156">
        <v>932</v>
      </c>
      <c r="C1766" s="155" t="s">
        <v>4</v>
      </c>
      <c r="D1766" s="157" t="s">
        <v>5</v>
      </c>
    </row>
    <row r="1767" spans="1:4" ht="15" customHeight="1" x14ac:dyDescent="0.2">
      <c r="A1767" s="155" t="s">
        <v>1269</v>
      </c>
      <c r="B1767" s="156">
        <v>125</v>
      </c>
      <c r="C1767" s="155" t="s">
        <v>4</v>
      </c>
      <c r="D1767" s="157" t="s">
        <v>5</v>
      </c>
    </row>
    <row r="1768" spans="1:4" ht="15" customHeight="1" x14ac:dyDescent="0.2">
      <c r="A1768" s="155" t="s">
        <v>222</v>
      </c>
      <c r="B1768" s="156">
        <v>125</v>
      </c>
      <c r="C1768" s="155" t="s">
        <v>4</v>
      </c>
      <c r="D1768" s="157" t="s">
        <v>5</v>
      </c>
    </row>
    <row r="1769" spans="1:4" ht="15" customHeight="1" x14ac:dyDescent="0.2">
      <c r="A1769" s="155" t="s">
        <v>1327</v>
      </c>
      <c r="B1769" s="158">
        <v>22.68</v>
      </c>
      <c r="C1769" s="155" t="s">
        <v>4</v>
      </c>
      <c r="D1769" s="157" t="s">
        <v>5</v>
      </c>
    </row>
    <row r="1770" spans="1:4" ht="15" customHeight="1" x14ac:dyDescent="0.2">
      <c r="A1770" s="155" t="s">
        <v>279</v>
      </c>
      <c r="B1770" s="156">
        <v>20</v>
      </c>
      <c r="C1770" s="155" t="s">
        <v>4</v>
      </c>
      <c r="D1770" s="157" t="s">
        <v>5</v>
      </c>
    </row>
    <row r="1771" spans="1:4" ht="15" customHeight="1" x14ac:dyDescent="0.2">
      <c r="A1771" s="155" t="s">
        <v>1318</v>
      </c>
      <c r="B1771" s="156">
        <v>125</v>
      </c>
      <c r="C1771" s="155" t="s">
        <v>4</v>
      </c>
      <c r="D1771" s="157" t="s">
        <v>5</v>
      </c>
    </row>
    <row r="1772" spans="1:4" ht="15" customHeight="1" x14ac:dyDescent="0.2">
      <c r="A1772" s="155" t="s">
        <v>271</v>
      </c>
      <c r="B1772" s="156">
        <v>125</v>
      </c>
      <c r="C1772" s="155" t="s">
        <v>4</v>
      </c>
      <c r="D1772" s="157" t="s">
        <v>5</v>
      </c>
    </row>
    <row r="1773" spans="1:4" ht="15" customHeight="1" x14ac:dyDescent="0.2">
      <c r="A1773" s="155" t="s">
        <v>1310</v>
      </c>
      <c r="B1773" s="156">
        <v>225</v>
      </c>
      <c r="C1773" s="155" t="s">
        <v>4</v>
      </c>
      <c r="D1773" s="157" t="s">
        <v>5</v>
      </c>
    </row>
    <row r="1774" spans="1:4" ht="15" customHeight="1" x14ac:dyDescent="0.2">
      <c r="A1774" s="155" t="s">
        <v>263</v>
      </c>
      <c r="B1774" s="156">
        <v>350</v>
      </c>
      <c r="C1774" s="155" t="s">
        <v>4</v>
      </c>
      <c r="D1774" s="157" t="s">
        <v>5</v>
      </c>
    </row>
    <row r="1775" spans="1:4" ht="15" customHeight="1" x14ac:dyDescent="0.2">
      <c r="A1775" s="155" t="s">
        <v>1302</v>
      </c>
      <c r="B1775" s="156">
        <v>125</v>
      </c>
      <c r="C1775" s="155" t="s">
        <v>4</v>
      </c>
      <c r="D1775" s="157" t="s">
        <v>5</v>
      </c>
    </row>
    <row r="1776" spans="1:4" ht="15" customHeight="1" x14ac:dyDescent="0.2">
      <c r="A1776" s="155" t="s">
        <v>255</v>
      </c>
      <c r="B1776" s="156">
        <v>125</v>
      </c>
      <c r="C1776" s="155" t="s">
        <v>4</v>
      </c>
      <c r="D1776" s="157" t="s">
        <v>5</v>
      </c>
    </row>
    <row r="1777" spans="1:4" ht="15" customHeight="1" x14ac:dyDescent="0.2">
      <c r="A1777" s="155" t="s">
        <v>1360</v>
      </c>
      <c r="B1777" s="156">
        <v>50</v>
      </c>
      <c r="C1777" s="155" t="s">
        <v>4</v>
      </c>
      <c r="D1777" s="157" t="s">
        <v>5</v>
      </c>
    </row>
    <row r="1778" spans="1:4" ht="15" customHeight="1" x14ac:dyDescent="0.2">
      <c r="A1778" s="155" t="s">
        <v>313</v>
      </c>
      <c r="B1778" s="156">
        <v>125</v>
      </c>
      <c r="C1778" s="155" t="s">
        <v>4</v>
      </c>
      <c r="D1778" s="157" t="s">
        <v>5</v>
      </c>
    </row>
    <row r="1779" spans="1:4" ht="15" customHeight="1" x14ac:dyDescent="0.2">
      <c r="A1779" s="155" t="s">
        <v>1352</v>
      </c>
      <c r="B1779" s="156">
        <v>50</v>
      </c>
      <c r="C1779" s="155" t="s">
        <v>4</v>
      </c>
      <c r="D1779" s="157" t="s">
        <v>5</v>
      </c>
    </row>
    <row r="1780" spans="1:4" ht="15" customHeight="1" x14ac:dyDescent="0.2">
      <c r="A1780" s="155" t="s">
        <v>305</v>
      </c>
      <c r="B1780" s="156">
        <v>50</v>
      </c>
      <c r="C1780" s="155" t="s">
        <v>4</v>
      </c>
      <c r="D1780" s="157" t="s">
        <v>5</v>
      </c>
    </row>
    <row r="1781" spans="1:4" ht="15" customHeight="1" x14ac:dyDescent="0.2">
      <c r="A1781" s="155" t="s">
        <v>1344</v>
      </c>
      <c r="B1781" s="156">
        <v>50</v>
      </c>
      <c r="C1781" s="155" t="s">
        <v>4</v>
      </c>
      <c r="D1781" s="157" t="s">
        <v>5</v>
      </c>
    </row>
    <row r="1782" spans="1:4" ht="15" customHeight="1" x14ac:dyDescent="0.2">
      <c r="A1782" s="155" t="s">
        <v>297</v>
      </c>
      <c r="B1782" s="156">
        <v>50</v>
      </c>
      <c r="C1782" s="155" t="s">
        <v>4</v>
      </c>
      <c r="D1782" s="157" t="s">
        <v>5</v>
      </c>
    </row>
    <row r="1783" spans="1:4" ht="15" customHeight="1" x14ac:dyDescent="0.2">
      <c r="A1783" s="155" t="s">
        <v>1336</v>
      </c>
      <c r="B1783" s="156">
        <v>50</v>
      </c>
      <c r="C1783" s="155" t="s">
        <v>4</v>
      </c>
      <c r="D1783" s="157" t="s">
        <v>5</v>
      </c>
    </row>
    <row r="1784" spans="1:4" ht="15" customHeight="1" x14ac:dyDescent="0.2">
      <c r="A1784" s="155" t="s">
        <v>289</v>
      </c>
      <c r="B1784" s="156">
        <v>50</v>
      </c>
      <c r="C1784" s="155" t="s">
        <v>4</v>
      </c>
      <c r="D1784" s="157" t="s">
        <v>5</v>
      </c>
    </row>
    <row r="1785" spans="1:4" ht="15" customHeight="1" x14ac:dyDescent="0.2">
      <c r="A1785" s="155" t="s">
        <v>1392</v>
      </c>
      <c r="B1785" s="156">
        <v>50</v>
      </c>
      <c r="C1785" s="155" t="s">
        <v>4</v>
      </c>
      <c r="D1785" s="157" t="s">
        <v>5</v>
      </c>
    </row>
    <row r="1786" spans="1:4" ht="15" customHeight="1" x14ac:dyDescent="0.2">
      <c r="A1786" s="155" t="s">
        <v>345</v>
      </c>
      <c r="B1786" s="156">
        <v>50</v>
      </c>
      <c r="C1786" s="155" t="s">
        <v>4</v>
      </c>
      <c r="D1786" s="157" t="s">
        <v>5</v>
      </c>
    </row>
    <row r="1787" spans="1:4" ht="15" customHeight="1" x14ac:dyDescent="0.2">
      <c r="A1787" s="155" t="s">
        <v>1384</v>
      </c>
      <c r="B1787" s="156">
        <v>50</v>
      </c>
      <c r="C1787" s="155" t="s">
        <v>4</v>
      </c>
      <c r="D1787" s="157" t="s">
        <v>5</v>
      </c>
    </row>
    <row r="1788" spans="1:4" ht="15" customHeight="1" x14ac:dyDescent="0.2">
      <c r="A1788" s="155" t="s">
        <v>337</v>
      </c>
      <c r="B1788" s="156">
        <v>50</v>
      </c>
      <c r="C1788" s="155" t="s">
        <v>4</v>
      </c>
      <c r="D1788" s="157" t="s">
        <v>5</v>
      </c>
    </row>
    <row r="1789" spans="1:4" ht="15" customHeight="1" x14ac:dyDescent="0.2">
      <c r="A1789" s="155" t="s">
        <v>1376</v>
      </c>
      <c r="B1789" s="156">
        <v>50</v>
      </c>
      <c r="C1789" s="155" t="s">
        <v>4</v>
      </c>
      <c r="D1789" s="157" t="s">
        <v>5</v>
      </c>
    </row>
    <row r="1790" spans="1:4" ht="15" customHeight="1" x14ac:dyDescent="0.2">
      <c r="A1790" s="155" t="s">
        <v>329</v>
      </c>
      <c r="B1790" s="156">
        <v>50</v>
      </c>
      <c r="C1790" s="155" t="s">
        <v>4</v>
      </c>
      <c r="D1790" s="157" t="s">
        <v>5</v>
      </c>
    </row>
    <row r="1791" spans="1:4" ht="15" customHeight="1" x14ac:dyDescent="0.2">
      <c r="A1791" s="155" t="s">
        <v>1368</v>
      </c>
      <c r="B1791" s="156">
        <v>125</v>
      </c>
      <c r="C1791" s="155" t="s">
        <v>4</v>
      </c>
      <c r="D1791" s="157" t="s">
        <v>5</v>
      </c>
    </row>
    <row r="1792" spans="1:4" ht="15" customHeight="1" x14ac:dyDescent="0.2">
      <c r="A1792" s="155" t="s">
        <v>321</v>
      </c>
      <c r="B1792" s="156">
        <v>125</v>
      </c>
      <c r="C1792" s="155" t="s">
        <v>4</v>
      </c>
      <c r="D1792" s="157" t="s">
        <v>5</v>
      </c>
    </row>
    <row r="1793" spans="1:4" ht="15" customHeight="1" x14ac:dyDescent="0.2">
      <c r="A1793" s="155" t="s">
        <v>1921</v>
      </c>
      <c r="B1793" s="156">
        <v>400</v>
      </c>
      <c r="C1793" s="155" t="s">
        <v>4</v>
      </c>
      <c r="D1793" s="157" t="s">
        <v>5</v>
      </c>
    </row>
    <row r="1794" spans="1:4" ht="15" customHeight="1" x14ac:dyDescent="0.2">
      <c r="A1794" s="155" t="s">
        <v>874</v>
      </c>
      <c r="B1794" s="156">
        <v>125</v>
      </c>
      <c r="C1794" s="155" t="s">
        <v>4</v>
      </c>
      <c r="D1794" s="157" t="s">
        <v>5</v>
      </c>
    </row>
    <row r="1795" spans="1:4" ht="15" customHeight="1" x14ac:dyDescent="0.2">
      <c r="A1795" s="155" t="s">
        <v>1913</v>
      </c>
      <c r="B1795" s="156">
        <v>50</v>
      </c>
      <c r="C1795" s="155" t="s">
        <v>4</v>
      </c>
      <c r="D1795" s="157" t="s">
        <v>5</v>
      </c>
    </row>
    <row r="1796" spans="1:4" ht="15" customHeight="1" x14ac:dyDescent="0.2">
      <c r="A1796" s="155" t="s">
        <v>866</v>
      </c>
      <c r="B1796" s="156">
        <v>125</v>
      </c>
      <c r="C1796" s="155" t="s">
        <v>4</v>
      </c>
      <c r="D1796" s="157" t="s">
        <v>5</v>
      </c>
    </row>
    <row r="1797" spans="1:4" ht="15" customHeight="1" x14ac:dyDescent="0.2">
      <c r="A1797" s="155" t="s">
        <v>1905</v>
      </c>
      <c r="B1797" s="156">
        <v>125</v>
      </c>
      <c r="C1797" s="155" t="s">
        <v>4</v>
      </c>
      <c r="D1797" s="157" t="s">
        <v>5</v>
      </c>
    </row>
    <row r="1798" spans="1:4" ht="15" customHeight="1" x14ac:dyDescent="0.2">
      <c r="A1798" s="155" t="s">
        <v>858</v>
      </c>
      <c r="B1798" s="156">
        <v>125</v>
      </c>
      <c r="C1798" s="155" t="s">
        <v>4</v>
      </c>
      <c r="D1798" s="157" t="s">
        <v>5</v>
      </c>
    </row>
    <row r="1799" spans="1:4" ht="15" customHeight="1" x14ac:dyDescent="0.2">
      <c r="A1799" s="155" t="s">
        <v>1897</v>
      </c>
      <c r="B1799" s="156">
        <v>125</v>
      </c>
      <c r="C1799" s="155" t="s">
        <v>4</v>
      </c>
      <c r="D1799" s="157" t="s">
        <v>5</v>
      </c>
    </row>
    <row r="1800" spans="1:4" ht="15" customHeight="1" x14ac:dyDescent="0.2">
      <c r="A1800" s="155" t="s">
        <v>850</v>
      </c>
      <c r="B1800" s="156">
        <v>125</v>
      </c>
      <c r="C1800" s="155" t="s">
        <v>4</v>
      </c>
      <c r="D1800" s="157" t="s">
        <v>5</v>
      </c>
    </row>
    <row r="1801" spans="1:4" ht="15" customHeight="1" x14ac:dyDescent="0.2">
      <c r="A1801" s="155" t="s">
        <v>1953</v>
      </c>
      <c r="B1801" s="156">
        <v>15</v>
      </c>
      <c r="C1801" s="155" t="s">
        <v>4</v>
      </c>
      <c r="D1801" s="157" t="s">
        <v>5</v>
      </c>
    </row>
    <row r="1802" spans="1:4" ht="15" customHeight="1" x14ac:dyDescent="0.2">
      <c r="A1802" s="155" t="s">
        <v>906</v>
      </c>
      <c r="B1802" s="156">
        <v>125</v>
      </c>
      <c r="C1802" s="155" t="s">
        <v>4</v>
      </c>
      <c r="D1802" s="157" t="s">
        <v>5</v>
      </c>
    </row>
    <row r="1803" spans="1:4" ht="15" customHeight="1" x14ac:dyDescent="0.2">
      <c r="A1803" s="155" t="s">
        <v>1945</v>
      </c>
      <c r="B1803" s="156">
        <v>20</v>
      </c>
      <c r="C1803" s="155" t="s">
        <v>4</v>
      </c>
      <c r="D1803" s="157" t="s">
        <v>5</v>
      </c>
    </row>
    <row r="1804" spans="1:4" ht="15" customHeight="1" x14ac:dyDescent="0.2">
      <c r="A1804" s="155" t="s">
        <v>898</v>
      </c>
      <c r="B1804" s="156">
        <v>125</v>
      </c>
      <c r="C1804" s="155" t="s">
        <v>4</v>
      </c>
      <c r="D1804" s="157" t="s">
        <v>5</v>
      </c>
    </row>
    <row r="1805" spans="1:4" ht="15" customHeight="1" x14ac:dyDescent="0.2">
      <c r="A1805" s="155" t="s">
        <v>1937</v>
      </c>
      <c r="B1805" s="156">
        <v>60</v>
      </c>
      <c r="C1805" s="155" t="s">
        <v>4</v>
      </c>
      <c r="D1805" s="157" t="s">
        <v>5</v>
      </c>
    </row>
    <row r="1806" spans="1:4" ht="15" customHeight="1" x14ac:dyDescent="0.2">
      <c r="A1806" s="155" t="s">
        <v>890</v>
      </c>
      <c r="B1806" s="156">
        <v>260</v>
      </c>
      <c r="C1806" s="155" t="s">
        <v>4</v>
      </c>
      <c r="D1806" s="157" t="s">
        <v>5</v>
      </c>
    </row>
    <row r="1807" spans="1:4" ht="15" customHeight="1" x14ac:dyDescent="0.2">
      <c r="A1807" s="155" t="s">
        <v>1929</v>
      </c>
      <c r="B1807" s="156">
        <v>125</v>
      </c>
      <c r="C1807" s="155" t="s">
        <v>4</v>
      </c>
      <c r="D1807" s="157" t="s">
        <v>5</v>
      </c>
    </row>
    <row r="1808" spans="1:4" ht="15" customHeight="1" x14ac:dyDescent="0.2">
      <c r="A1808" s="155" t="s">
        <v>882</v>
      </c>
      <c r="B1808" s="156">
        <v>125</v>
      </c>
      <c r="C1808" s="155" t="s">
        <v>4</v>
      </c>
      <c r="D1808" s="157" t="s">
        <v>5</v>
      </c>
    </row>
    <row r="1809" spans="1:4" ht="15" customHeight="1" x14ac:dyDescent="0.2">
      <c r="A1809" s="155" t="s">
        <v>1985</v>
      </c>
      <c r="B1809" s="156">
        <v>165</v>
      </c>
      <c r="C1809" s="155" t="s">
        <v>4</v>
      </c>
      <c r="D1809" s="157" t="s">
        <v>5</v>
      </c>
    </row>
    <row r="1810" spans="1:4" ht="15" customHeight="1" x14ac:dyDescent="0.2">
      <c r="A1810" s="155" t="s">
        <v>938</v>
      </c>
      <c r="B1810" s="156">
        <v>320</v>
      </c>
      <c r="C1810" s="155" t="s">
        <v>4</v>
      </c>
      <c r="D1810" s="157" t="s">
        <v>5</v>
      </c>
    </row>
    <row r="1811" spans="1:4" ht="15" customHeight="1" x14ac:dyDescent="0.2">
      <c r="A1811" s="155" t="s">
        <v>1977</v>
      </c>
      <c r="B1811" s="156">
        <v>125</v>
      </c>
      <c r="C1811" s="155" t="s">
        <v>4</v>
      </c>
      <c r="D1811" s="157" t="s">
        <v>5</v>
      </c>
    </row>
    <row r="1812" spans="1:4" ht="15" customHeight="1" x14ac:dyDescent="0.2">
      <c r="A1812" s="155" t="s">
        <v>930</v>
      </c>
      <c r="B1812" s="156">
        <v>125</v>
      </c>
      <c r="C1812" s="155" t="s">
        <v>4</v>
      </c>
      <c r="D1812" s="157" t="s">
        <v>5</v>
      </c>
    </row>
    <row r="1813" spans="1:4" ht="15" customHeight="1" x14ac:dyDescent="0.2">
      <c r="A1813" s="155" t="s">
        <v>1969</v>
      </c>
      <c r="B1813" s="156">
        <v>125</v>
      </c>
      <c r="C1813" s="155" t="s">
        <v>4</v>
      </c>
      <c r="D1813" s="157" t="s">
        <v>5</v>
      </c>
    </row>
    <row r="1814" spans="1:4" ht="15" customHeight="1" x14ac:dyDescent="0.2">
      <c r="A1814" s="155" t="s">
        <v>922</v>
      </c>
      <c r="B1814" s="156">
        <v>25</v>
      </c>
      <c r="C1814" s="155" t="s">
        <v>4</v>
      </c>
      <c r="D1814" s="157" t="s">
        <v>5</v>
      </c>
    </row>
    <row r="1815" spans="1:4" ht="15" customHeight="1" x14ac:dyDescent="0.2">
      <c r="A1815" s="155" t="s">
        <v>1961</v>
      </c>
      <c r="B1815" s="159">
        <v>57.5</v>
      </c>
      <c r="C1815" s="155" t="s">
        <v>4</v>
      </c>
      <c r="D1815" s="157" t="s">
        <v>5</v>
      </c>
    </row>
    <row r="1816" spans="1:4" ht="15" customHeight="1" x14ac:dyDescent="0.2">
      <c r="A1816" s="155" t="s">
        <v>914</v>
      </c>
      <c r="B1816" s="156">
        <v>125</v>
      </c>
      <c r="C1816" s="155" t="s">
        <v>4</v>
      </c>
      <c r="D1816" s="157" t="s">
        <v>5</v>
      </c>
    </row>
    <row r="1817" spans="1:4" ht="15" customHeight="1" x14ac:dyDescent="0.2">
      <c r="A1817" s="155" t="s">
        <v>2016</v>
      </c>
      <c r="B1817" s="156">
        <v>125</v>
      </c>
      <c r="C1817" s="155" t="s">
        <v>4</v>
      </c>
      <c r="D1817" s="157" t="s">
        <v>5</v>
      </c>
    </row>
    <row r="1818" spans="1:4" ht="15" customHeight="1" x14ac:dyDescent="0.2">
      <c r="A1818" s="155" t="s">
        <v>969</v>
      </c>
      <c r="B1818" s="156">
        <v>125</v>
      </c>
      <c r="C1818" s="155" t="s">
        <v>4</v>
      </c>
      <c r="D1818" s="157" t="s">
        <v>5</v>
      </c>
    </row>
    <row r="1819" spans="1:4" ht="15" customHeight="1" x14ac:dyDescent="0.2">
      <c r="A1819" s="155" t="s">
        <v>2008</v>
      </c>
      <c r="B1819" s="156">
        <v>125</v>
      </c>
      <c r="C1819" s="155" t="s">
        <v>4</v>
      </c>
      <c r="D1819" s="157" t="s">
        <v>5</v>
      </c>
    </row>
    <row r="1820" spans="1:4" ht="15" customHeight="1" x14ac:dyDescent="0.2">
      <c r="A1820" s="155" t="s">
        <v>962</v>
      </c>
      <c r="B1820" s="156">
        <v>125</v>
      </c>
      <c r="C1820" s="155" t="s">
        <v>4</v>
      </c>
      <c r="D1820" s="157" t="s">
        <v>5</v>
      </c>
    </row>
    <row r="1821" spans="1:4" ht="15" customHeight="1" x14ac:dyDescent="0.2">
      <c r="A1821" s="155" t="s">
        <v>2001</v>
      </c>
      <c r="B1821" s="156">
        <v>125</v>
      </c>
      <c r="C1821" s="155" t="s">
        <v>4</v>
      </c>
      <c r="D1821" s="157" t="s">
        <v>5</v>
      </c>
    </row>
    <row r="1822" spans="1:4" ht="15" customHeight="1" x14ac:dyDescent="0.2">
      <c r="A1822" s="155" t="s">
        <v>955</v>
      </c>
      <c r="B1822" s="156">
        <v>10575</v>
      </c>
      <c r="C1822" s="155" t="s">
        <v>4</v>
      </c>
      <c r="D1822" s="157" t="s">
        <v>5</v>
      </c>
    </row>
    <row r="1823" spans="1:4" ht="15" customHeight="1" x14ac:dyDescent="0.2">
      <c r="A1823" s="155" t="s">
        <v>1994</v>
      </c>
      <c r="B1823" s="156">
        <v>125</v>
      </c>
      <c r="C1823" s="155" t="s">
        <v>4</v>
      </c>
      <c r="D1823" s="157" t="s">
        <v>5</v>
      </c>
    </row>
    <row r="1824" spans="1:4" ht="15" customHeight="1" x14ac:dyDescent="0.2">
      <c r="A1824" s="155" t="s">
        <v>946</v>
      </c>
      <c r="B1824" s="156">
        <v>125</v>
      </c>
      <c r="C1824" s="155" t="s">
        <v>4</v>
      </c>
      <c r="D1824" s="157" t="s">
        <v>5</v>
      </c>
    </row>
    <row r="1825" spans="1:4" ht="15" customHeight="1" x14ac:dyDescent="0.2">
      <c r="A1825" s="155" t="s">
        <v>2049</v>
      </c>
      <c r="B1825" s="156">
        <v>125</v>
      </c>
      <c r="C1825" s="155" t="s">
        <v>4</v>
      </c>
      <c r="D1825" s="157" t="s">
        <v>5</v>
      </c>
    </row>
    <row r="1826" spans="1:4" ht="15" customHeight="1" x14ac:dyDescent="0.2">
      <c r="A1826" s="155" t="s">
        <v>1002</v>
      </c>
      <c r="B1826" s="156">
        <v>60</v>
      </c>
      <c r="C1826" s="155" t="s">
        <v>4</v>
      </c>
      <c r="D1826" s="157" t="s">
        <v>5</v>
      </c>
    </row>
    <row r="1827" spans="1:4" ht="15" customHeight="1" x14ac:dyDescent="0.2">
      <c r="A1827" s="155" t="s">
        <v>2041</v>
      </c>
      <c r="B1827" s="156">
        <v>40</v>
      </c>
      <c r="C1827" s="155" t="s">
        <v>4</v>
      </c>
      <c r="D1827" s="157" t="s">
        <v>5</v>
      </c>
    </row>
    <row r="1828" spans="1:4" ht="15" customHeight="1" x14ac:dyDescent="0.2">
      <c r="A1828" s="155" t="s">
        <v>994</v>
      </c>
      <c r="B1828" s="156">
        <v>40</v>
      </c>
      <c r="C1828" s="155" t="s">
        <v>4</v>
      </c>
      <c r="D1828" s="157" t="s">
        <v>5</v>
      </c>
    </row>
    <row r="1829" spans="1:4" ht="15" customHeight="1" x14ac:dyDescent="0.2">
      <c r="A1829" s="155" t="s">
        <v>2033</v>
      </c>
      <c r="B1829" s="156">
        <v>50</v>
      </c>
      <c r="C1829" s="155" t="s">
        <v>4</v>
      </c>
      <c r="D1829" s="157" t="s">
        <v>5</v>
      </c>
    </row>
    <row r="1830" spans="1:4" ht="15" customHeight="1" x14ac:dyDescent="0.2">
      <c r="A1830" s="155" t="s">
        <v>985</v>
      </c>
      <c r="B1830" s="156">
        <v>50</v>
      </c>
      <c r="C1830" s="155" t="s">
        <v>4</v>
      </c>
      <c r="D1830" s="157" t="s">
        <v>5</v>
      </c>
    </row>
    <row r="1831" spans="1:4" ht="15" customHeight="1" x14ac:dyDescent="0.2">
      <c r="A1831" s="155" t="s">
        <v>2024</v>
      </c>
      <c r="B1831" s="156">
        <v>50</v>
      </c>
      <c r="C1831" s="155" t="s">
        <v>4</v>
      </c>
      <c r="D1831" s="157" t="s">
        <v>5</v>
      </c>
    </row>
    <row r="1832" spans="1:4" ht="15" customHeight="1" x14ac:dyDescent="0.2">
      <c r="A1832" s="155" t="s">
        <v>977</v>
      </c>
      <c r="B1832" s="156">
        <v>50</v>
      </c>
      <c r="C1832" s="155" t="s">
        <v>4</v>
      </c>
      <c r="D1832" s="157" t="s">
        <v>5</v>
      </c>
    </row>
    <row r="1833" spans="1:4" ht="15" customHeight="1" x14ac:dyDescent="0.2">
      <c r="A1833" s="155" t="s">
        <v>2077</v>
      </c>
      <c r="B1833" s="156">
        <v>50</v>
      </c>
      <c r="C1833" s="155" t="s">
        <v>4</v>
      </c>
      <c r="D1833" s="157" t="s">
        <v>5</v>
      </c>
    </row>
    <row r="1834" spans="1:4" ht="15" customHeight="1" x14ac:dyDescent="0.2">
      <c r="A1834" s="155" t="s">
        <v>1033</v>
      </c>
      <c r="B1834" s="156">
        <v>50</v>
      </c>
      <c r="C1834" s="155" t="s">
        <v>4</v>
      </c>
      <c r="D1834" s="157" t="s">
        <v>5</v>
      </c>
    </row>
    <row r="1835" spans="1:4" ht="15" customHeight="1" x14ac:dyDescent="0.2">
      <c r="A1835" s="155" t="s">
        <v>2069</v>
      </c>
      <c r="B1835" s="156">
        <v>50</v>
      </c>
      <c r="C1835" s="155" t="s">
        <v>4</v>
      </c>
      <c r="D1835" s="157" t="s">
        <v>5</v>
      </c>
    </row>
    <row r="1836" spans="1:4" ht="15" customHeight="1" x14ac:dyDescent="0.2">
      <c r="A1836" s="155" t="s">
        <v>1030</v>
      </c>
      <c r="B1836" s="156">
        <v>50</v>
      </c>
      <c r="C1836" s="155" t="s">
        <v>4</v>
      </c>
      <c r="D1836" s="157" t="s">
        <v>5</v>
      </c>
    </row>
    <row r="1837" spans="1:4" ht="15" customHeight="1" x14ac:dyDescent="0.2">
      <c r="A1837" s="155" t="s">
        <v>2065</v>
      </c>
      <c r="B1837" s="156">
        <v>25</v>
      </c>
      <c r="C1837" s="155" t="s">
        <v>4</v>
      </c>
      <c r="D1837" s="157" t="s">
        <v>5</v>
      </c>
    </row>
    <row r="1838" spans="1:4" ht="15" customHeight="1" x14ac:dyDescent="0.2">
      <c r="A1838" s="155" t="s">
        <v>1021</v>
      </c>
      <c r="B1838" s="156">
        <v>125</v>
      </c>
      <c r="C1838" s="155" t="s">
        <v>4</v>
      </c>
      <c r="D1838" s="157" t="s">
        <v>5</v>
      </c>
    </row>
    <row r="1839" spans="1:4" ht="15" customHeight="1" x14ac:dyDescent="0.2">
      <c r="A1839" s="155" t="s">
        <v>2057</v>
      </c>
      <c r="B1839" s="156">
        <v>125</v>
      </c>
      <c r="C1839" s="155" t="s">
        <v>4</v>
      </c>
      <c r="D1839" s="157" t="s">
        <v>5</v>
      </c>
    </row>
    <row r="1840" spans="1:4" ht="15" customHeight="1" x14ac:dyDescent="0.2">
      <c r="A1840" s="155" t="s">
        <v>1010</v>
      </c>
      <c r="B1840" s="156">
        <v>125</v>
      </c>
      <c r="C1840" s="155" t="s">
        <v>4</v>
      </c>
      <c r="D1840" s="157" t="s">
        <v>5</v>
      </c>
    </row>
    <row r="1841" spans="1:4" ht="15" customHeight="1" x14ac:dyDescent="0.2">
      <c r="A1841" s="155" t="s">
        <v>29</v>
      </c>
      <c r="B1841" s="156">
        <v>125</v>
      </c>
      <c r="C1841" s="155" t="s">
        <v>4</v>
      </c>
      <c r="D1841" s="157" t="s">
        <v>5</v>
      </c>
    </row>
    <row r="1842" spans="1:4" ht="15" customHeight="1" x14ac:dyDescent="0.2">
      <c r="A1842" s="155" t="s">
        <v>1065</v>
      </c>
      <c r="B1842" s="156">
        <v>125</v>
      </c>
      <c r="C1842" s="155" t="s">
        <v>4</v>
      </c>
      <c r="D1842" s="157" t="s">
        <v>5</v>
      </c>
    </row>
    <row r="1843" spans="1:4" ht="15" customHeight="1" x14ac:dyDescent="0.2">
      <c r="A1843" s="155" t="s">
        <v>20</v>
      </c>
      <c r="B1843" s="156">
        <v>125</v>
      </c>
      <c r="C1843" s="155" t="s">
        <v>4</v>
      </c>
      <c r="D1843" s="157" t="s">
        <v>5</v>
      </c>
    </row>
    <row r="1844" spans="1:4" ht="15" customHeight="1" x14ac:dyDescent="0.2">
      <c r="A1844" s="155" t="s">
        <v>1057</v>
      </c>
      <c r="B1844" s="156">
        <v>125</v>
      </c>
      <c r="C1844" s="155" t="s">
        <v>4</v>
      </c>
      <c r="D1844" s="157" t="s">
        <v>5</v>
      </c>
    </row>
    <row r="1845" spans="1:4" ht="15" customHeight="1" x14ac:dyDescent="0.2">
      <c r="A1845" s="155" t="s">
        <v>12</v>
      </c>
      <c r="B1845" s="156">
        <v>125</v>
      </c>
      <c r="C1845" s="155" t="s">
        <v>4</v>
      </c>
      <c r="D1845" s="157" t="s">
        <v>5</v>
      </c>
    </row>
    <row r="1846" spans="1:4" ht="15" customHeight="1" x14ac:dyDescent="0.2">
      <c r="A1846" s="155" t="s">
        <v>1049</v>
      </c>
      <c r="B1846" s="156">
        <v>125</v>
      </c>
      <c r="C1846" s="155" t="s">
        <v>4</v>
      </c>
      <c r="D1846" s="157" t="s">
        <v>5</v>
      </c>
    </row>
    <row r="1847" spans="1:4" ht="15" customHeight="1" x14ac:dyDescent="0.2">
      <c r="A1847" s="155" t="s">
        <v>2085</v>
      </c>
      <c r="B1847" s="156">
        <v>125</v>
      </c>
      <c r="C1847" s="155" t="s">
        <v>4</v>
      </c>
      <c r="D1847" s="157" t="s">
        <v>5</v>
      </c>
    </row>
    <row r="1848" spans="1:4" ht="15" customHeight="1" x14ac:dyDescent="0.2">
      <c r="A1848" s="155" t="s">
        <v>1041</v>
      </c>
      <c r="B1848" s="156">
        <v>125</v>
      </c>
      <c r="C1848" s="155" t="s">
        <v>4</v>
      </c>
      <c r="D1848" s="157" t="s">
        <v>5</v>
      </c>
    </row>
    <row r="1849" spans="1:4" ht="15" customHeight="1" x14ac:dyDescent="0.2">
      <c r="A1849" s="155" t="s">
        <v>65</v>
      </c>
      <c r="B1849" s="156">
        <v>99825</v>
      </c>
      <c r="C1849" s="155" t="s">
        <v>4</v>
      </c>
      <c r="D1849" s="157" t="s">
        <v>5</v>
      </c>
    </row>
    <row r="1850" spans="1:4" ht="15" customHeight="1" x14ac:dyDescent="0.2">
      <c r="A1850" s="155" t="s">
        <v>1101</v>
      </c>
      <c r="B1850" s="156">
        <v>125</v>
      </c>
      <c r="C1850" s="155" t="s">
        <v>4</v>
      </c>
      <c r="D1850" s="157" t="s">
        <v>5</v>
      </c>
    </row>
    <row r="1851" spans="1:4" ht="15" customHeight="1" x14ac:dyDescent="0.2">
      <c r="A1851" s="155" t="s">
        <v>56</v>
      </c>
      <c r="B1851" s="156">
        <v>18</v>
      </c>
      <c r="C1851" s="155" t="s">
        <v>4</v>
      </c>
      <c r="D1851" s="157" t="s">
        <v>5</v>
      </c>
    </row>
    <row r="1852" spans="1:4" ht="15" customHeight="1" x14ac:dyDescent="0.2">
      <c r="A1852" s="155" t="s">
        <v>1092</v>
      </c>
      <c r="B1852" s="156">
        <v>125</v>
      </c>
      <c r="C1852" s="155" t="s">
        <v>4</v>
      </c>
      <c r="D1852" s="157" t="s">
        <v>5</v>
      </c>
    </row>
    <row r="1853" spans="1:4" ht="15" customHeight="1" x14ac:dyDescent="0.2">
      <c r="A1853" s="155" t="s">
        <v>47</v>
      </c>
      <c r="B1853" s="156">
        <v>125</v>
      </c>
      <c r="C1853" s="155" t="s">
        <v>4</v>
      </c>
      <c r="D1853" s="157" t="s">
        <v>5</v>
      </c>
    </row>
    <row r="1854" spans="1:4" ht="15" customHeight="1" x14ac:dyDescent="0.2">
      <c r="A1854" s="155" t="s">
        <v>1083</v>
      </c>
      <c r="B1854" s="156">
        <v>125</v>
      </c>
      <c r="C1854" s="155" t="s">
        <v>4</v>
      </c>
      <c r="D1854" s="157" t="s">
        <v>5</v>
      </c>
    </row>
    <row r="1855" spans="1:4" ht="15" customHeight="1" x14ac:dyDescent="0.2">
      <c r="A1855" s="155" t="s">
        <v>38</v>
      </c>
      <c r="B1855" s="156">
        <v>4</v>
      </c>
      <c r="C1855" s="155" t="s">
        <v>4</v>
      </c>
      <c r="D1855" s="157" t="s">
        <v>5</v>
      </c>
    </row>
    <row r="1856" spans="1:4" ht="15" customHeight="1" x14ac:dyDescent="0.2">
      <c r="A1856" s="155" t="s">
        <v>1074</v>
      </c>
      <c r="B1856" s="156">
        <v>125</v>
      </c>
      <c r="C1856" s="155" t="s">
        <v>4</v>
      </c>
      <c r="D1856" s="157" t="s">
        <v>5</v>
      </c>
    </row>
    <row r="1857" spans="1:4" ht="15" customHeight="1" x14ac:dyDescent="0.2">
      <c r="A1857" s="155" t="s">
        <v>1674</v>
      </c>
      <c r="B1857" s="156">
        <v>700</v>
      </c>
      <c r="C1857" s="155" t="s">
        <v>4</v>
      </c>
      <c r="D1857" s="157" t="s">
        <v>5</v>
      </c>
    </row>
    <row r="1858" spans="1:4" ht="15" customHeight="1" x14ac:dyDescent="0.2">
      <c r="A1858" s="155" t="s">
        <v>628</v>
      </c>
      <c r="B1858" s="156">
        <v>125</v>
      </c>
      <c r="C1858" s="155" t="s">
        <v>4</v>
      </c>
      <c r="D1858" s="157" t="s">
        <v>5</v>
      </c>
    </row>
    <row r="1859" spans="1:4" ht="15" customHeight="1" x14ac:dyDescent="0.2">
      <c r="A1859" s="155" t="s">
        <v>1667</v>
      </c>
      <c r="B1859" s="156">
        <v>125</v>
      </c>
      <c r="C1859" s="155" t="s">
        <v>4</v>
      </c>
      <c r="D1859" s="157" t="s">
        <v>5</v>
      </c>
    </row>
    <row r="1860" spans="1:4" ht="15" customHeight="1" x14ac:dyDescent="0.2">
      <c r="A1860" s="155" t="s">
        <v>621</v>
      </c>
      <c r="B1860" s="156">
        <v>125</v>
      </c>
      <c r="C1860" s="155" t="s">
        <v>4</v>
      </c>
      <c r="D1860" s="157" t="s">
        <v>5</v>
      </c>
    </row>
    <row r="1861" spans="1:4" ht="15" customHeight="1" x14ac:dyDescent="0.2">
      <c r="A1861" s="155" t="s">
        <v>1660</v>
      </c>
      <c r="B1861" s="156">
        <v>25</v>
      </c>
      <c r="C1861" s="155" t="s">
        <v>4</v>
      </c>
      <c r="D1861" s="157" t="s">
        <v>5</v>
      </c>
    </row>
    <row r="1862" spans="1:4" ht="15" customHeight="1" x14ac:dyDescent="0.2">
      <c r="A1862" s="155" t="s">
        <v>614</v>
      </c>
      <c r="B1862" s="156">
        <v>50</v>
      </c>
      <c r="C1862" s="155" t="s">
        <v>4</v>
      </c>
      <c r="D1862" s="157" t="s">
        <v>5</v>
      </c>
    </row>
    <row r="1863" spans="1:4" ht="15" customHeight="1" x14ac:dyDescent="0.2">
      <c r="A1863" s="155" t="s">
        <v>1653</v>
      </c>
      <c r="B1863" s="156">
        <v>50</v>
      </c>
      <c r="C1863" s="155" t="s">
        <v>4</v>
      </c>
      <c r="D1863" s="157" t="s">
        <v>5</v>
      </c>
    </row>
    <row r="1864" spans="1:4" ht="15" customHeight="1" x14ac:dyDescent="0.2">
      <c r="A1864" s="155" t="s">
        <v>607</v>
      </c>
      <c r="B1864" s="156">
        <v>50</v>
      </c>
      <c r="C1864" s="155" t="s">
        <v>4</v>
      </c>
      <c r="D1864" s="157" t="s">
        <v>5</v>
      </c>
    </row>
    <row r="1865" spans="1:4" ht="15" customHeight="1" x14ac:dyDescent="0.2">
      <c r="A1865" s="155" t="s">
        <v>1702</v>
      </c>
      <c r="B1865" s="156">
        <v>50</v>
      </c>
      <c r="C1865" s="155" t="s">
        <v>4</v>
      </c>
      <c r="D1865" s="157" t="s">
        <v>5</v>
      </c>
    </row>
    <row r="1866" spans="1:4" ht="15" customHeight="1" x14ac:dyDescent="0.2">
      <c r="A1866" s="155" t="s">
        <v>656</v>
      </c>
      <c r="B1866" s="156">
        <v>50</v>
      </c>
      <c r="C1866" s="155" t="s">
        <v>4</v>
      </c>
      <c r="D1866" s="157" t="s">
        <v>5</v>
      </c>
    </row>
    <row r="1867" spans="1:4" ht="15" customHeight="1" x14ac:dyDescent="0.2">
      <c r="A1867" s="155" t="s">
        <v>1695</v>
      </c>
      <c r="B1867" s="156">
        <v>125</v>
      </c>
      <c r="C1867" s="155" t="s">
        <v>4</v>
      </c>
      <c r="D1867" s="157" t="s">
        <v>5</v>
      </c>
    </row>
    <row r="1868" spans="1:4" ht="15" customHeight="1" x14ac:dyDescent="0.2">
      <c r="A1868" s="155" t="s">
        <v>649</v>
      </c>
      <c r="B1868" s="156">
        <v>50</v>
      </c>
      <c r="C1868" s="155" t="s">
        <v>4</v>
      </c>
      <c r="D1868" s="157" t="s">
        <v>5</v>
      </c>
    </row>
    <row r="1869" spans="1:4" ht="15" customHeight="1" x14ac:dyDescent="0.2">
      <c r="A1869" s="155" t="s">
        <v>1688</v>
      </c>
      <c r="B1869" s="156">
        <v>125</v>
      </c>
      <c r="C1869" s="155" t="s">
        <v>4</v>
      </c>
      <c r="D1869" s="157" t="s">
        <v>5</v>
      </c>
    </row>
    <row r="1870" spans="1:4" ht="15" customHeight="1" x14ac:dyDescent="0.2">
      <c r="A1870" s="155" t="s">
        <v>642</v>
      </c>
      <c r="B1870" s="156">
        <v>125</v>
      </c>
      <c r="C1870" s="155" t="s">
        <v>4</v>
      </c>
      <c r="D1870" s="157" t="s">
        <v>5</v>
      </c>
    </row>
    <row r="1871" spans="1:4" ht="15" customHeight="1" x14ac:dyDescent="0.2">
      <c r="A1871" s="155" t="s">
        <v>1681</v>
      </c>
      <c r="B1871" s="156">
        <v>125</v>
      </c>
      <c r="C1871" s="155" t="s">
        <v>4</v>
      </c>
      <c r="D1871" s="157" t="s">
        <v>5</v>
      </c>
    </row>
    <row r="1872" spans="1:4" ht="15" customHeight="1" x14ac:dyDescent="0.2">
      <c r="A1872" s="155" t="s">
        <v>635</v>
      </c>
      <c r="B1872" s="156">
        <v>125</v>
      </c>
      <c r="C1872" s="155" t="s">
        <v>4</v>
      </c>
      <c r="D1872" s="157" t="s">
        <v>5</v>
      </c>
    </row>
    <row r="1873" spans="1:4" ht="15" customHeight="1" x14ac:dyDescent="0.2">
      <c r="A1873" s="155" t="s">
        <v>1731</v>
      </c>
      <c r="B1873" s="156">
        <v>50</v>
      </c>
      <c r="C1873" s="155" t="s">
        <v>4</v>
      </c>
      <c r="D1873" s="157" t="s">
        <v>5</v>
      </c>
    </row>
    <row r="1874" spans="1:4" ht="15" customHeight="1" x14ac:dyDescent="0.2">
      <c r="A1874" s="155" t="s">
        <v>685</v>
      </c>
      <c r="B1874" s="156">
        <v>125</v>
      </c>
      <c r="C1874" s="155" t="s">
        <v>4</v>
      </c>
      <c r="D1874" s="157" t="s">
        <v>5</v>
      </c>
    </row>
    <row r="1875" spans="1:4" ht="15" customHeight="1" x14ac:dyDescent="0.2">
      <c r="A1875" s="155" t="s">
        <v>1724</v>
      </c>
      <c r="B1875" s="156">
        <v>125</v>
      </c>
      <c r="C1875" s="155" t="s">
        <v>4</v>
      </c>
      <c r="D1875" s="157" t="s">
        <v>5</v>
      </c>
    </row>
    <row r="1876" spans="1:4" ht="15" customHeight="1" x14ac:dyDescent="0.2">
      <c r="A1876" s="155" t="s">
        <v>678</v>
      </c>
      <c r="B1876" s="156">
        <v>25</v>
      </c>
      <c r="C1876" s="155" t="s">
        <v>4</v>
      </c>
      <c r="D1876" s="157" t="s">
        <v>5</v>
      </c>
    </row>
    <row r="1877" spans="1:4" ht="15" customHeight="1" x14ac:dyDescent="0.2">
      <c r="A1877" s="155" t="s">
        <v>1717</v>
      </c>
      <c r="B1877" s="156">
        <v>625</v>
      </c>
      <c r="C1877" s="155" t="s">
        <v>4</v>
      </c>
      <c r="D1877" s="157" t="s">
        <v>5</v>
      </c>
    </row>
    <row r="1878" spans="1:4" ht="15" customHeight="1" x14ac:dyDescent="0.2">
      <c r="A1878" s="155" t="s">
        <v>670</v>
      </c>
      <c r="B1878" s="156">
        <v>125</v>
      </c>
      <c r="C1878" s="155" t="s">
        <v>4</v>
      </c>
      <c r="D1878" s="157" t="s">
        <v>5</v>
      </c>
    </row>
    <row r="1879" spans="1:4" ht="15" customHeight="1" x14ac:dyDescent="0.2">
      <c r="A1879" s="155" t="s">
        <v>1709</v>
      </c>
      <c r="B1879" s="156">
        <v>125</v>
      </c>
      <c r="C1879" s="155" t="s">
        <v>4</v>
      </c>
      <c r="D1879" s="157" t="s">
        <v>5</v>
      </c>
    </row>
    <row r="1880" spans="1:4" ht="15" customHeight="1" x14ac:dyDescent="0.2">
      <c r="A1880" s="155" t="s">
        <v>663</v>
      </c>
      <c r="B1880" s="156">
        <v>125</v>
      </c>
      <c r="C1880" s="155" t="s">
        <v>4</v>
      </c>
      <c r="D1880" s="157" t="s">
        <v>5</v>
      </c>
    </row>
    <row r="1881" spans="1:4" ht="15" customHeight="1" x14ac:dyDescent="0.2">
      <c r="A1881" s="155" t="s">
        <v>1763</v>
      </c>
      <c r="B1881" s="156">
        <v>125</v>
      </c>
      <c r="C1881" s="155" t="s">
        <v>4</v>
      </c>
      <c r="D1881" s="157" t="s">
        <v>5</v>
      </c>
    </row>
    <row r="1882" spans="1:4" ht="15" customHeight="1" x14ac:dyDescent="0.2">
      <c r="A1882" s="155" t="s">
        <v>716</v>
      </c>
      <c r="B1882" s="156">
        <v>700</v>
      </c>
      <c r="C1882" s="155" t="s">
        <v>4</v>
      </c>
      <c r="D1882" s="157" t="s">
        <v>5</v>
      </c>
    </row>
    <row r="1883" spans="1:4" ht="15" customHeight="1" x14ac:dyDescent="0.2">
      <c r="A1883" s="155" t="s">
        <v>1755</v>
      </c>
      <c r="B1883" s="156">
        <v>25</v>
      </c>
      <c r="C1883" s="155" t="s">
        <v>4</v>
      </c>
      <c r="D1883" s="157" t="s">
        <v>5</v>
      </c>
    </row>
    <row r="1884" spans="1:4" ht="15" customHeight="1" x14ac:dyDescent="0.2">
      <c r="A1884" s="155" t="s">
        <v>707</v>
      </c>
      <c r="B1884" s="156">
        <v>125</v>
      </c>
      <c r="C1884" s="155" t="s">
        <v>4</v>
      </c>
      <c r="D1884" s="157" t="s">
        <v>5</v>
      </c>
    </row>
    <row r="1885" spans="1:4" ht="15" customHeight="1" x14ac:dyDescent="0.2">
      <c r="A1885" s="155" t="s">
        <v>1746</v>
      </c>
      <c r="B1885" s="156">
        <v>125</v>
      </c>
      <c r="C1885" s="155" t="s">
        <v>4</v>
      </c>
      <c r="D1885" s="157" t="s">
        <v>5</v>
      </c>
    </row>
    <row r="1886" spans="1:4" ht="15" customHeight="1" x14ac:dyDescent="0.2">
      <c r="A1886" s="155" t="s">
        <v>699</v>
      </c>
      <c r="B1886" s="156">
        <v>125</v>
      </c>
      <c r="C1886" s="155" t="s">
        <v>4</v>
      </c>
      <c r="D1886" s="157" t="s">
        <v>5</v>
      </c>
    </row>
    <row r="1887" spans="1:4" ht="15" customHeight="1" x14ac:dyDescent="0.2">
      <c r="A1887" s="155" t="s">
        <v>1738</v>
      </c>
      <c r="B1887" s="156">
        <v>125</v>
      </c>
      <c r="C1887" s="155" t="s">
        <v>4</v>
      </c>
      <c r="D1887" s="157" t="s">
        <v>5</v>
      </c>
    </row>
    <row r="1888" spans="1:4" ht="15" customHeight="1" x14ac:dyDescent="0.2">
      <c r="A1888" s="155" t="s">
        <v>692</v>
      </c>
      <c r="B1888" s="156">
        <v>125</v>
      </c>
      <c r="C1888" s="155" t="s">
        <v>4</v>
      </c>
      <c r="D1888" s="157" t="s">
        <v>5</v>
      </c>
    </row>
    <row r="1889" spans="1:4" ht="15" customHeight="1" x14ac:dyDescent="0.2">
      <c r="A1889" s="155" t="s">
        <v>1791</v>
      </c>
      <c r="B1889" s="156">
        <v>125</v>
      </c>
      <c r="C1889" s="155" t="s">
        <v>4</v>
      </c>
      <c r="D1889" s="157" t="s">
        <v>5</v>
      </c>
    </row>
    <row r="1890" spans="1:4" ht="15" customHeight="1" x14ac:dyDescent="0.2">
      <c r="A1890" s="155" t="s">
        <v>749</v>
      </c>
      <c r="B1890" s="156">
        <v>125</v>
      </c>
      <c r="C1890" s="155" t="s">
        <v>4</v>
      </c>
      <c r="D1890" s="157" t="s">
        <v>5</v>
      </c>
    </row>
    <row r="1891" spans="1:4" ht="15" customHeight="1" x14ac:dyDescent="0.2">
      <c r="A1891" s="155" t="s">
        <v>1787</v>
      </c>
      <c r="B1891" s="156">
        <v>125</v>
      </c>
      <c r="C1891" s="155" t="s">
        <v>4</v>
      </c>
      <c r="D1891" s="157" t="s">
        <v>5</v>
      </c>
    </row>
    <row r="1892" spans="1:4" ht="15" customHeight="1" x14ac:dyDescent="0.2">
      <c r="A1892" s="155" t="s">
        <v>740</v>
      </c>
      <c r="B1892" s="156">
        <v>125</v>
      </c>
      <c r="C1892" s="155" t="s">
        <v>4</v>
      </c>
      <c r="D1892" s="157" t="s">
        <v>5</v>
      </c>
    </row>
    <row r="1893" spans="1:4" ht="15" customHeight="1" x14ac:dyDescent="0.2">
      <c r="A1893" s="155" t="s">
        <v>1779</v>
      </c>
      <c r="B1893" s="156">
        <v>125</v>
      </c>
      <c r="C1893" s="155" t="s">
        <v>4</v>
      </c>
      <c r="D1893" s="157" t="s">
        <v>5</v>
      </c>
    </row>
    <row r="1894" spans="1:4" ht="15" customHeight="1" x14ac:dyDescent="0.2">
      <c r="A1894" s="155" t="s">
        <v>732</v>
      </c>
      <c r="B1894" s="156">
        <v>125</v>
      </c>
      <c r="C1894" s="155" t="s">
        <v>4</v>
      </c>
      <c r="D1894" s="157" t="s">
        <v>5</v>
      </c>
    </row>
    <row r="1895" spans="1:4" ht="15" customHeight="1" x14ac:dyDescent="0.2">
      <c r="A1895" s="155" t="s">
        <v>1771</v>
      </c>
      <c r="B1895" s="156">
        <v>125</v>
      </c>
      <c r="C1895" s="155" t="s">
        <v>4</v>
      </c>
      <c r="D1895" s="157" t="s">
        <v>5</v>
      </c>
    </row>
    <row r="1896" spans="1:4" ht="15" customHeight="1" x14ac:dyDescent="0.2">
      <c r="A1896" s="155" t="s">
        <v>724</v>
      </c>
      <c r="B1896" s="156">
        <v>125</v>
      </c>
      <c r="C1896" s="155" t="s">
        <v>4</v>
      </c>
      <c r="D1896" s="157" t="s">
        <v>5</v>
      </c>
    </row>
    <row r="1897" spans="1:4" ht="15" customHeight="1" x14ac:dyDescent="0.2">
      <c r="A1897" s="155" t="s">
        <v>1823</v>
      </c>
      <c r="B1897" s="156">
        <v>125</v>
      </c>
      <c r="C1897" s="155" t="s">
        <v>4</v>
      </c>
      <c r="D1897" s="157" t="s">
        <v>5</v>
      </c>
    </row>
    <row r="1898" spans="1:4" ht="15" customHeight="1" x14ac:dyDescent="0.2">
      <c r="A1898" s="155" t="s">
        <v>776</v>
      </c>
      <c r="B1898" s="156">
        <v>125</v>
      </c>
      <c r="C1898" s="155" t="s">
        <v>4</v>
      </c>
      <c r="D1898" s="157" t="s">
        <v>5</v>
      </c>
    </row>
    <row r="1899" spans="1:4" ht="15" customHeight="1" x14ac:dyDescent="0.2">
      <c r="A1899" s="155" t="s">
        <v>1815</v>
      </c>
      <c r="B1899" s="156">
        <v>125</v>
      </c>
      <c r="C1899" s="155" t="s">
        <v>4</v>
      </c>
      <c r="D1899" s="157" t="s">
        <v>5</v>
      </c>
    </row>
    <row r="1900" spans="1:4" ht="15" customHeight="1" x14ac:dyDescent="0.2">
      <c r="A1900" s="155" t="s">
        <v>768</v>
      </c>
      <c r="B1900" s="156">
        <v>125</v>
      </c>
      <c r="C1900" s="155" t="s">
        <v>4</v>
      </c>
      <c r="D1900" s="157" t="s">
        <v>5</v>
      </c>
    </row>
    <row r="1901" spans="1:4" ht="15" customHeight="1" x14ac:dyDescent="0.2">
      <c r="A1901" s="155" t="s">
        <v>1807</v>
      </c>
      <c r="B1901" s="156">
        <v>125</v>
      </c>
      <c r="C1901" s="155" t="s">
        <v>4</v>
      </c>
      <c r="D1901" s="157" t="s">
        <v>5</v>
      </c>
    </row>
    <row r="1902" spans="1:4" ht="15" customHeight="1" x14ac:dyDescent="0.2">
      <c r="A1902" s="155" t="s">
        <v>760</v>
      </c>
      <c r="B1902" s="156">
        <v>125</v>
      </c>
      <c r="C1902" s="155" t="s">
        <v>4</v>
      </c>
      <c r="D1902" s="157" t="s">
        <v>5</v>
      </c>
    </row>
    <row r="1903" spans="1:4" ht="15" customHeight="1" x14ac:dyDescent="0.2">
      <c r="A1903" s="155" t="s">
        <v>1799</v>
      </c>
      <c r="B1903" s="156">
        <v>775</v>
      </c>
      <c r="C1903" s="155" t="s">
        <v>4</v>
      </c>
      <c r="D1903" s="157" t="s">
        <v>5</v>
      </c>
    </row>
    <row r="1904" spans="1:4" ht="15" customHeight="1" x14ac:dyDescent="0.2">
      <c r="A1904" s="155" t="s">
        <v>752</v>
      </c>
      <c r="B1904" s="156">
        <v>125</v>
      </c>
      <c r="C1904" s="155" t="s">
        <v>4</v>
      </c>
      <c r="D1904" s="157" t="s">
        <v>5</v>
      </c>
    </row>
    <row r="1905" spans="1:4" ht="15" customHeight="1" x14ac:dyDescent="0.2">
      <c r="A1905" s="155" t="s">
        <v>1856</v>
      </c>
      <c r="B1905" s="156">
        <v>125</v>
      </c>
      <c r="C1905" s="155" t="s">
        <v>4</v>
      </c>
      <c r="D1905" s="157" t="s">
        <v>5</v>
      </c>
    </row>
    <row r="1906" spans="1:4" ht="15" customHeight="1" x14ac:dyDescent="0.2">
      <c r="A1906" s="155" t="s">
        <v>809</v>
      </c>
      <c r="B1906" s="156">
        <v>125</v>
      </c>
      <c r="C1906" s="155" t="s">
        <v>4</v>
      </c>
      <c r="D1906" s="157" t="s">
        <v>5</v>
      </c>
    </row>
    <row r="1907" spans="1:4" ht="15" customHeight="1" x14ac:dyDescent="0.2">
      <c r="A1907" s="155" t="s">
        <v>1848</v>
      </c>
      <c r="B1907" s="156">
        <v>125</v>
      </c>
      <c r="C1907" s="155" t="s">
        <v>4</v>
      </c>
      <c r="D1907" s="157" t="s">
        <v>5</v>
      </c>
    </row>
    <row r="1908" spans="1:4" ht="15" customHeight="1" x14ac:dyDescent="0.2">
      <c r="A1908" s="155" t="s">
        <v>801</v>
      </c>
      <c r="B1908" s="156">
        <v>25</v>
      </c>
      <c r="C1908" s="155" t="s">
        <v>4</v>
      </c>
      <c r="D1908" s="157" t="s">
        <v>5</v>
      </c>
    </row>
    <row r="1909" spans="1:4" ht="15" customHeight="1" x14ac:dyDescent="0.2">
      <c r="A1909" s="155" t="s">
        <v>1840</v>
      </c>
      <c r="B1909" s="156">
        <v>200</v>
      </c>
      <c r="C1909" s="155" t="s">
        <v>4</v>
      </c>
      <c r="D1909" s="157" t="s">
        <v>5</v>
      </c>
    </row>
    <row r="1910" spans="1:4" ht="15" customHeight="1" x14ac:dyDescent="0.2">
      <c r="A1910" s="155" t="s">
        <v>793</v>
      </c>
      <c r="B1910" s="156">
        <v>105</v>
      </c>
      <c r="C1910" s="155" t="s">
        <v>4</v>
      </c>
      <c r="D1910" s="157" t="s">
        <v>5</v>
      </c>
    </row>
    <row r="1911" spans="1:4" ht="15" customHeight="1" x14ac:dyDescent="0.2">
      <c r="A1911" s="155" t="s">
        <v>1832</v>
      </c>
      <c r="B1911" s="156">
        <v>125</v>
      </c>
      <c r="C1911" s="155" t="s">
        <v>4</v>
      </c>
      <c r="D1911" s="157" t="s">
        <v>5</v>
      </c>
    </row>
    <row r="1912" spans="1:4" ht="15" customHeight="1" x14ac:dyDescent="0.2">
      <c r="A1912" s="155" t="s">
        <v>784</v>
      </c>
      <c r="B1912" s="156">
        <v>50</v>
      </c>
      <c r="C1912" s="155" t="s">
        <v>4</v>
      </c>
      <c r="D1912" s="157" t="s">
        <v>5</v>
      </c>
    </row>
    <row r="1913" spans="1:4" ht="15" customHeight="1" x14ac:dyDescent="0.2">
      <c r="A1913" s="155" t="s">
        <v>1889</v>
      </c>
      <c r="B1913" s="156">
        <v>50</v>
      </c>
      <c r="C1913" s="155" t="s">
        <v>4</v>
      </c>
      <c r="D1913" s="157" t="s">
        <v>5</v>
      </c>
    </row>
    <row r="1914" spans="1:4" ht="15" customHeight="1" x14ac:dyDescent="0.2">
      <c r="A1914" s="155" t="s">
        <v>842</v>
      </c>
      <c r="B1914" s="156">
        <v>50</v>
      </c>
      <c r="C1914" s="155" t="s">
        <v>4</v>
      </c>
      <c r="D1914" s="157" t="s">
        <v>5</v>
      </c>
    </row>
    <row r="1915" spans="1:4" ht="15" customHeight="1" x14ac:dyDescent="0.2">
      <c r="A1915" s="155" t="s">
        <v>1881</v>
      </c>
      <c r="B1915" s="156">
        <v>50</v>
      </c>
      <c r="C1915" s="155" t="s">
        <v>4</v>
      </c>
      <c r="D1915" s="157" t="s">
        <v>5</v>
      </c>
    </row>
    <row r="1916" spans="1:4" ht="15" customHeight="1" x14ac:dyDescent="0.2">
      <c r="A1916" s="155" t="s">
        <v>834</v>
      </c>
      <c r="B1916" s="156">
        <v>50</v>
      </c>
      <c r="C1916" s="155" t="s">
        <v>4</v>
      </c>
      <c r="D1916" s="157" t="s">
        <v>5</v>
      </c>
    </row>
    <row r="1917" spans="1:4" ht="15" customHeight="1" x14ac:dyDescent="0.2">
      <c r="A1917" s="155" t="s">
        <v>1873</v>
      </c>
      <c r="B1917" s="156">
        <v>125</v>
      </c>
      <c r="C1917" s="155" t="s">
        <v>4</v>
      </c>
      <c r="D1917" s="157" t="s">
        <v>5</v>
      </c>
    </row>
    <row r="1918" spans="1:4" ht="15" customHeight="1" x14ac:dyDescent="0.2">
      <c r="A1918" s="155" t="s">
        <v>825</v>
      </c>
      <c r="B1918" s="156">
        <v>125</v>
      </c>
      <c r="C1918" s="155" t="s">
        <v>4</v>
      </c>
      <c r="D1918" s="157" t="s">
        <v>5</v>
      </c>
    </row>
    <row r="1919" spans="1:4" ht="15" customHeight="1" x14ac:dyDescent="0.2">
      <c r="A1919" s="155" t="s">
        <v>1864</v>
      </c>
      <c r="B1919" s="156">
        <v>125</v>
      </c>
      <c r="C1919" s="155" t="s">
        <v>4</v>
      </c>
      <c r="D1919" s="157" t="s">
        <v>5</v>
      </c>
    </row>
    <row r="1920" spans="1:4" ht="15" customHeight="1" x14ac:dyDescent="0.2">
      <c r="A1920" s="155" t="s">
        <v>817</v>
      </c>
      <c r="B1920" s="156">
        <v>22</v>
      </c>
      <c r="C1920" s="155" t="s">
        <v>4</v>
      </c>
      <c r="D1920" s="157" t="s">
        <v>5</v>
      </c>
    </row>
    <row r="1921" spans="1:4" ht="15" customHeight="1" x14ac:dyDescent="0.2">
      <c r="A1921" s="155" t="s">
        <v>366</v>
      </c>
      <c r="B1921" s="156">
        <v>125</v>
      </c>
      <c r="C1921" s="155" t="s">
        <v>4</v>
      </c>
      <c r="D1921" s="157" t="s">
        <v>5</v>
      </c>
    </row>
    <row r="1922" spans="1:4" ht="15" customHeight="1" x14ac:dyDescent="0.2">
      <c r="A1922" s="155" t="s">
        <v>1404</v>
      </c>
      <c r="B1922" s="156">
        <v>50</v>
      </c>
      <c r="C1922" s="155" t="s">
        <v>4</v>
      </c>
      <c r="D1922" s="157" t="s">
        <v>5</v>
      </c>
    </row>
    <row r="1923" spans="1:4" ht="15" customHeight="1" x14ac:dyDescent="0.2">
      <c r="A1923" s="155" t="s">
        <v>357</v>
      </c>
      <c r="B1923" s="156">
        <v>50</v>
      </c>
      <c r="C1923" s="155" t="s">
        <v>4</v>
      </c>
      <c r="D1923" s="157" t="s">
        <v>5</v>
      </c>
    </row>
    <row r="1924" spans="1:4" ht="15" customHeight="1" x14ac:dyDescent="0.2">
      <c r="A1924" s="155" t="s">
        <v>1396</v>
      </c>
      <c r="B1924" s="156">
        <v>50</v>
      </c>
      <c r="C1924" s="155" t="s">
        <v>4</v>
      </c>
      <c r="D1924" s="157" t="s">
        <v>5</v>
      </c>
    </row>
    <row r="1925" spans="1:4" ht="15" customHeight="1" x14ac:dyDescent="0.2">
      <c r="A1925" s="155" t="s">
        <v>349</v>
      </c>
      <c r="B1925" s="156">
        <v>50</v>
      </c>
      <c r="C1925" s="155" t="s">
        <v>4</v>
      </c>
      <c r="D1925" s="157" t="s">
        <v>5</v>
      </c>
    </row>
    <row r="1926" spans="1:4" ht="15" customHeight="1" x14ac:dyDescent="0.2">
      <c r="A1926" s="155" t="s">
        <v>1388</v>
      </c>
      <c r="B1926" s="156">
        <v>50</v>
      </c>
      <c r="C1926" s="155" t="s">
        <v>4</v>
      </c>
      <c r="D1926" s="157" t="s">
        <v>5</v>
      </c>
    </row>
    <row r="1927" spans="1:4" ht="15" customHeight="1" x14ac:dyDescent="0.2">
      <c r="A1927" s="155" t="s">
        <v>341</v>
      </c>
      <c r="B1927" s="156">
        <v>50</v>
      </c>
      <c r="C1927" s="155" t="s">
        <v>4</v>
      </c>
      <c r="D1927" s="157" t="s">
        <v>5</v>
      </c>
    </row>
    <row r="1928" spans="1:4" ht="15" customHeight="1" x14ac:dyDescent="0.2">
      <c r="A1928" s="155" t="s">
        <v>1380</v>
      </c>
      <c r="B1928" s="156">
        <v>125</v>
      </c>
      <c r="C1928" s="155" t="s">
        <v>4</v>
      </c>
      <c r="D1928" s="157" t="s">
        <v>5</v>
      </c>
    </row>
    <row r="1929" spans="1:4" ht="15" customHeight="1" x14ac:dyDescent="0.2">
      <c r="A1929" s="155" t="s">
        <v>398</v>
      </c>
      <c r="B1929" s="156">
        <v>125</v>
      </c>
      <c r="C1929" s="155" t="s">
        <v>4</v>
      </c>
      <c r="D1929" s="157" t="s">
        <v>5</v>
      </c>
    </row>
    <row r="1930" spans="1:4" ht="15" customHeight="1" x14ac:dyDescent="0.2">
      <c r="A1930" s="155" t="s">
        <v>1437</v>
      </c>
      <c r="B1930" s="156">
        <v>40</v>
      </c>
      <c r="C1930" s="155" t="s">
        <v>4</v>
      </c>
      <c r="D1930" s="157" t="s">
        <v>5</v>
      </c>
    </row>
    <row r="1931" spans="1:4" ht="15" customHeight="1" x14ac:dyDescent="0.2">
      <c r="A1931" s="155" t="s">
        <v>390</v>
      </c>
      <c r="B1931" s="156">
        <v>125</v>
      </c>
      <c r="C1931" s="155" t="s">
        <v>4</v>
      </c>
      <c r="D1931" s="157" t="s">
        <v>5</v>
      </c>
    </row>
    <row r="1932" spans="1:4" ht="15" customHeight="1" x14ac:dyDescent="0.2">
      <c r="A1932" s="155" t="s">
        <v>1429</v>
      </c>
      <c r="B1932" s="156">
        <v>125</v>
      </c>
      <c r="C1932" s="155" t="s">
        <v>4</v>
      </c>
      <c r="D1932" s="157" t="s">
        <v>5</v>
      </c>
    </row>
    <row r="1933" spans="1:4" ht="15" customHeight="1" x14ac:dyDescent="0.2">
      <c r="A1933" s="155" t="s">
        <v>382</v>
      </c>
      <c r="B1933" s="156">
        <v>25</v>
      </c>
      <c r="C1933" s="155" t="s">
        <v>4</v>
      </c>
      <c r="D1933" s="157" t="s">
        <v>5</v>
      </c>
    </row>
    <row r="1934" spans="1:4" ht="15" customHeight="1" x14ac:dyDescent="0.2">
      <c r="A1934" s="155" t="s">
        <v>1421</v>
      </c>
      <c r="B1934" s="156">
        <v>125</v>
      </c>
      <c r="C1934" s="155" t="s">
        <v>4</v>
      </c>
      <c r="D1934" s="157" t="s">
        <v>5</v>
      </c>
    </row>
    <row r="1935" spans="1:4" ht="15" customHeight="1" x14ac:dyDescent="0.2">
      <c r="A1935" s="155" t="s">
        <v>374</v>
      </c>
      <c r="B1935" s="156">
        <v>125</v>
      </c>
      <c r="C1935" s="155" t="s">
        <v>4</v>
      </c>
      <c r="D1935" s="157" t="s">
        <v>5</v>
      </c>
    </row>
    <row r="1936" spans="1:4" ht="15" customHeight="1" x14ac:dyDescent="0.2">
      <c r="A1936" s="155" t="s">
        <v>1413</v>
      </c>
      <c r="B1936" s="156">
        <v>125</v>
      </c>
      <c r="C1936" s="155" t="s">
        <v>4</v>
      </c>
      <c r="D1936" s="157" t="s">
        <v>5</v>
      </c>
    </row>
    <row r="1937" spans="1:4" ht="15" customHeight="1" x14ac:dyDescent="0.2">
      <c r="A1937" s="155" t="s">
        <v>430</v>
      </c>
      <c r="B1937" s="156">
        <v>125</v>
      </c>
      <c r="C1937" s="155" t="s">
        <v>4</v>
      </c>
      <c r="D1937" s="157" t="s">
        <v>5</v>
      </c>
    </row>
    <row r="1938" spans="1:4" ht="15" customHeight="1" x14ac:dyDescent="0.2">
      <c r="A1938" s="155" t="s">
        <v>1469</v>
      </c>
      <c r="B1938" s="156">
        <v>20</v>
      </c>
      <c r="C1938" s="155" t="s">
        <v>4</v>
      </c>
      <c r="D1938" s="157" t="s">
        <v>5</v>
      </c>
    </row>
    <row r="1939" spans="1:4" ht="15" customHeight="1" x14ac:dyDescent="0.2">
      <c r="A1939" s="155" t="s">
        <v>422</v>
      </c>
      <c r="B1939" s="156">
        <v>125</v>
      </c>
      <c r="C1939" s="155" t="s">
        <v>4</v>
      </c>
      <c r="D1939" s="157" t="s">
        <v>5</v>
      </c>
    </row>
    <row r="1940" spans="1:4" ht="15" customHeight="1" x14ac:dyDescent="0.2">
      <c r="A1940" s="155" t="s">
        <v>1461</v>
      </c>
      <c r="B1940" s="156">
        <v>60</v>
      </c>
      <c r="C1940" s="155" t="s">
        <v>4</v>
      </c>
      <c r="D1940" s="157" t="s">
        <v>5</v>
      </c>
    </row>
    <row r="1941" spans="1:4" ht="15" customHeight="1" x14ac:dyDescent="0.2">
      <c r="A1941" s="155" t="s">
        <v>414</v>
      </c>
      <c r="B1941" s="156">
        <v>125</v>
      </c>
      <c r="C1941" s="155" t="s">
        <v>4</v>
      </c>
      <c r="D1941" s="157" t="s">
        <v>5</v>
      </c>
    </row>
    <row r="1942" spans="1:4" ht="15" customHeight="1" x14ac:dyDescent="0.2">
      <c r="A1942" s="155" t="s">
        <v>1453</v>
      </c>
      <c r="B1942" s="156">
        <v>125</v>
      </c>
      <c r="C1942" s="155" t="s">
        <v>4</v>
      </c>
      <c r="D1942" s="157" t="s">
        <v>5</v>
      </c>
    </row>
    <row r="1943" spans="1:4" ht="15" customHeight="1" x14ac:dyDescent="0.2">
      <c r="A1943" s="155" t="s">
        <v>406</v>
      </c>
      <c r="B1943" s="156">
        <v>260</v>
      </c>
      <c r="C1943" s="155" t="s">
        <v>4</v>
      </c>
      <c r="D1943" s="157" t="s">
        <v>5</v>
      </c>
    </row>
    <row r="1944" spans="1:4" ht="15" customHeight="1" x14ac:dyDescent="0.2">
      <c r="A1944" s="155" t="s">
        <v>1445</v>
      </c>
      <c r="B1944" s="156">
        <v>350</v>
      </c>
      <c r="C1944" s="155" t="s">
        <v>4</v>
      </c>
      <c r="D1944" s="157" t="s">
        <v>5</v>
      </c>
    </row>
    <row r="1945" spans="1:4" ht="15" customHeight="1" x14ac:dyDescent="0.2">
      <c r="A1945" s="155" t="s">
        <v>462</v>
      </c>
      <c r="B1945" s="156">
        <v>125</v>
      </c>
      <c r="C1945" s="155" t="s">
        <v>4</v>
      </c>
      <c r="D1945" s="157" t="s">
        <v>5</v>
      </c>
    </row>
    <row r="1946" spans="1:4" ht="15" customHeight="1" x14ac:dyDescent="0.2">
      <c r="A1946" s="155" t="s">
        <v>1501</v>
      </c>
      <c r="B1946" s="156">
        <v>100</v>
      </c>
      <c r="C1946" s="155" t="s">
        <v>4</v>
      </c>
      <c r="D1946" s="157" t="s">
        <v>5</v>
      </c>
    </row>
    <row r="1947" spans="1:4" ht="15" customHeight="1" x14ac:dyDescent="0.2">
      <c r="A1947" s="155" t="s">
        <v>454</v>
      </c>
      <c r="B1947" s="156">
        <v>125</v>
      </c>
      <c r="C1947" s="155" t="s">
        <v>4</v>
      </c>
      <c r="D1947" s="157" t="s">
        <v>5</v>
      </c>
    </row>
    <row r="1948" spans="1:4" ht="15" customHeight="1" x14ac:dyDescent="0.2">
      <c r="A1948" s="155" t="s">
        <v>1493</v>
      </c>
      <c r="B1948" s="159">
        <v>0.8</v>
      </c>
      <c r="C1948" s="155" t="s">
        <v>4</v>
      </c>
      <c r="D1948" s="157" t="s">
        <v>5</v>
      </c>
    </row>
    <row r="1949" spans="1:4" ht="15" customHeight="1" x14ac:dyDescent="0.2">
      <c r="A1949" s="155" t="s">
        <v>446</v>
      </c>
      <c r="B1949" s="156">
        <v>125</v>
      </c>
      <c r="C1949" s="155" t="s">
        <v>4</v>
      </c>
      <c r="D1949" s="157" t="s">
        <v>5</v>
      </c>
    </row>
    <row r="1950" spans="1:4" ht="15" customHeight="1" x14ac:dyDescent="0.2">
      <c r="A1950" s="155" t="s">
        <v>1485</v>
      </c>
      <c r="B1950" s="156">
        <v>125</v>
      </c>
      <c r="C1950" s="155" t="s">
        <v>4</v>
      </c>
      <c r="D1950" s="157" t="s">
        <v>5</v>
      </c>
    </row>
    <row r="1951" spans="1:4" ht="15" customHeight="1" x14ac:dyDescent="0.2">
      <c r="A1951" s="155" t="s">
        <v>438</v>
      </c>
      <c r="B1951" s="156">
        <v>125</v>
      </c>
      <c r="C1951" s="155" t="s">
        <v>4</v>
      </c>
      <c r="D1951" s="157" t="s">
        <v>5</v>
      </c>
    </row>
    <row r="1952" spans="1:4" ht="15" customHeight="1" x14ac:dyDescent="0.2">
      <c r="A1952" s="155" t="s">
        <v>1477</v>
      </c>
      <c r="B1952" s="156">
        <v>427</v>
      </c>
      <c r="C1952" s="155" t="s">
        <v>4</v>
      </c>
      <c r="D1952" s="157" t="s">
        <v>5</v>
      </c>
    </row>
    <row r="1953" spans="1:4" ht="15" customHeight="1" x14ac:dyDescent="0.2">
      <c r="A1953" s="155" t="s">
        <v>495</v>
      </c>
      <c r="B1953" s="156">
        <v>1550</v>
      </c>
      <c r="C1953" s="155" t="s">
        <v>4</v>
      </c>
      <c r="D1953" s="157" t="s">
        <v>5</v>
      </c>
    </row>
    <row r="1954" spans="1:4" ht="15" customHeight="1" x14ac:dyDescent="0.2">
      <c r="A1954" s="155" t="s">
        <v>1534</v>
      </c>
      <c r="B1954" s="156">
        <v>125</v>
      </c>
      <c r="C1954" s="155" t="s">
        <v>4</v>
      </c>
      <c r="D1954" s="157" t="s">
        <v>5</v>
      </c>
    </row>
    <row r="1955" spans="1:4" ht="15" customHeight="1" x14ac:dyDescent="0.2">
      <c r="A1955" s="155" t="s">
        <v>487</v>
      </c>
      <c r="B1955" s="156">
        <v>2875</v>
      </c>
      <c r="C1955" s="155" t="s">
        <v>4</v>
      </c>
      <c r="D1955" s="157" t="s">
        <v>5</v>
      </c>
    </row>
    <row r="1956" spans="1:4" ht="15" customHeight="1" x14ac:dyDescent="0.2">
      <c r="A1956" s="155" t="s">
        <v>1525</v>
      </c>
      <c r="B1956" s="156">
        <v>600</v>
      </c>
      <c r="C1956" s="155" t="s">
        <v>4</v>
      </c>
      <c r="D1956" s="157" t="s">
        <v>5</v>
      </c>
    </row>
    <row r="1957" spans="1:4" ht="15" customHeight="1" x14ac:dyDescent="0.2">
      <c r="A1957" s="155" t="s">
        <v>478</v>
      </c>
      <c r="B1957" s="156">
        <v>475</v>
      </c>
      <c r="C1957" s="155" t="s">
        <v>4</v>
      </c>
      <c r="D1957" s="157" t="s">
        <v>5</v>
      </c>
    </row>
    <row r="1958" spans="1:4" ht="15" customHeight="1" x14ac:dyDescent="0.2">
      <c r="A1958" s="155" t="s">
        <v>1517</v>
      </c>
      <c r="B1958" s="156">
        <v>1725</v>
      </c>
      <c r="C1958" s="155" t="s">
        <v>4</v>
      </c>
      <c r="D1958" s="157" t="s">
        <v>5</v>
      </c>
    </row>
    <row r="1959" spans="1:4" ht="15" customHeight="1" x14ac:dyDescent="0.2">
      <c r="A1959" s="155" t="s">
        <v>470</v>
      </c>
      <c r="B1959" s="156">
        <v>125</v>
      </c>
      <c r="C1959" s="155" t="s">
        <v>4</v>
      </c>
      <c r="D1959" s="157" t="s">
        <v>5</v>
      </c>
    </row>
    <row r="1960" spans="1:4" ht="15" customHeight="1" x14ac:dyDescent="0.2">
      <c r="A1960" s="155" t="s">
        <v>1509</v>
      </c>
      <c r="B1960" s="156">
        <v>101</v>
      </c>
      <c r="C1960" s="155" t="s">
        <v>4</v>
      </c>
      <c r="D1960" s="157" t="s">
        <v>5</v>
      </c>
    </row>
    <row r="1961" spans="1:4" ht="15" customHeight="1" x14ac:dyDescent="0.2">
      <c r="A1961" s="155" t="s">
        <v>528</v>
      </c>
      <c r="B1961" s="156">
        <v>50</v>
      </c>
      <c r="C1961" s="155" t="s">
        <v>4</v>
      </c>
      <c r="D1961" s="157" t="s">
        <v>5</v>
      </c>
    </row>
    <row r="1962" spans="1:4" ht="15" customHeight="1" x14ac:dyDescent="0.2">
      <c r="A1962" s="155" t="s">
        <v>1567</v>
      </c>
      <c r="B1962" s="156">
        <v>25</v>
      </c>
      <c r="C1962" s="155" t="s">
        <v>4</v>
      </c>
      <c r="D1962" s="157" t="s">
        <v>5</v>
      </c>
    </row>
    <row r="1963" spans="1:4" ht="15" customHeight="1" x14ac:dyDescent="0.2">
      <c r="A1963" s="155" t="s">
        <v>519</v>
      </c>
      <c r="B1963" s="156">
        <v>125</v>
      </c>
      <c r="C1963" s="155" t="s">
        <v>4</v>
      </c>
      <c r="D1963" s="157" t="s">
        <v>5</v>
      </c>
    </row>
    <row r="1964" spans="1:4" ht="15" customHeight="1" x14ac:dyDescent="0.2">
      <c r="A1964" s="155" t="s">
        <v>1558</v>
      </c>
      <c r="B1964" s="156">
        <v>5850</v>
      </c>
      <c r="C1964" s="155" t="s">
        <v>4</v>
      </c>
      <c r="D1964" s="157" t="s">
        <v>5</v>
      </c>
    </row>
    <row r="1965" spans="1:4" ht="15" customHeight="1" x14ac:dyDescent="0.2">
      <c r="A1965" s="155" t="s">
        <v>511</v>
      </c>
      <c r="B1965" s="156">
        <v>125</v>
      </c>
      <c r="C1965" s="155" t="s">
        <v>4</v>
      </c>
      <c r="D1965" s="157" t="s">
        <v>5</v>
      </c>
    </row>
    <row r="1966" spans="1:4" ht="15" customHeight="1" x14ac:dyDescent="0.2">
      <c r="A1966" s="155" t="s">
        <v>1550</v>
      </c>
      <c r="B1966" s="156">
        <v>125</v>
      </c>
      <c r="C1966" s="155" t="s">
        <v>4</v>
      </c>
      <c r="D1966" s="157" t="s">
        <v>5</v>
      </c>
    </row>
    <row r="1967" spans="1:4" ht="15" customHeight="1" x14ac:dyDescent="0.2">
      <c r="A1967" s="155" t="s">
        <v>503</v>
      </c>
      <c r="B1967" s="156">
        <v>125</v>
      </c>
      <c r="C1967" s="155" t="s">
        <v>4</v>
      </c>
      <c r="D1967" s="157" t="s">
        <v>5</v>
      </c>
    </row>
    <row r="1968" spans="1:4" ht="15" customHeight="1" x14ac:dyDescent="0.2">
      <c r="A1968" s="155" t="s">
        <v>1542</v>
      </c>
      <c r="B1968" s="156">
        <v>125</v>
      </c>
      <c r="C1968" s="155" t="s">
        <v>4</v>
      </c>
      <c r="D1968" s="157" t="s">
        <v>5</v>
      </c>
    </row>
    <row r="1969" spans="1:4" ht="15" customHeight="1" x14ac:dyDescent="0.2">
      <c r="A1969" s="155" t="s">
        <v>560</v>
      </c>
      <c r="B1969" s="156">
        <v>125</v>
      </c>
      <c r="C1969" s="155" t="s">
        <v>4</v>
      </c>
      <c r="D1969" s="157" t="s">
        <v>5</v>
      </c>
    </row>
    <row r="1970" spans="1:4" ht="15" customHeight="1" x14ac:dyDescent="0.2">
      <c r="A1970" s="155" t="s">
        <v>1599</v>
      </c>
      <c r="B1970" s="156">
        <v>125</v>
      </c>
      <c r="C1970" s="155" t="s">
        <v>4</v>
      </c>
      <c r="D1970" s="157" t="s">
        <v>5</v>
      </c>
    </row>
    <row r="1971" spans="1:4" ht="15" customHeight="1" x14ac:dyDescent="0.2">
      <c r="A1971" s="155" t="s">
        <v>552</v>
      </c>
      <c r="B1971" s="156">
        <v>205</v>
      </c>
      <c r="C1971" s="155" t="s">
        <v>4</v>
      </c>
      <c r="D1971" s="157" t="s">
        <v>5</v>
      </c>
    </row>
    <row r="1972" spans="1:4" ht="15" customHeight="1" x14ac:dyDescent="0.2">
      <c r="A1972" s="155" t="s">
        <v>1591</v>
      </c>
      <c r="B1972" s="156">
        <v>125</v>
      </c>
      <c r="C1972" s="155" t="s">
        <v>4</v>
      </c>
      <c r="D1972" s="157" t="s">
        <v>5</v>
      </c>
    </row>
    <row r="1973" spans="1:4" ht="15" customHeight="1" x14ac:dyDescent="0.2">
      <c r="A1973" s="155" t="s">
        <v>544</v>
      </c>
      <c r="B1973" s="156">
        <v>125</v>
      </c>
      <c r="C1973" s="155" t="s">
        <v>4</v>
      </c>
      <c r="D1973" s="157" t="s">
        <v>5</v>
      </c>
    </row>
    <row r="1974" spans="1:4" ht="15" customHeight="1" x14ac:dyDescent="0.2">
      <c r="A1974" s="155" t="s">
        <v>1583</v>
      </c>
      <c r="B1974" s="156">
        <v>200</v>
      </c>
      <c r="C1974" s="155" t="s">
        <v>4</v>
      </c>
      <c r="D1974" s="157" t="s">
        <v>5</v>
      </c>
    </row>
    <row r="1975" spans="1:4" ht="15" customHeight="1" x14ac:dyDescent="0.2">
      <c r="A1975" s="155" t="s">
        <v>536</v>
      </c>
      <c r="B1975" s="156">
        <v>125</v>
      </c>
      <c r="C1975" s="155" t="s">
        <v>4</v>
      </c>
      <c r="D1975" s="157" t="s">
        <v>5</v>
      </c>
    </row>
    <row r="1976" spans="1:4" ht="15" customHeight="1" x14ac:dyDescent="0.2">
      <c r="A1976" s="155" t="s">
        <v>1575</v>
      </c>
      <c r="B1976" s="156">
        <v>125</v>
      </c>
      <c r="C1976" s="155" t="s">
        <v>4</v>
      </c>
      <c r="D1976" s="157" t="s">
        <v>5</v>
      </c>
    </row>
    <row r="1977" spans="1:4" ht="15" customHeight="1" x14ac:dyDescent="0.2">
      <c r="A1977" s="155" t="s">
        <v>588</v>
      </c>
      <c r="B1977" s="156">
        <v>125</v>
      </c>
      <c r="C1977" s="155" t="s">
        <v>4</v>
      </c>
      <c r="D1977" s="157" t="s">
        <v>5</v>
      </c>
    </row>
    <row r="1978" spans="1:4" ht="15" customHeight="1" x14ac:dyDescent="0.2">
      <c r="A1978" s="155" t="s">
        <v>1627</v>
      </c>
      <c r="B1978" s="156">
        <v>125</v>
      </c>
      <c r="C1978" s="155" t="s">
        <v>4</v>
      </c>
      <c r="D1978" s="157" t="s">
        <v>5</v>
      </c>
    </row>
    <row r="1979" spans="1:4" ht="15" customHeight="1" x14ac:dyDescent="0.2">
      <c r="A1979" s="155" t="s">
        <v>580</v>
      </c>
      <c r="B1979" s="156">
        <v>125</v>
      </c>
      <c r="C1979" s="155" t="s">
        <v>4</v>
      </c>
      <c r="D1979" s="157" t="s">
        <v>5</v>
      </c>
    </row>
    <row r="1980" spans="1:4" ht="15" customHeight="1" x14ac:dyDescent="0.2">
      <c r="A1980" s="155" t="s">
        <v>1619</v>
      </c>
      <c r="B1980" s="156">
        <v>125</v>
      </c>
      <c r="C1980" s="155" t="s">
        <v>4</v>
      </c>
      <c r="D1980" s="157" t="s">
        <v>5</v>
      </c>
    </row>
    <row r="1981" spans="1:4" ht="15" customHeight="1" x14ac:dyDescent="0.2">
      <c r="A1981" s="155" t="s">
        <v>572</v>
      </c>
      <c r="B1981" s="158">
        <v>52.55</v>
      </c>
      <c r="C1981" s="155" t="s">
        <v>4</v>
      </c>
      <c r="D1981" s="157" t="s">
        <v>5</v>
      </c>
    </row>
    <row r="1982" spans="1:4" ht="15" customHeight="1" x14ac:dyDescent="0.2">
      <c r="A1982" s="155" t="s">
        <v>1611</v>
      </c>
      <c r="B1982" s="156">
        <v>125</v>
      </c>
      <c r="C1982" s="155" t="s">
        <v>4</v>
      </c>
      <c r="D1982" s="157" t="s">
        <v>5</v>
      </c>
    </row>
    <row r="1983" spans="1:4" ht="15" customHeight="1" x14ac:dyDescent="0.2">
      <c r="A1983" s="155" t="s">
        <v>564</v>
      </c>
      <c r="B1983" s="156">
        <v>125</v>
      </c>
      <c r="C1983" s="155" t="s">
        <v>4</v>
      </c>
      <c r="D1983" s="157" t="s">
        <v>5</v>
      </c>
    </row>
    <row r="1984" spans="1:4" ht="15" customHeight="1" x14ac:dyDescent="0.2">
      <c r="A1984" s="155" t="s">
        <v>1608</v>
      </c>
      <c r="B1984" s="156">
        <v>125</v>
      </c>
      <c r="C1984" s="155" t="s">
        <v>4</v>
      </c>
      <c r="D1984" s="157" t="s">
        <v>5</v>
      </c>
    </row>
    <row r="1985" spans="1:4" ht="15" customHeight="1" x14ac:dyDescent="0.2">
      <c r="A1985" s="155" t="s">
        <v>102</v>
      </c>
      <c r="B1985" s="156">
        <v>125</v>
      </c>
      <c r="C1985" s="155" t="s">
        <v>4</v>
      </c>
      <c r="D1985" s="157" t="s">
        <v>5</v>
      </c>
    </row>
    <row r="1986" spans="1:4" ht="15" customHeight="1" x14ac:dyDescent="0.2">
      <c r="A1986" s="155" t="s">
        <v>1138</v>
      </c>
      <c r="B1986" s="156">
        <v>125</v>
      </c>
      <c r="C1986" s="155" t="s">
        <v>4</v>
      </c>
      <c r="D1986" s="157" t="s">
        <v>5</v>
      </c>
    </row>
    <row r="1987" spans="1:4" ht="15" customHeight="1" x14ac:dyDescent="0.2">
      <c r="A1987" s="155" t="s">
        <v>93</v>
      </c>
      <c r="B1987" s="156">
        <v>75</v>
      </c>
      <c r="C1987" s="155" t="s">
        <v>4</v>
      </c>
      <c r="D1987" s="157" t="s">
        <v>5</v>
      </c>
    </row>
    <row r="1988" spans="1:4" ht="15" customHeight="1" x14ac:dyDescent="0.2">
      <c r="A1988" s="155" t="s">
        <v>1129</v>
      </c>
      <c r="B1988" s="156">
        <v>500</v>
      </c>
      <c r="C1988" s="155" t="s">
        <v>4</v>
      </c>
      <c r="D1988" s="157" t="s">
        <v>5</v>
      </c>
    </row>
    <row r="1989" spans="1:4" ht="15" customHeight="1" x14ac:dyDescent="0.2">
      <c r="A1989" s="155" t="s">
        <v>84</v>
      </c>
      <c r="B1989" s="156">
        <v>125</v>
      </c>
      <c r="C1989" s="155" t="s">
        <v>4</v>
      </c>
      <c r="D1989" s="157" t="s">
        <v>5</v>
      </c>
    </row>
    <row r="1990" spans="1:4" ht="15" customHeight="1" x14ac:dyDescent="0.2">
      <c r="A1990" s="155" t="s">
        <v>1120</v>
      </c>
      <c r="B1990" s="156">
        <v>150</v>
      </c>
      <c r="C1990" s="155" t="s">
        <v>4</v>
      </c>
      <c r="D1990" s="157" t="s">
        <v>5</v>
      </c>
    </row>
    <row r="1991" spans="1:4" ht="15" customHeight="1" x14ac:dyDescent="0.2">
      <c r="A1991" s="155" t="s">
        <v>75</v>
      </c>
      <c r="B1991" s="156">
        <v>125</v>
      </c>
      <c r="C1991" s="155" t="s">
        <v>4</v>
      </c>
      <c r="D1991" s="157" t="s">
        <v>5</v>
      </c>
    </row>
    <row r="1992" spans="1:4" ht="15" customHeight="1" x14ac:dyDescent="0.2">
      <c r="A1992" s="155" t="s">
        <v>1110</v>
      </c>
      <c r="B1992" s="156">
        <v>125</v>
      </c>
      <c r="C1992" s="155" t="s">
        <v>4</v>
      </c>
      <c r="D1992" s="157" t="s">
        <v>5</v>
      </c>
    </row>
    <row r="1993" spans="1:4" ht="15" customHeight="1" x14ac:dyDescent="0.2">
      <c r="A1993" s="155" t="s">
        <v>138</v>
      </c>
      <c r="B1993" s="156">
        <v>125</v>
      </c>
      <c r="C1993" s="155" t="s">
        <v>4</v>
      </c>
      <c r="D1993" s="157" t="s">
        <v>5</v>
      </c>
    </row>
    <row r="1994" spans="1:4" ht="15" customHeight="1" x14ac:dyDescent="0.2">
      <c r="A1994" s="155" t="s">
        <v>1174</v>
      </c>
      <c r="B1994" s="156">
        <v>125</v>
      </c>
      <c r="C1994" s="155" t="s">
        <v>4</v>
      </c>
      <c r="D1994" s="157" t="s">
        <v>5</v>
      </c>
    </row>
    <row r="1995" spans="1:4" ht="15" customHeight="1" x14ac:dyDescent="0.2">
      <c r="A1995" s="155" t="s">
        <v>129</v>
      </c>
      <c r="B1995" s="156">
        <v>125</v>
      </c>
      <c r="C1995" s="155" t="s">
        <v>4</v>
      </c>
      <c r="D1995" s="157" t="s">
        <v>5</v>
      </c>
    </row>
    <row r="1996" spans="1:4" ht="15" customHeight="1" x14ac:dyDescent="0.2">
      <c r="A1996" s="155" t="s">
        <v>1165</v>
      </c>
      <c r="B1996" s="156">
        <v>125</v>
      </c>
      <c r="C1996" s="155" t="s">
        <v>4</v>
      </c>
      <c r="D1996" s="157" t="s">
        <v>5</v>
      </c>
    </row>
    <row r="1997" spans="1:4" ht="15" customHeight="1" x14ac:dyDescent="0.2">
      <c r="A1997" s="155" t="s">
        <v>120</v>
      </c>
      <c r="B1997" s="156">
        <v>400</v>
      </c>
      <c r="C1997" s="155" t="s">
        <v>4</v>
      </c>
      <c r="D1997" s="157" t="s">
        <v>5</v>
      </c>
    </row>
    <row r="1998" spans="1:4" ht="15" customHeight="1" x14ac:dyDescent="0.2">
      <c r="A1998" s="155" t="s">
        <v>1156</v>
      </c>
      <c r="B1998" s="156">
        <v>50</v>
      </c>
      <c r="C1998" s="155" t="s">
        <v>4</v>
      </c>
      <c r="D1998" s="157" t="s">
        <v>5</v>
      </c>
    </row>
    <row r="1999" spans="1:4" ht="15" customHeight="1" x14ac:dyDescent="0.2">
      <c r="A1999" s="155" t="s">
        <v>111</v>
      </c>
      <c r="B1999" s="156">
        <v>50</v>
      </c>
      <c r="C1999" s="155" t="s">
        <v>4</v>
      </c>
      <c r="D1999" s="157" t="s">
        <v>5</v>
      </c>
    </row>
    <row r="2000" spans="1:4" ht="15" customHeight="1" x14ac:dyDescent="0.2">
      <c r="A2000" s="155" t="s">
        <v>1147</v>
      </c>
      <c r="B2000" s="156">
        <v>50</v>
      </c>
      <c r="C2000" s="155" t="s">
        <v>4</v>
      </c>
      <c r="D2000" s="157" t="s">
        <v>5</v>
      </c>
    </row>
    <row r="2001" spans="1:4" ht="15" customHeight="1" x14ac:dyDescent="0.2">
      <c r="A2001" s="155" t="s">
        <v>173</v>
      </c>
      <c r="B2001" s="156">
        <v>50</v>
      </c>
      <c r="C2001" s="155" t="s">
        <v>4</v>
      </c>
      <c r="D2001" s="157" t="s">
        <v>5</v>
      </c>
    </row>
    <row r="2002" spans="1:4" ht="15" customHeight="1" x14ac:dyDescent="0.2">
      <c r="A2002" s="155" t="s">
        <v>1210</v>
      </c>
      <c r="B2002" s="156">
        <v>50</v>
      </c>
      <c r="C2002" s="155" t="s">
        <v>4</v>
      </c>
      <c r="D2002" s="157" t="s">
        <v>5</v>
      </c>
    </row>
    <row r="2003" spans="1:4" ht="15" customHeight="1" x14ac:dyDescent="0.2">
      <c r="A2003" s="155" t="s">
        <v>165</v>
      </c>
      <c r="B2003" s="156">
        <v>50</v>
      </c>
      <c r="C2003" s="155" t="s">
        <v>4</v>
      </c>
      <c r="D2003" s="157" t="s">
        <v>5</v>
      </c>
    </row>
    <row r="2004" spans="1:4" ht="15" customHeight="1" x14ac:dyDescent="0.2">
      <c r="A2004" s="155" t="s">
        <v>1201</v>
      </c>
      <c r="B2004" s="156">
        <v>50</v>
      </c>
      <c r="C2004" s="155" t="s">
        <v>4</v>
      </c>
      <c r="D2004" s="157" t="s">
        <v>5</v>
      </c>
    </row>
    <row r="2005" spans="1:4" ht="15" customHeight="1" x14ac:dyDescent="0.2">
      <c r="A2005" s="155" t="s">
        <v>156</v>
      </c>
      <c r="B2005" s="156">
        <v>50</v>
      </c>
      <c r="C2005" s="155" t="s">
        <v>4</v>
      </c>
      <c r="D2005" s="157" t="s">
        <v>5</v>
      </c>
    </row>
    <row r="2006" spans="1:4" ht="15" customHeight="1" x14ac:dyDescent="0.2">
      <c r="A2006" s="155" t="s">
        <v>1192</v>
      </c>
      <c r="B2006" s="156">
        <v>50</v>
      </c>
      <c r="C2006" s="155" t="s">
        <v>4</v>
      </c>
      <c r="D2006" s="157" t="s">
        <v>5</v>
      </c>
    </row>
    <row r="2007" spans="1:4" ht="15" customHeight="1" x14ac:dyDescent="0.2">
      <c r="A2007" s="155" t="s">
        <v>147</v>
      </c>
      <c r="B2007" s="156">
        <v>50</v>
      </c>
      <c r="C2007" s="155" t="s">
        <v>4</v>
      </c>
      <c r="D2007" s="157" t="s">
        <v>5</v>
      </c>
    </row>
    <row r="2008" spans="1:4" ht="15" customHeight="1" x14ac:dyDescent="0.2">
      <c r="A2008" s="155" t="s">
        <v>1183</v>
      </c>
      <c r="B2008" s="156">
        <v>125</v>
      </c>
      <c r="C2008" s="155" t="s">
        <v>4</v>
      </c>
      <c r="D2008" s="157" t="s">
        <v>5</v>
      </c>
    </row>
    <row r="2009" spans="1:4" ht="15" customHeight="1" x14ac:dyDescent="0.2">
      <c r="A2009" s="155" t="s">
        <v>207</v>
      </c>
      <c r="B2009" s="156">
        <v>25</v>
      </c>
      <c r="C2009" s="155" t="s">
        <v>4</v>
      </c>
      <c r="D2009" s="157" t="s">
        <v>5</v>
      </c>
    </row>
    <row r="2010" spans="1:4" ht="15" customHeight="1" x14ac:dyDescent="0.2">
      <c r="A2010" s="155" t="s">
        <v>1244</v>
      </c>
      <c r="B2010" s="156">
        <v>125</v>
      </c>
      <c r="C2010" s="155" t="s">
        <v>4</v>
      </c>
      <c r="D2010" s="157" t="s">
        <v>5</v>
      </c>
    </row>
    <row r="2011" spans="1:4" ht="15" customHeight="1" x14ac:dyDescent="0.2">
      <c r="A2011" s="155" t="s">
        <v>197</v>
      </c>
      <c r="B2011" s="156">
        <v>50</v>
      </c>
      <c r="C2011" s="155" t="s">
        <v>4</v>
      </c>
      <c r="D2011" s="157" t="s">
        <v>5</v>
      </c>
    </row>
    <row r="2012" spans="1:4" ht="15" customHeight="1" x14ac:dyDescent="0.2">
      <c r="A2012" s="155" t="s">
        <v>1235</v>
      </c>
      <c r="B2012" s="156">
        <v>50</v>
      </c>
      <c r="C2012" s="155" t="s">
        <v>4</v>
      </c>
      <c r="D2012" s="157" t="s">
        <v>5</v>
      </c>
    </row>
    <row r="2013" spans="1:4" ht="15" customHeight="1" x14ac:dyDescent="0.2">
      <c r="A2013" s="155" t="s">
        <v>189</v>
      </c>
      <c r="B2013" s="156">
        <v>50</v>
      </c>
      <c r="C2013" s="155" t="s">
        <v>4</v>
      </c>
      <c r="D2013" s="157" t="s">
        <v>5</v>
      </c>
    </row>
    <row r="2014" spans="1:4" ht="15" customHeight="1" x14ac:dyDescent="0.2">
      <c r="A2014" s="155" t="s">
        <v>1227</v>
      </c>
      <c r="B2014" s="156">
        <v>50</v>
      </c>
      <c r="C2014" s="155" t="s">
        <v>4</v>
      </c>
      <c r="D2014" s="157" t="s">
        <v>5</v>
      </c>
    </row>
    <row r="2015" spans="1:4" ht="15" customHeight="1" x14ac:dyDescent="0.2">
      <c r="A2015" s="155" t="s">
        <v>181</v>
      </c>
      <c r="B2015" s="156">
        <v>50</v>
      </c>
      <c r="C2015" s="155" t="s">
        <v>4</v>
      </c>
      <c r="D2015" s="157" t="s">
        <v>5</v>
      </c>
    </row>
    <row r="2016" spans="1:4" ht="15" customHeight="1" x14ac:dyDescent="0.2">
      <c r="A2016" s="155" t="s">
        <v>1219</v>
      </c>
      <c r="B2016" s="156">
        <v>50</v>
      </c>
      <c r="C2016" s="155" t="s">
        <v>4</v>
      </c>
      <c r="D2016" s="157" t="s">
        <v>5</v>
      </c>
    </row>
    <row r="2017" spans="1:4" ht="15" customHeight="1" x14ac:dyDescent="0.2">
      <c r="A2017" s="155" t="s">
        <v>239</v>
      </c>
      <c r="B2017" s="156">
        <v>50</v>
      </c>
      <c r="C2017" s="155" t="s">
        <v>4</v>
      </c>
      <c r="D2017" s="157" t="s">
        <v>5</v>
      </c>
    </row>
    <row r="2018" spans="1:4" ht="15" customHeight="1" x14ac:dyDescent="0.2">
      <c r="A2018" s="155" t="s">
        <v>1278</v>
      </c>
      <c r="B2018" s="156">
        <v>50</v>
      </c>
      <c r="C2018" s="155" t="s">
        <v>4</v>
      </c>
      <c r="D2018" s="157" t="s">
        <v>5</v>
      </c>
    </row>
    <row r="2019" spans="1:4" ht="15" customHeight="1" x14ac:dyDescent="0.2">
      <c r="A2019" s="155" t="s">
        <v>231</v>
      </c>
      <c r="B2019" s="156">
        <v>50</v>
      </c>
      <c r="C2019" s="155" t="s">
        <v>4</v>
      </c>
      <c r="D2019" s="157" t="s">
        <v>5</v>
      </c>
    </row>
    <row r="2020" spans="1:4" ht="15" customHeight="1" x14ac:dyDescent="0.2">
      <c r="A2020" s="155" t="s">
        <v>1270</v>
      </c>
      <c r="B2020" s="156">
        <v>50</v>
      </c>
      <c r="C2020" s="155" t="s">
        <v>4</v>
      </c>
      <c r="D2020" s="157" t="s">
        <v>5</v>
      </c>
    </row>
    <row r="2021" spans="1:4" ht="15" customHeight="1" x14ac:dyDescent="0.2">
      <c r="A2021" s="155" t="s">
        <v>223</v>
      </c>
      <c r="B2021" s="156">
        <v>50</v>
      </c>
      <c r="C2021" s="155" t="s">
        <v>4</v>
      </c>
      <c r="D2021" s="157" t="s">
        <v>5</v>
      </c>
    </row>
    <row r="2022" spans="1:4" ht="15" customHeight="1" x14ac:dyDescent="0.2">
      <c r="A2022" s="155" t="s">
        <v>1262</v>
      </c>
      <c r="B2022" s="156">
        <v>50</v>
      </c>
      <c r="C2022" s="155" t="s">
        <v>4</v>
      </c>
      <c r="D2022" s="157" t="s">
        <v>5</v>
      </c>
    </row>
    <row r="2023" spans="1:4" ht="15" customHeight="1" x14ac:dyDescent="0.2">
      <c r="A2023" s="155" t="s">
        <v>215</v>
      </c>
      <c r="B2023" s="156">
        <v>50</v>
      </c>
      <c r="C2023" s="155" t="s">
        <v>4</v>
      </c>
      <c r="D2023" s="157" t="s">
        <v>5</v>
      </c>
    </row>
    <row r="2024" spans="1:4" ht="15" customHeight="1" x14ac:dyDescent="0.2">
      <c r="A2024" s="155" t="s">
        <v>1254</v>
      </c>
      <c r="B2024" s="156">
        <v>50</v>
      </c>
      <c r="C2024" s="155" t="s">
        <v>4</v>
      </c>
      <c r="D2024" s="157" t="s">
        <v>5</v>
      </c>
    </row>
    <row r="2025" spans="1:4" ht="15" customHeight="1" x14ac:dyDescent="0.2">
      <c r="A2025" s="155" t="s">
        <v>272</v>
      </c>
      <c r="B2025" s="156">
        <v>50</v>
      </c>
      <c r="C2025" s="155" t="s">
        <v>4</v>
      </c>
      <c r="D2025" s="157" t="s">
        <v>5</v>
      </c>
    </row>
    <row r="2026" spans="1:4" ht="15" customHeight="1" x14ac:dyDescent="0.2">
      <c r="A2026" s="155" t="s">
        <v>1311</v>
      </c>
      <c r="B2026" s="156">
        <v>50</v>
      </c>
      <c r="C2026" s="155" t="s">
        <v>4</v>
      </c>
      <c r="D2026" s="157" t="s">
        <v>5</v>
      </c>
    </row>
    <row r="2027" spans="1:4" ht="15" customHeight="1" x14ac:dyDescent="0.2">
      <c r="A2027" s="155" t="s">
        <v>264</v>
      </c>
      <c r="B2027" s="156">
        <v>125</v>
      </c>
      <c r="C2027" s="155" t="s">
        <v>4</v>
      </c>
      <c r="D2027" s="157" t="s">
        <v>5</v>
      </c>
    </row>
    <row r="2028" spans="1:4" ht="15" customHeight="1" x14ac:dyDescent="0.2">
      <c r="A2028" s="155" t="s">
        <v>1303</v>
      </c>
      <c r="B2028" s="156">
        <v>50</v>
      </c>
      <c r="C2028" s="155" t="s">
        <v>4</v>
      </c>
      <c r="D2028" s="157" t="s">
        <v>5</v>
      </c>
    </row>
    <row r="2029" spans="1:4" ht="15" customHeight="1" x14ac:dyDescent="0.2">
      <c r="A2029" s="155" t="s">
        <v>256</v>
      </c>
      <c r="B2029" s="156">
        <v>125</v>
      </c>
      <c r="C2029" s="155" t="s">
        <v>4</v>
      </c>
      <c r="D2029" s="157" t="s">
        <v>5</v>
      </c>
    </row>
    <row r="2030" spans="1:4" ht="15" customHeight="1" x14ac:dyDescent="0.2">
      <c r="A2030" s="155" t="s">
        <v>1295</v>
      </c>
      <c r="B2030" s="156">
        <v>125</v>
      </c>
      <c r="C2030" s="155" t="s">
        <v>4</v>
      </c>
      <c r="D2030" s="157" t="s">
        <v>5</v>
      </c>
    </row>
    <row r="2031" spans="1:4" ht="15" customHeight="1" x14ac:dyDescent="0.2">
      <c r="A2031" s="155" t="s">
        <v>248</v>
      </c>
      <c r="B2031" s="156">
        <v>125</v>
      </c>
      <c r="C2031" s="155" t="s">
        <v>4</v>
      </c>
      <c r="D2031" s="157" t="s">
        <v>5</v>
      </c>
    </row>
    <row r="2032" spans="1:4" ht="15" customHeight="1" x14ac:dyDescent="0.2">
      <c r="A2032" s="155" t="s">
        <v>1287</v>
      </c>
      <c r="B2032" s="159">
        <v>849.5</v>
      </c>
      <c r="C2032" s="155" t="s">
        <v>4</v>
      </c>
      <c r="D2032" s="157" t="s">
        <v>5</v>
      </c>
    </row>
    <row r="2033" spans="1:4" ht="15" customHeight="1" x14ac:dyDescent="0.2">
      <c r="A2033" s="155" t="s">
        <v>300</v>
      </c>
      <c r="B2033" s="158">
        <v>1200.32</v>
      </c>
      <c r="C2033" s="155" t="s">
        <v>4</v>
      </c>
      <c r="D2033" s="157" t="s">
        <v>5</v>
      </c>
    </row>
    <row r="2034" spans="1:4" ht="15" customHeight="1" x14ac:dyDescent="0.2">
      <c r="A2034" s="155" t="s">
        <v>1339</v>
      </c>
      <c r="B2034" s="156">
        <v>125</v>
      </c>
      <c r="C2034" s="155" t="s">
        <v>4</v>
      </c>
      <c r="D2034" s="157" t="s">
        <v>5</v>
      </c>
    </row>
    <row r="2035" spans="1:4" ht="15" customHeight="1" x14ac:dyDescent="0.2">
      <c r="A2035" s="155" t="s">
        <v>292</v>
      </c>
      <c r="B2035" s="156">
        <v>125</v>
      </c>
      <c r="C2035" s="155" t="s">
        <v>4</v>
      </c>
      <c r="D2035" s="157" t="s">
        <v>5</v>
      </c>
    </row>
    <row r="2036" spans="1:4" ht="15" customHeight="1" x14ac:dyDescent="0.2">
      <c r="A2036" s="155" t="s">
        <v>1331</v>
      </c>
      <c r="B2036" s="156">
        <v>125</v>
      </c>
      <c r="C2036" s="155" t="s">
        <v>4</v>
      </c>
      <c r="D2036" s="157" t="s">
        <v>5</v>
      </c>
    </row>
    <row r="2037" spans="1:4" ht="15" customHeight="1" x14ac:dyDescent="0.2">
      <c r="A2037" s="155" t="s">
        <v>284</v>
      </c>
      <c r="B2037" s="156">
        <v>125</v>
      </c>
      <c r="C2037" s="155" t="s">
        <v>4</v>
      </c>
      <c r="D2037" s="157" t="s">
        <v>5</v>
      </c>
    </row>
    <row r="2038" spans="1:4" ht="15" customHeight="1" x14ac:dyDescent="0.2">
      <c r="A2038" s="155" t="s">
        <v>1328</v>
      </c>
      <c r="B2038" s="156">
        <v>125</v>
      </c>
      <c r="C2038" s="155" t="s">
        <v>4</v>
      </c>
      <c r="D2038" s="157" t="s">
        <v>5</v>
      </c>
    </row>
    <row r="2039" spans="1:4" ht="15" customHeight="1" x14ac:dyDescent="0.2">
      <c r="A2039" s="155" t="s">
        <v>280</v>
      </c>
      <c r="B2039" s="156">
        <v>550</v>
      </c>
      <c r="C2039" s="155" t="s">
        <v>4</v>
      </c>
      <c r="D2039" s="157" t="s">
        <v>5</v>
      </c>
    </row>
    <row r="2040" spans="1:4" ht="15" customHeight="1" x14ac:dyDescent="0.2">
      <c r="A2040" s="155" t="s">
        <v>1319</v>
      </c>
      <c r="B2040" s="156">
        <v>125</v>
      </c>
      <c r="C2040" s="155" t="s">
        <v>4</v>
      </c>
      <c r="D2040" s="157" t="s">
        <v>5</v>
      </c>
    </row>
    <row r="2041" spans="1:4" ht="15" customHeight="1" x14ac:dyDescent="0.2">
      <c r="A2041" s="155" t="s">
        <v>333</v>
      </c>
      <c r="B2041" s="156">
        <v>125</v>
      </c>
      <c r="C2041" s="155" t="s">
        <v>4</v>
      </c>
      <c r="D2041" s="157" t="s">
        <v>5</v>
      </c>
    </row>
    <row r="2042" spans="1:4" ht="15" customHeight="1" x14ac:dyDescent="0.2">
      <c r="A2042" s="155" t="s">
        <v>1372</v>
      </c>
      <c r="B2042" s="156">
        <v>125</v>
      </c>
      <c r="C2042" s="155" t="s">
        <v>4</v>
      </c>
      <c r="D2042" s="157" t="s">
        <v>5</v>
      </c>
    </row>
    <row r="2043" spans="1:4" ht="15" customHeight="1" x14ac:dyDescent="0.2">
      <c r="A2043" s="155" t="s">
        <v>325</v>
      </c>
      <c r="B2043" s="156">
        <v>125</v>
      </c>
      <c r="C2043" s="155" t="s">
        <v>4</v>
      </c>
      <c r="D2043" s="157" t="s">
        <v>5</v>
      </c>
    </row>
    <row r="2044" spans="1:4" ht="15" customHeight="1" x14ac:dyDescent="0.2">
      <c r="A2044" s="155" t="s">
        <v>1363</v>
      </c>
      <c r="B2044" s="156">
        <v>125</v>
      </c>
      <c r="C2044" s="155" t="s">
        <v>4</v>
      </c>
      <c r="D2044" s="157" t="s">
        <v>5</v>
      </c>
    </row>
    <row r="2045" spans="1:4" ht="15" customHeight="1" x14ac:dyDescent="0.2">
      <c r="A2045" s="155" t="s">
        <v>316</v>
      </c>
      <c r="B2045" s="156">
        <v>50</v>
      </c>
      <c r="C2045" s="155" t="s">
        <v>4</v>
      </c>
      <c r="D2045" s="157" t="s">
        <v>5</v>
      </c>
    </row>
    <row r="2046" spans="1:4" ht="15" customHeight="1" x14ac:dyDescent="0.2">
      <c r="A2046" s="155" t="s">
        <v>1355</v>
      </c>
      <c r="B2046" s="156">
        <v>50</v>
      </c>
      <c r="C2046" s="155" t="s">
        <v>4</v>
      </c>
      <c r="D2046" s="157" t="s">
        <v>5</v>
      </c>
    </row>
    <row r="2047" spans="1:4" ht="15" customHeight="1" x14ac:dyDescent="0.2">
      <c r="A2047" s="155" t="s">
        <v>308</v>
      </c>
      <c r="B2047" s="156">
        <v>50</v>
      </c>
      <c r="C2047" s="155" t="s">
        <v>4</v>
      </c>
      <c r="D2047" s="157" t="s">
        <v>5</v>
      </c>
    </row>
    <row r="2048" spans="1:4" ht="15" customHeight="1" x14ac:dyDescent="0.2">
      <c r="A2048" s="155" t="s">
        <v>1347</v>
      </c>
      <c r="B2048" s="156">
        <v>50</v>
      </c>
      <c r="C2048" s="155" t="s">
        <v>4</v>
      </c>
      <c r="D2048" s="157" t="s">
        <v>5</v>
      </c>
    </row>
    <row r="2049" spans="1:4" ht="15" customHeight="1" x14ac:dyDescent="0.2">
      <c r="A2049" s="155" t="s">
        <v>1106</v>
      </c>
      <c r="B2049" s="156">
        <v>50</v>
      </c>
      <c r="C2049" s="155" t="s">
        <v>4</v>
      </c>
      <c r="D2049" s="157" t="s">
        <v>5</v>
      </c>
    </row>
    <row r="2050" spans="1:4" ht="15" customHeight="1" x14ac:dyDescent="0.2">
      <c r="A2050" s="155" t="s">
        <v>61</v>
      </c>
      <c r="B2050" s="156">
        <v>50</v>
      </c>
      <c r="C2050" s="155" t="s">
        <v>4</v>
      </c>
      <c r="D2050" s="157" t="s">
        <v>5</v>
      </c>
    </row>
    <row r="2051" spans="1:4" ht="15" customHeight="1" x14ac:dyDescent="0.2">
      <c r="A2051" s="155" t="s">
        <v>1097</v>
      </c>
      <c r="B2051" s="156">
        <v>50</v>
      </c>
      <c r="C2051" s="155" t="s">
        <v>4</v>
      </c>
      <c r="D2051" s="157" t="s">
        <v>5</v>
      </c>
    </row>
    <row r="2052" spans="1:4" ht="15" customHeight="1" x14ac:dyDescent="0.2">
      <c r="A2052" s="155" t="s">
        <v>52</v>
      </c>
      <c r="B2052" s="156">
        <v>50</v>
      </c>
      <c r="C2052" s="155" t="s">
        <v>4</v>
      </c>
      <c r="D2052" s="157" t="s">
        <v>5</v>
      </c>
    </row>
    <row r="2053" spans="1:4" ht="15" customHeight="1" x14ac:dyDescent="0.2">
      <c r="A2053" s="155" t="s">
        <v>1088</v>
      </c>
      <c r="B2053" s="156">
        <v>14</v>
      </c>
      <c r="C2053" s="155" t="s">
        <v>4</v>
      </c>
      <c r="D2053" s="157" t="s">
        <v>5</v>
      </c>
    </row>
    <row r="2054" spans="1:4" ht="15" customHeight="1" x14ac:dyDescent="0.2">
      <c r="A2054" s="155" t="s">
        <v>43</v>
      </c>
      <c r="B2054" s="156">
        <v>125</v>
      </c>
      <c r="C2054" s="155" t="s">
        <v>4</v>
      </c>
      <c r="D2054" s="157" t="s">
        <v>5</v>
      </c>
    </row>
    <row r="2055" spans="1:4" ht="15" customHeight="1" x14ac:dyDescent="0.2">
      <c r="A2055" s="155" t="s">
        <v>1079</v>
      </c>
      <c r="B2055" s="156">
        <v>29</v>
      </c>
      <c r="C2055" s="155" t="s">
        <v>4</v>
      </c>
      <c r="D2055" s="157" t="s">
        <v>5</v>
      </c>
    </row>
    <row r="2056" spans="1:4" ht="15" customHeight="1" x14ac:dyDescent="0.2">
      <c r="A2056" s="155" t="s">
        <v>34</v>
      </c>
      <c r="B2056" s="156">
        <v>25</v>
      </c>
      <c r="C2056" s="155" t="s">
        <v>4</v>
      </c>
      <c r="D2056" s="157" t="s">
        <v>5</v>
      </c>
    </row>
    <row r="2057" spans="1:4" ht="15" customHeight="1" x14ac:dyDescent="0.2">
      <c r="A2057" s="155" t="s">
        <v>1142</v>
      </c>
      <c r="B2057" s="156">
        <v>125</v>
      </c>
      <c r="C2057" s="155" t="s">
        <v>4</v>
      </c>
      <c r="D2057" s="157" t="s">
        <v>5</v>
      </c>
    </row>
    <row r="2058" spans="1:4" ht="15" customHeight="1" x14ac:dyDescent="0.2">
      <c r="A2058" s="155" t="s">
        <v>97</v>
      </c>
      <c r="B2058" s="156">
        <v>125</v>
      </c>
      <c r="C2058" s="155" t="s">
        <v>4</v>
      </c>
      <c r="D2058" s="157" t="s">
        <v>5</v>
      </c>
    </row>
    <row r="2059" spans="1:4" ht="15" customHeight="1" x14ac:dyDescent="0.2">
      <c r="A2059" s="155" t="s">
        <v>1133</v>
      </c>
      <c r="B2059" s="156">
        <v>125</v>
      </c>
      <c r="C2059" s="155" t="s">
        <v>4</v>
      </c>
      <c r="D2059" s="157" t="s">
        <v>5</v>
      </c>
    </row>
    <row r="2060" spans="1:4" ht="15" customHeight="1" x14ac:dyDescent="0.2">
      <c r="A2060" s="155" t="s">
        <v>88</v>
      </c>
      <c r="B2060" s="156">
        <v>125</v>
      </c>
      <c r="C2060" s="155" t="s">
        <v>4</v>
      </c>
      <c r="D2060" s="157" t="s">
        <v>5</v>
      </c>
    </row>
    <row r="2061" spans="1:4" ht="15" customHeight="1" x14ac:dyDescent="0.2">
      <c r="A2061" s="155" t="s">
        <v>1124</v>
      </c>
      <c r="B2061" s="156">
        <v>125</v>
      </c>
      <c r="C2061" s="155" t="s">
        <v>4</v>
      </c>
      <c r="D2061" s="157" t="s">
        <v>5</v>
      </c>
    </row>
    <row r="2062" spans="1:4" ht="15" customHeight="1" x14ac:dyDescent="0.2">
      <c r="A2062" s="155" t="s">
        <v>79</v>
      </c>
      <c r="B2062" s="156">
        <v>125</v>
      </c>
      <c r="C2062" s="155" t="s">
        <v>4</v>
      </c>
      <c r="D2062" s="157" t="s">
        <v>5</v>
      </c>
    </row>
    <row r="2063" spans="1:4" ht="15" customHeight="1" x14ac:dyDescent="0.2">
      <c r="A2063" s="155" t="s">
        <v>1115</v>
      </c>
      <c r="B2063" s="156">
        <v>10</v>
      </c>
      <c r="C2063" s="155" t="s">
        <v>4</v>
      </c>
      <c r="D2063" s="157" t="s">
        <v>5</v>
      </c>
    </row>
    <row r="2064" spans="1:4" ht="15" customHeight="1" x14ac:dyDescent="0.2">
      <c r="A2064" s="155" t="s">
        <v>70</v>
      </c>
      <c r="B2064" s="156">
        <v>125</v>
      </c>
      <c r="C2064" s="155" t="s">
        <v>4</v>
      </c>
      <c r="D2064" s="157" t="s">
        <v>5</v>
      </c>
    </row>
    <row r="2065" spans="1:4" ht="15" customHeight="1" x14ac:dyDescent="0.2">
      <c r="A2065" s="155" t="s">
        <v>1179</v>
      </c>
      <c r="B2065" s="156">
        <v>950</v>
      </c>
      <c r="C2065" s="155" t="s">
        <v>4</v>
      </c>
      <c r="D2065" s="157" t="s">
        <v>5</v>
      </c>
    </row>
    <row r="2066" spans="1:4" ht="15" customHeight="1" x14ac:dyDescent="0.2">
      <c r="A2066" s="155" t="s">
        <v>134</v>
      </c>
      <c r="B2066" s="156">
        <v>225</v>
      </c>
      <c r="C2066" s="155" t="s">
        <v>4</v>
      </c>
      <c r="D2066" s="157" t="s">
        <v>5</v>
      </c>
    </row>
    <row r="2067" spans="1:4" ht="15" customHeight="1" x14ac:dyDescent="0.2">
      <c r="A2067" s="155" t="s">
        <v>1170</v>
      </c>
      <c r="B2067" s="156">
        <v>125</v>
      </c>
      <c r="C2067" s="155" t="s">
        <v>4</v>
      </c>
      <c r="D2067" s="157" t="s">
        <v>5</v>
      </c>
    </row>
    <row r="2068" spans="1:4" ht="15" customHeight="1" x14ac:dyDescent="0.2">
      <c r="A2068" s="155" t="s">
        <v>125</v>
      </c>
      <c r="B2068" s="156">
        <v>125</v>
      </c>
      <c r="C2068" s="155" t="s">
        <v>4</v>
      </c>
      <c r="D2068" s="157" t="s">
        <v>5</v>
      </c>
    </row>
    <row r="2069" spans="1:4" ht="15" customHeight="1" x14ac:dyDescent="0.2">
      <c r="A2069" s="155" t="s">
        <v>1161</v>
      </c>
      <c r="B2069" s="156">
        <v>125</v>
      </c>
      <c r="C2069" s="155" t="s">
        <v>4</v>
      </c>
      <c r="D2069" s="157" t="s">
        <v>5</v>
      </c>
    </row>
    <row r="2070" spans="1:4" ht="15" customHeight="1" x14ac:dyDescent="0.2">
      <c r="A2070" s="155" t="s">
        <v>115</v>
      </c>
      <c r="B2070" s="156">
        <v>2575</v>
      </c>
      <c r="C2070" s="155" t="s">
        <v>4</v>
      </c>
      <c r="D2070" s="157" t="s">
        <v>5</v>
      </c>
    </row>
    <row r="2071" spans="1:4" ht="15" customHeight="1" x14ac:dyDescent="0.2">
      <c r="A2071" s="155" t="s">
        <v>1151</v>
      </c>
      <c r="B2071" s="156">
        <v>4275</v>
      </c>
      <c r="C2071" s="155" t="s">
        <v>4</v>
      </c>
      <c r="D2071" s="157" t="s">
        <v>5</v>
      </c>
    </row>
    <row r="2072" spans="1:4" ht="15" customHeight="1" x14ac:dyDescent="0.2">
      <c r="A2072" s="155" t="s">
        <v>106</v>
      </c>
      <c r="B2072" s="156">
        <v>1250</v>
      </c>
      <c r="C2072" s="155" t="s">
        <v>4</v>
      </c>
      <c r="D2072" s="157" t="s">
        <v>5</v>
      </c>
    </row>
    <row r="2073" spans="1:4" ht="15" customHeight="1" x14ac:dyDescent="0.2">
      <c r="A2073" s="155" t="s">
        <v>1216</v>
      </c>
      <c r="B2073" s="156">
        <v>25</v>
      </c>
      <c r="C2073" s="155" t="s">
        <v>4</v>
      </c>
      <c r="D2073" s="157" t="s">
        <v>5</v>
      </c>
    </row>
    <row r="2074" spans="1:4" ht="15" customHeight="1" x14ac:dyDescent="0.2">
      <c r="A2074" s="155" t="s">
        <v>171</v>
      </c>
      <c r="B2074" s="156">
        <v>125</v>
      </c>
      <c r="C2074" s="155" t="s">
        <v>4</v>
      </c>
      <c r="D2074" s="157" t="s">
        <v>5</v>
      </c>
    </row>
    <row r="2075" spans="1:4" ht="15" customHeight="1" x14ac:dyDescent="0.2">
      <c r="A2075" s="155" t="s">
        <v>1207</v>
      </c>
      <c r="B2075" s="156">
        <v>125</v>
      </c>
      <c r="C2075" s="155" t="s">
        <v>4</v>
      </c>
      <c r="D2075" s="157" t="s">
        <v>5</v>
      </c>
    </row>
    <row r="2076" spans="1:4" ht="15" customHeight="1" x14ac:dyDescent="0.2">
      <c r="A2076" s="155" t="s">
        <v>161</v>
      </c>
      <c r="B2076" s="156">
        <v>50</v>
      </c>
      <c r="C2076" s="155" t="s">
        <v>4</v>
      </c>
      <c r="D2076" s="157" t="s">
        <v>5</v>
      </c>
    </row>
    <row r="2077" spans="1:4" ht="15" customHeight="1" x14ac:dyDescent="0.2">
      <c r="A2077" s="155" t="s">
        <v>1197</v>
      </c>
      <c r="B2077" s="156">
        <v>50</v>
      </c>
      <c r="C2077" s="155" t="s">
        <v>4</v>
      </c>
      <c r="D2077" s="157" t="s">
        <v>5</v>
      </c>
    </row>
    <row r="2078" spans="1:4" ht="15" customHeight="1" x14ac:dyDescent="0.2">
      <c r="A2078" s="155" t="s">
        <v>152</v>
      </c>
      <c r="B2078" s="156">
        <v>50</v>
      </c>
      <c r="C2078" s="155" t="s">
        <v>4</v>
      </c>
      <c r="D2078" s="157" t="s">
        <v>5</v>
      </c>
    </row>
    <row r="2079" spans="1:4" ht="15" customHeight="1" x14ac:dyDescent="0.2">
      <c r="A2079" s="155" t="s">
        <v>1188</v>
      </c>
      <c r="B2079" s="156">
        <v>50</v>
      </c>
      <c r="C2079" s="155" t="s">
        <v>4</v>
      </c>
      <c r="D2079" s="157" t="s">
        <v>5</v>
      </c>
    </row>
    <row r="2080" spans="1:4" ht="15" customHeight="1" x14ac:dyDescent="0.2">
      <c r="A2080" s="155" t="s">
        <v>143</v>
      </c>
      <c r="B2080" s="156">
        <v>50</v>
      </c>
      <c r="C2080" s="155" t="s">
        <v>4</v>
      </c>
      <c r="D2080" s="157" t="s">
        <v>5</v>
      </c>
    </row>
    <row r="2081" spans="1:4" ht="15" customHeight="1" x14ac:dyDescent="0.2">
      <c r="A2081" s="155" t="s">
        <v>1250</v>
      </c>
      <c r="B2081" s="156">
        <v>50</v>
      </c>
      <c r="C2081" s="155" t="s">
        <v>4</v>
      </c>
      <c r="D2081" s="157" t="s">
        <v>5</v>
      </c>
    </row>
    <row r="2082" spans="1:4" ht="15" customHeight="1" x14ac:dyDescent="0.2">
      <c r="A2082" s="155" t="s">
        <v>203</v>
      </c>
      <c r="B2082" s="156">
        <v>50</v>
      </c>
      <c r="C2082" s="155" t="s">
        <v>4</v>
      </c>
      <c r="D2082" s="157" t="s">
        <v>5</v>
      </c>
    </row>
    <row r="2083" spans="1:4" ht="15" customHeight="1" x14ac:dyDescent="0.2">
      <c r="A2083" s="155" t="s">
        <v>1241</v>
      </c>
      <c r="B2083" s="156">
        <v>50</v>
      </c>
      <c r="C2083" s="155" t="s">
        <v>4</v>
      </c>
      <c r="D2083" s="157" t="s">
        <v>5</v>
      </c>
    </row>
  </sheetData>
  <mergeCells count="4">
    <mergeCell ref="A1:E1"/>
    <mergeCell ref="A2:E2"/>
    <mergeCell ref="A3:E3"/>
    <mergeCell ref="A4:E4"/>
  </mergeCells>
  <hyperlinks>
    <hyperlink ref="A2" r:id="rId1" xr:uid="{00000000-0004-0000-09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Quote 报价模版</vt:lpstr>
      <vt:lpstr>Master</vt:lpstr>
      <vt:lpstr>Enova Data</vt:lpstr>
      <vt:lpstr>专利原料</vt:lpstr>
      <vt:lpstr>UAA US</vt:lpstr>
      <vt:lpstr>Kingdom US</vt:lpstr>
      <vt:lpstr>Runde Glucosamine</vt:lpstr>
      <vt:lpstr>CharlesBowman</vt:lpstr>
      <vt:lpstr>LGB</vt:lpstr>
      <vt:lpstr>Nutravative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yandonglyu3@gmail.com</cp:lastModifiedBy>
  <dcterms:modified xsi:type="dcterms:W3CDTF">2026-02-04T01:01:31Z</dcterms:modified>
</cp:coreProperties>
</file>